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회사\급여대장\"/>
    </mc:Choice>
  </mc:AlternateContent>
  <bookViews>
    <workbookView xWindow="9870" yWindow="-90" windowWidth="19230" windowHeight="13500" firstSheet="9" activeTab="24"/>
  </bookViews>
  <sheets>
    <sheet name="직원명부" sheetId="1" r:id="rId1"/>
    <sheet name="1월" sheetId="2" r:id="rId2"/>
    <sheet name="2월" sheetId="3" r:id="rId3"/>
    <sheet name="3월" sheetId="4" r:id="rId4"/>
    <sheet name="4월" sheetId="5" r:id="rId5"/>
    <sheet name="5월" sheetId="6" r:id="rId6"/>
    <sheet name="6월" sheetId="7" r:id="rId7"/>
    <sheet name="7월" sheetId="8" r:id="rId8"/>
    <sheet name="8월" sheetId="9" r:id="rId9"/>
    <sheet name="9월" sheetId="10" r:id="rId10"/>
    <sheet name="10월" sheetId="11" r:id="rId11"/>
    <sheet name="11월" sheetId="12" r:id="rId12"/>
    <sheet name="12월" sheetId="13" r:id="rId13"/>
    <sheet name="25.01" sheetId="14" r:id="rId14"/>
    <sheet name="25.02" sheetId="15" r:id="rId15"/>
    <sheet name="25.03" sheetId="16" r:id="rId16"/>
    <sheet name="25.04" sheetId="17" r:id="rId17"/>
    <sheet name="25.05" sheetId="18" r:id="rId18"/>
    <sheet name="25.06" sheetId="19" r:id="rId19"/>
    <sheet name="25.07" sheetId="20" r:id="rId20"/>
    <sheet name="25.08" sheetId="21" r:id="rId21"/>
    <sheet name="25.09" sheetId="22" r:id="rId22"/>
    <sheet name="25.10" sheetId="23" r:id="rId23"/>
    <sheet name="25.11" sheetId="24" r:id="rId24"/>
    <sheet name="25.12" sheetId="25" r:id="rId25"/>
    <sheet name="Sheet1" sheetId="26" r:id="rId26"/>
  </sheets>
  <externalReferences>
    <externalReference r:id="rId27"/>
  </externalReferences>
  <definedNames>
    <definedName name="간이세액표">[1]간이세액표!$A$4:$M$650</definedName>
    <definedName name="건강보험율">'[1]4대보험요율표'!$E$16</definedName>
    <definedName name="고용보험율">'[1]4대보험요율표'!$D$26</definedName>
    <definedName name="국민연금">'[1]4대보험요율표'!$D$6</definedName>
    <definedName name="요양보험율">'[1]4대보험요율표'!$D$17</definedName>
    <definedName name="월액최고">'[1]4대보험요율표'!$H$5</definedName>
    <definedName name="월액최저">'[1]4대보험요율표'!$I$5</definedName>
    <definedName name="최고연금">'[1]4대보험요율표'!$H$6</definedName>
    <definedName name="최저연금">'[1]4대보험요율표'!$I$6</definedName>
  </definedNames>
  <calcPr calcId="162913"/>
</workbook>
</file>

<file path=xl/calcChain.xml><?xml version="1.0" encoding="utf-8"?>
<calcChain xmlns="http://schemas.openxmlformats.org/spreadsheetml/2006/main">
  <c r="AC21" i="26" l="1"/>
  <c r="V21" i="26"/>
  <c r="S21" i="26"/>
  <c r="P21" i="26"/>
  <c r="Q21" i="26" s="1"/>
  <c r="AC17" i="26"/>
  <c r="V17" i="26"/>
  <c r="P17" i="26"/>
  <c r="T17" i="26" s="1"/>
  <c r="U17" i="26" s="1"/>
  <c r="O26" i="26"/>
  <c r="N26" i="26"/>
  <c r="M26" i="26"/>
  <c r="L26" i="26"/>
  <c r="K26" i="26"/>
  <c r="J26" i="26"/>
  <c r="I26" i="26"/>
  <c r="H26" i="26"/>
  <c r="G26" i="26"/>
  <c r="F26" i="26"/>
  <c r="E26" i="26"/>
  <c r="AC25" i="26"/>
  <c r="T25" i="26" s="1"/>
  <c r="U25" i="26" s="1"/>
  <c r="AC24" i="26"/>
  <c r="S24" i="26" s="1"/>
  <c r="AC23" i="26"/>
  <c r="P23" i="26"/>
  <c r="T23" i="26" s="1"/>
  <c r="U23" i="26" s="1"/>
  <c r="X22" i="26"/>
  <c r="W22" i="26"/>
  <c r="U22" i="26"/>
  <c r="R22" i="26"/>
  <c r="P22" i="26"/>
  <c r="AC20" i="26"/>
  <c r="V20" i="26"/>
  <c r="T20" i="26"/>
  <c r="U20" i="26" s="1"/>
  <c r="S20" i="26"/>
  <c r="R20" i="26"/>
  <c r="Q20" i="26"/>
  <c r="P20" i="26"/>
  <c r="AC19" i="26"/>
  <c r="V19" i="26"/>
  <c r="T19" i="26"/>
  <c r="U19" i="26" s="1"/>
  <c r="Q19" i="26"/>
  <c r="P19" i="26"/>
  <c r="AC18" i="26"/>
  <c r="V18" i="26"/>
  <c r="U18" i="26"/>
  <c r="T18" i="26"/>
  <c r="R18" i="26"/>
  <c r="W18" i="26" s="1"/>
  <c r="X18" i="26" s="1"/>
  <c r="Q18" i="26"/>
  <c r="P18" i="26"/>
  <c r="AC16" i="26"/>
  <c r="V16" i="26"/>
  <c r="T16" i="26"/>
  <c r="U16" i="26" s="1"/>
  <c r="Q16" i="26"/>
  <c r="P16" i="26"/>
  <c r="AC15" i="26"/>
  <c r="W15" i="26"/>
  <c r="X15" i="26" s="1"/>
  <c r="V15" i="26"/>
  <c r="U15" i="26"/>
  <c r="T15" i="26"/>
  <c r="S15" i="26"/>
  <c r="R15" i="26"/>
  <c r="Q15" i="26"/>
  <c r="P15" i="26"/>
  <c r="AC14" i="26"/>
  <c r="P14" i="26"/>
  <c r="V14" i="26" s="1"/>
  <c r="E14" i="26"/>
  <c r="D14" i="26"/>
  <c r="AC13" i="26"/>
  <c r="V13" i="26"/>
  <c r="U13" i="26"/>
  <c r="T13" i="26"/>
  <c r="R13" i="26"/>
  <c r="W13" i="26" s="1"/>
  <c r="X13" i="26" s="1"/>
  <c r="Q13" i="26"/>
  <c r="P13" i="26"/>
  <c r="AC12" i="26"/>
  <c r="V12" i="26"/>
  <c r="U12" i="26"/>
  <c r="T12" i="26"/>
  <c r="Q12" i="26"/>
  <c r="AC11" i="26"/>
  <c r="V11" i="26"/>
  <c r="Q11" i="26"/>
  <c r="P11" i="26"/>
  <c r="E11" i="26"/>
  <c r="D11" i="26"/>
  <c r="AC10" i="26"/>
  <c r="P10" i="26"/>
  <c r="E10" i="26"/>
  <c r="D10" i="26"/>
  <c r="C10" i="26"/>
  <c r="AC9" i="26"/>
  <c r="V9" i="26"/>
  <c r="U9" i="26"/>
  <c r="T9" i="26"/>
  <c r="R9" i="26"/>
  <c r="Q9" i="26"/>
  <c r="P9" i="26"/>
  <c r="D9" i="26"/>
  <c r="C9" i="26"/>
  <c r="Q17" i="26" l="1"/>
  <c r="R17" i="26" s="1"/>
  <c r="Q23" i="26"/>
  <c r="R23" i="26" s="1"/>
  <c r="W23" i="26" s="1"/>
  <c r="X23" i="26" s="1"/>
  <c r="P26" i="26"/>
  <c r="S23" i="26"/>
  <c r="V23" i="26"/>
  <c r="T24" i="26"/>
  <c r="U24" i="26" s="1"/>
  <c r="R24" i="26"/>
  <c r="V24" i="26"/>
  <c r="R21" i="26"/>
  <c r="W21" i="26" s="1"/>
  <c r="X21" i="26" s="1"/>
  <c r="T21" i="26"/>
  <c r="U21" i="26" s="1"/>
  <c r="V25" i="26"/>
  <c r="S25" i="26"/>
  <c r="Q25" i="26"/>
  <c r="R25" i="26" s="1"/>
  <c r="W25" i="26" s="1"/>
  <c r="S17" i="26"/>
  <c r="S26" i="26" s="1"/>
  <c r="W19" i="26"/>
  <c r="X19" i="26" s="1"/>
  <c r="W20" i="26"/>
  <c r="X20" i="26" s="1"/>
  <c r="Q10" i="26"/>
  <c r="V10" i="26"/>
  <c r="R11" i="26"/>
  <c r="W11" i="26" s="1"/>
  <c r="X11" i="26" s="1"/>
  <c r="R12" i="26"/>
  <c r="W12" i="26" s="1"/>
  <c r="X12" i="26" s="1"/>
  <c r="W9" i="26"/>
  <c r="T11" i="26"/>
  <c r="U11" i="26" s="1"/>
  <c r="T14" i="26"/>
  <c r="U14" i="26" s="1"/>
  <c r="T10" i="26"/>
  <c r="Q14" i="26"/>
  <c r="R16" i="26"/>
  <c r="W16" i="26" s="1"/>
  <c r="X16" i="26" s="1"/>
  <c r="R19" i="26"/>
  <c r="V24" i="25"/>
  <c r="W25" i="25"/>
  <c r="V25" i="25"/>
  <c r="Q25" i="25"/>
  <c r="R25" i="25" s="1"/>
  <c r="S25" i="25"/>
  <c r="O26" i="25"/>
  <c r="P25" i="25"/>
  <c r="T25" i="25" s="1"/>
  <c r="AC25" i="25"/>
  <c r="N26" i="25"/>
  <c r="E26" i="25"/>
  <c r="W24" i="26" l="1"/>
  <c r="X24" i="26" s="1"/>
  <c r="V26" i="26"/>
  <c r="W17" i="26"/>
  <c r="R14" i="26"/>
  <c r="W14" i="26" s="1"/>
  <c r="X14" i="26" s="1"/>
  <c r="T26" i="26"/>
  <c r="U10" i="26"/>
  <c r="U26" i="26" s="1"/>
  <c r="X9" i="26"/>
  <c r="R10" i="26"/>
  <c r="R26" i="26" s="1"/>
  <c r="Q26" i="26"/>
  <c r="U25" i="25"/>
  <c r="M26" i="25"/>
  <c r="L26" i="25"/>
  <c r="K26" i="25"/>
  <c r="J26" i="25"/>
  <c r="I26" i="25"/>
  <c r="H26" i="25"/>
  <c r="G26" i="25"/>
  <c r="F26" i="25"/>
  <c r="AC24" i="25"/>
  <c r="P24" i="25"/>
  <c r="AC23" i="25"/>
  <c r="P23" i="25"/>
  <c r="U22" i="25"/>
  <c r="R22" i="25"/>
  <c r="W22" i="25" s="1"/>
  <c r="P22" i="25"/>
  <c r="AC21" i="25"/>
  <c r="S21" i="25"/>
  <c r="P21" i="25"/>
  <c r="V21" i="25" s="1"/>
  <c r="AC20" i="25"/>
  <c r="V20" i="25" s="1"/>
  <c r="Q20" i="25"/>
  <c r="P20" i="25"/>
  <c r="AC19" i="25"/>
  <c r="V19" i="25"/>
  <c r="T19" i="25"/>
  <c r="U19" i="25" s="1"/>
  <c r="R19" i="25"/>
  <c r="W19" i="25" s="1"/>
  <c r="X19" i="25" s="1"/>
  <c r="Q19" i="25"/>
  <c r="P19" i="25"/>
  <c r="AC18" i="25"/>
  <c r="T18" i="25"/>
  <c r="U18" i="25" s="1"/>
  <c r="P18" i="25"/>
  <c r="V18" i="25" s="1"/>
  <c r="AC17" i="25"/>
  <c r="P17" i="25"/>
  <c r="AC16" i="25"/>
  <c r="V16" i="25"/>
  <c r="T16" i="25"/>
  <c r="U16" i="25" s="1"/>
  <c r="R16" i="25"/>
  <c r="W16" i="25" s="1"/>
  <c r="X16" i="25" s="1"/>
  <c r="Q16" i="25"/>
  <c r="P16" i="25"/>
  <c r="AC15" i="25"/>
  <c r="P15" i="25"/>
  <c r="S15" i="25" s="1"/>
  <c r="AC14" i="25"/>
  <c r="E14" i="25"/>
  <c r="P14" i="25" s="1"/>
  <c r="D14" i="25"/>
  <c r="AC13" i="25"/>
  <c r="P13" i="25"/>
  <c r="AC12" i="25"/>
  <c r="T12" i="25" s="1"/>
  <c r="U12" i="25" s="1"/>
  <c r="V12" i="25"/>
  <c r="Q12" i="25"/>
  <c r="AC11" i="25"/>
  <c r="E11" i="25"/>
  <c r="P11" i="25" s="1"/>
  <c r="Q11" i="25" s="1"/>
  <c r="D11" i="25"/>
  <c r="AC10" i="25"/>
  <c r="E10" i="25"/>
  <c r="D10" i="25"/>
  <c r="C10" i="25"/>
  <c r="AC9" i="25"/>
  <c r="P9" i="25"/>
  <c r="D9" i="25"/>
  <c r="C9" i="25"/>
  <c r="P24" i="24"/>
  <c r="W10" i="26" l="1"/>
  <c r="S23" i="25"/>
  <c r="Q17" i="25"/>
  <c r="R17" i="25" s="1"/>
  <c r="P26" i="25"/>
  <c r="V14" i="25"/>
  <c r="Q14" i="25"/>
  <c r="V11" i="25"/>
  <c r="P10" i="25"/>
  <c r="V17" i="25"/>
  <c r="S24" i="25"/>
  <c r="Q24" i="25"/>
  <c r="R24" i="25" s="1"/>
  <c r="X22" i="25"/>
  <c r="T15" i="25"/>
  <c r="U15" i="25" s="1"/>
  <c r="T23" i="25"/>
  <c r="U23" i="25" s="1"/>
  <c r="Q9" i="25"/>
  <c r="V9" i="25"/>
  <c r="V10" i="25"/>
  <c r="R11" i="25"/>
  <c r="R12" i="25"/>
  <c r="W12" i="25" s="1"/>
  <c r="X12" i="25" s="1"/>
  <c r="Q13" i="25"/>
  <c r="V13" i="25"/>
  <c r="R14" i="25"/>
  <c r="W14" i="25" s="1"/>
  <c r="X14" i="25" s="1"/>
  <c r="Q15" i="25"/>
  <c r="R20" i="25"/>
  <c r="W20" i="25" s="1"/>
  <c r="X20" i="25" s="1"/>
  <c r="T21" i="25"/>
  <c r="U21" i="25" s="1"/>
  <c r="Q23" i="25"/>
  <c r="T11" i="25"/>
  <c r="U11" i="25" s="1"/>
  <c r="T14" i="25"/>
  <c r="U14" i="25" s="1"/>
  <c r="V15" i="25"/>
  <c r="S17" i="25"/>
  <c r="Q18" i="25"/>
  <c r="S20" i="25"/>
  <c r="Q21" i="25"/>
  <c r="V23" i="25"/>
  <c r="T24" i="25"/>
  <c r="U24" i="25" s="1"/>
  <c r="T9" i="25"/>
  <c r="T10" i="25"/>
  <c r="U10" i="25" s="1"/>
  <c r="T13" i="25"/>
  <c r="U13" i="25" s="1"/>
  <c r="T17" i="25"/>
  <c r="T20" i="25"/>
  <c r="U20" i="25" s="1"/>
  <c r="X10" i="26" l="1"/>
  <c r="X26" i="26" s="1"/>
  <c r="W26" i="26"/>
  <c r="U17" i="25"/>
  <c r="U26" i="25" s="1"/>
  <c r="T26" i="25"/>
  <c r="Q10" i="25"/>
  <c r="R10" i="25" s="1"/>
  <c r="W10" i="25" s="1"/>
  <c r="X10" i="25" s="1"/>
  <c r="V26" i="25"/>
  <c r="W11" i="25"/>
  <c r="X11" i="25" s="1"/>
  <c r="S26" i="25"/>
  <c r="W24" i="25"/>
  <c r="X24" i="25" s="1"/>
  <c r="R15" i="25"/>
  <c r="W15" i="25" s="1"/>
  <c r="X15" i="25" s="1"/>
  <c r="R9" i="25"/>
  <c r="R18" i="25"/>
  <c r="W18" i="25" s="1"/>
  <c r="X18" i="25" s="1"/>
  <c r="R21" i="25"/>
  <c r="W21" i="25" s="1"/>
  <c r="X21" i="25" s="1"/>
  <c r="R23" i="25"/>
  <c r="W23" i="25" s="1"/>
  <c r="X23" i="25" s="1"/>
  <c r="U9" i="25"/>
  <c r="W17" i="25"/>
  <c r="X17" i="25" s="1"/>
  <c r="R13" i="25"/>
  <c r="W13" i="25" s="1"/>
  <c r="X13" i="25" s="1"/>
  <c r="Q26" i="25" l="1"/>
  <c r="R26" i="25"/>
  <c r="W9" i="25"/>
  <c r="W26" i="25" l="1"/>
  <c r="X9" i="25"/>
  <c r="X26" i="25" s="1"/>
  <c r="AC23" i="23" l="1"/>
  <c r="V23" i="23"/>
  <c r="S23" i="23"/>
  <c r="Q23" i="23"/>
  <c r="P23" i="23"/>
  <c r="AC23" i="24"/>
  <c r="P23" i="24"/>
  <c r="Q23" i="24" s="1"/>
  <c r="R23" i="24" s="1"/>
  <c r="AC20" i="24"/>
  <c r="V20" i="24"/>
  <c r="S20" i="24"/>
  <c r="Q20" i="24"/>
  <c r="R20" i="24" s="1"/>
  <c r="P20" i="24"/>
  <c r="V19" i="24"/>
  <c r="O25" i="24"/>
  <c r="N25" i="24"/>
  <c r="M25" i="24"/>
  <c r="L25" i="24"/>
  <c r="K25" i="24"/>
  <c r="J25" i="24"/>
  <c r="I25" i="24"/>
  <c r="H25" i="24"/>
  <c r="G25" i="24"/>
  <c r="F25" i="24"/>
  <c r="AC24" i="24"/>
  <c r="Q24" i="24" s="1"/>
  <c r="R24" i="24" s="1"/>
  <c r="U22" i="24"/>
  <c r="R22" i="24"/>
  <c r="W22" i="24" s="1"/>
  <c r="P22" i="24"/>
  <c r="AC21" i="24"/>
  <c r="S21" i="24"/>
  <c r="P21" i="24"/>
  <c r="V21" i="24" s="1"/>
  <c r="AC19" i="24"/>
  <c r="Q19" i="24"/>
  <c r="P19" i="24"/>
  <c r="AC18" i="24"/>
  <c r="V18" i="24"/>
  <c r="T18" i="24"/>
  <c r="U18" i="24" s="1"/>
  <c r="R18" i="24"/>
  <c r="W18" i="24" s="1"/>
  <c r="X18" i="24" s="1"/>
  <c r="Q18" i="24"/>
  <c r="P18" i="24"/>
  <c r="AC17" i="24"/>
  <c r="P17" i="24"/>
  <c r="S17" i="24" s="1"/>
  <c r="AC16" i="24"/>
  <c r="V16" i="24"/>
  <c r="Q16" i="24"/>
  <c r="P16" i="24"/>
  <c r="AC15" i="24"/>
  <c r="S15" i="24"/>
  <c r="P15" i="24"/>
  <c r="V15" i="24" s="1"/>
  <c r="AC14" i="24"/>
  <c r="P14" i="24"/>
  <c r="E14" i="24"/>
  <c r="D14" i="24"/>
  <c r="AC13" i="24"/>
  <c r="T13" i="24"/>
  <c r="U13" i="24" s="1"/>
  <c r="P13" i="24"/>
  <c r="V13" i="24" s="1"/>
  <c r="AC12" i="24"/>
  <c r="T12" i="24" s="1"/>
  <c r="U12" i="24" s="1"/>
  <c r="AC11" i="24"/>
  <c r="P11" i="24"/>
  <c r="E11" i="24"/>
  <c r="D11" i="24"/>
  <c r="AC10" i="24"/>
  <c r="E10" i="24"/>
  <c r="P10" i="24" s="1"/>
  <c r="D10" i="24"/>
  <c r="C10" i="24"/>
  <c r="AC9" i="24"/>
  <c r="T9" i="24"/>
  <c r="P9" i="24"/>
  <c r="D9" i="24"/>
  <c r="V9" i="24" s="1"/>
  <c r="C9" i="24"/>
  <c r="R23" i="23" l="1"/>
  <c r="W23" i="23" s="1"/>
  <c r="X23" i="23" s="1"/>
  <c r="T23" i="23"/>
  <c r="U23" i="23" s="1"/>
  <c r="V23" i="24"/>
  <c r="S24" i="24"/>
  <c r="V24" i="24"/>
  <c r="S23" i="24"/>
  <c r="T23" i="24"/>
  <c r="U23" i="24" s="1"/>
  <c r="T20" i="24"/>
  <c r="U20" i="24" s="1"/>
  <c r="Q10" i="24"/>
  <c r="T10" i="24"/>
  <c r="U10" i="24" s="1"/>
  <c r="P25" i="24"/>
  <c r="V10" i="24"/>
  <c r="X22" i="24"/>
  <c r="U9" i="24"/>
  <c r="V11" i="24"/>
  <c r="Q12" i="24"/>
  <c r="V14" i="24"/>
  <c r="Q9" i="24"/>
  <c r="Q13" i="24"/>
  <c r="Q15" i="24"/>
  <c r="T16" i="24"/>
  <c r="U16" i="24" s="1"/>
  <c r="V17" i="24"/>
  <c r="T19" i="24"/>
  <c r="U19" i="24" s="1"/>
  <c r="Q21" i="24"/>
  <c r="T24" i="24"/>
  <c r="U24" i="24" s="1"/>
  <c r="T17" i="24"/>
  <c r="U17" i="24" s="1"/>
  <c r="E25" i="24"/>
  <c r="Q11" i="24"/>
  <c r="V12" i="24"/>
  <c r="Q14" i="24"/>
  <c r="T15" i="24"/>
  <c r="U15" i="24" s="1"/>
  <c r="R16" i="24"/>
  <c r="W16" i="24" s="1"/>
  <c r="X16" i="24" s="1"/>
  <c r="Q17" i="24"/>
  <c r="R19" i="24"/>
  <c r="T21" i="24"/>
  <c r="U21" i="24" s="1"/>
  <c r="T11" i="24"/>
  <c r="U11" i="24" s="1"/>
  <c r="T14" i="24"/>
  <c r="U14" i="24" s="1"/>
  <c r="AC17" i="23"/>
  <c r="V17" i="23"/>
  <c r="S17" i="23"/>
  <c r="Q17" i="23"/>
  <c r="P17" i="23"/>
  <c r="AC17" i="22"/>
  <c r="V17" i="22"/>
  <c r="Q17" i="22"/>
  <c r="R17" i="22" s="1"/>
  <c r="P17" i="22"/>
  <c r="AC21" i="23"/>
  <c r="V21" i="23"/>
  <c r="S21" i="23"/>
  <c r="Q21" i="23"/>
  <c r="R21" i="23" s="1"/>
  <c r="P21" i="23"/>
  <c r="AC21" i="22"/>
  <c r="V21" i="22"/>
  <c r="S21" i="22"/>
  <c r="Q21" i="22"/>
  <c r="P21" i="22"/>
  <c r="AC22" i="21"/>
  <c r="V22" i="21"/>
  <c r="S22" i="21"/>
  <c r="Q22" i="21"/>
  <c r="P22" i="21"/>
  <c r="AC20" i="21"/>
  <c r="V20" i="21"/>
  <c r="Q20" i="21"/>
  <c r="R20" i="21" s="1"/>
  <c r="P20" i="21"/>
  <c r="AC23" i="21"/>
  <c r="V23" i="21"/>
  <c r="S23" i="21"/>
  <c r="Q23" i="21"/>
  <c r="P23" i="21"/>
  <c r="S25" i="24" l="1"/>
  <c r="W23" i="24"/>
  <c r="X23" i="24" s="1"/>
  <c r="W20" i="24"/>
  <c r="X20" i="24" s="1"/>
  <c r="V25" i="24"/>
  <c r="R12" i="24"/>
  <c r="W12" i="24" s="1"/>
  <c r="X12" i="24" s="1"/>
  <c r="R10" i="24"/>
  <c r="W10" i="24" s="1"/>
  <c r="X10" i="24" s="1"/>
  <c r="W19" i="24"/>
  <c r="X19" i="24" s="1"/>
  <c r="R14" i="24"/>
  <c r="W14" i="24" s="1"/>
  <c r="X14" i="24" s="1"/>
  <c r="W9" i="24"/>
  <c r="R9" i="24"/>
  <c r="Q25" i="24"/>
  <c r="R17" i="24"/>
  <c r="W17" i="24" s="1"/>
  <c r="X17" i="24" s="1"/>
  <c r="U25" i="24"/>
  <c r="T25" i="24"/>
  <c r="R13" i="24"/>
  <c r="W13" i="24" s="1"/>
  <c r="X13" i="24" s="1"/>
  <c r="R11" i="24"/>
  <c r="W11" i="24" s="1"/>
  <c r="X11" i="24" s="1"/>
  <c r="R21" i="24"/>
  <c r="W21" i="24"/>
  <c r="X21" i="24" s="1"/>
  <c r="R15" i="24"/>
  <c r="W15" i="24"/>
  <c r="X15" i="24" s="1"/>
  <c r="W24" i="24"/>
  <c r="X24" i="24" s="1"/>
  <c r="R17" i="23"/>
  <c r="W17" i="23" s="1"/>
  <c r="X17" i="23" s="1"/>
  <c r="T17" i="23"/>
  <c r="U17" i="23" s="1"/>
  <c r="S17" i="22"/>
  <c r="W17" i="22" s="1"/>
  <c r="X17" i="22" s="1"/>
  <c r="T17" i="22"/>
  <c r="U17" i="22" s="1"/>
  <c r="T21" i="23"/>
  <c r="U21" i="23" s="1"/>
  <c r="R21" i="22"/>
  <c r="W21" i="22" s="1"/>
  <c r="X21" i="22" s="1"/>
  <c r="T21" i="22"/>
  <c r="U21" i="22" s="1"/>
  <c r="R22" i="21"/>
  <c r="W22" i="21" s="1"/>
  <c r="X22" i="21" s="1"/>
  <c r="T22" i="21"/>
  <c r="U22" i="21" s="1"/>
  <c r="S20" i="21"/>
  <c r="W20" i="21" s="1"/>
  <c r="X20" i="21" s="1"/>
  <c r="T20" i="21"/>
  <c r="U20" i="21" s="1"/>
  <c r="R23" i="21"/>
  <c r="W23" i="21" s="1"/>
  <c r="X23" i="21" s="1"/>
  <c r="T23" i="21"/>
  <c r="U23" i="21" s="1"/>
  <c r="S9" i="21"/>
  <c r="O25" i="23"/>
  <c r="N25" i="23"/>
  <c r="M25" i="23"/>
  <c r="L25" i="23"/>
  <c r="K25" i="23"/>
  <c r="J25" i="23"/>
  <c r="I25" i="23"/>
  <c r="H25" i="23"/>
  <c r="G25" i="23"/>
  <c r="F25" i="23"/>
  <c r="U22" i="23"/>
  <c r="R22" i="23"/>
  <c r="W22" i="23" s="1"/>
  <c r="P22" i="23"/>
  <c r="W20" i="23"/>
  <c r="U20" i="23"/>
  <c r="R20" i="23"/>
  <c r="P20" i="23"/>
  <c r="X20" i="23" s="1"/>
  <c r="AC19" i="23"/>
  <c r="V19" i="23"/>
  <c r="Q19" i="23"/>
  <c r="P19" i="23"/>
  <c r="AC18" i="23"/>
  <c r="V18" i="23"/>
  <c r="R18" i="23"/>
  <c r="Q18" i="23"/>
  <c r="P18" i="23"/>
  <c r="AC16" i="23"/>
  <c r="V16" i="23"/>
  <c r="Q16" i="23"/>
  <c r="P16" i="23"/>
  <c r="AC15" i="23"/>
  <c r="V15" i="23"/>
  <c r="S15" i="23"/>
  <c r="R15" i="23"/>
  <c r="Q15" i="23"/>
  <c r="P15" i="23"/>
  <c r="AC14" i="23"/>
  <c r="P14" i="23"/>
  <c r="E14" i="23"/>
  <c r="D14" i="23"/>
  <c r="AC13" i="23"/>
  <c r="V13" i="23"/>
  <c r="T13" i="23"/>
  <c r="U13" i="23" s="1"/>
  <c r="Q13" i="23"/>
  <c r="P13" i="23"/>
  <c r="AC12" i="23"/>
  <c r="T12" i="23" s="1"/>
  <c r="U12" i="23" s="1"/>
  <c r="AC11" i="23"/>
  <c r="P11" i="23"/>
  <c r="E11" i="23"/>
  <c r="D11" i="23"/>
  <c r="V11" i="23" s="1"/>
  <c r="AC10" i="23"/>
  <c r="E10" i="23"/>
  <c r="P10" i="23" s="1"/>
  <c r="D10" i="23"/>
  <c r="C10" i="23"/>
  <c r="AC9" i="23"/>
  <c r="T9" i="23"/>
  <c r="Q9" i="23"/>
  <c r="P9" i="23"/>
  <c r="P25" i="23" s="1"/>
  <c r="D9" i="23"/>
  <c r="V9" i="23" s="1"/>
  <c r="C9" i="23"/>
  <c r="AC16" i="22"/>
  <c r="T16" i="22"/>
  <c r="U16" i="22" s="1"/>
  <c r="P16" i="22"/>
  <c r="V16" i="22" s="1"/>
  <c r="O25" i="22"/>
  <c r="N25" i="22"/>
  <c r="M25" i="22"/>
  <c r="L25" i="22"/>
  <c r="K25" i="22"/>
  <c r="J25" i="22"/>
  <c r="I25" i="22"/>
  <c r="H25" i="22"/>
  <c r="G25" i="22"/>
  <c r="F25" i="22"/>
  <c r="AC24" i="22"/>
  <c r="T24" i="22" s="1"/>
  <c r="U24" i="22" s="1"/>
  <c r="V24" i="22"/>
  <c r="S24" i="22"/>
  <c r="R24" i="22"/>
  <c r="Q24" i="22"/>
  <c r="W22" i="22"/>
  <c r="U22" i="22"/>
  <c r="R22" i="22"/>
  <c r="P22" i="22"/>
  <c r="X22" i="22" s="1"/>
  <c r="U20" i="22"/>
  <c r="R20" i="22"/>
  <c r="W20" i="22" s="1"/>
  <c r="P20" i="22"/>
  <c r="X20" i="22" s="1"/>
  <c r="AC19" i="22"/>
  <c r="V19" i="22"/>
  <c r="T19" i="22"/>
  <c r="U19" i="22" s="1"/>
  <c r="R19" i="22"/>
  <c r="W19" i="22" s="1"/>
  <c r="X19" i="22" s="1"/>
  <c r="Q19" i="22"/>
  <c r="P19" i="22"/>
  <c r="AC18" i="22"/>
  <c r="P18" i="22"/>
  <c r="AC15" i="22"/>
  <c r="V15" i="22"/>
  <c r="S15" i="22"/>
  <c r="R15" i="22"/>
  <c r="Q15" i="22"/>
  <c r="P15" i="22"/>
  <c r="AC14" i="22"/>
  <c r="E14" i="22"/>
  <c r="P14" i="22" s="1"/>
  <c r="D14" i="22"/>
  <c r="AC13" i="22"/>
  <c r="V13" i="22"/>
  <c r="T13" i="22"/>
  <c r="U13" i="22" s="1"/>
  <c r="R13" i="22"/>
  <c r="W13" i="22" s="1"/>
  <c r="X13" i="22" s="1"/>
  <c r="Q13" i="22"/>
  <c r="P13" i="22"/>
  <c r="AC12" i="22"/>
  <c r="V12" i="22" s="1"/>
  <c r="T12" i="22"/>
  <c r="U12" i="22" s="1"/>
  <c r="AC11" i="22"/>
  <c r="E11" i="22"/>
  <c r="P11" i="22" s="1"/>
  <c r="D11" i="22"/>
  <c r="V11" i="22" s="1"/>
  <c r="AC10" i="22"/>
  <c r="E10" i="22"/>
  <c r="P10" i="22" s="1"/>
  <c r="D10" i="22"/>
  <c r="V10" i="22" s="1"/>
  <c r="C10" i="22"/>
  <c r="AC9" i="22"/>
  <c r="P9" i="22"/>
  <c r="D9" i="22"/>
  <c r="V9" i="22" s="1"/>
  <c r="C9" i="22"/>
  <c r="P25" i="21"/>
  <c r="O25" i="21"/>
  <c r="N25" i="21"/>
  <c r="M25" i="21"/>
  <c r="L25" i="21"/>
  <c r="K25" i="21"/>
  <c r="J25" i="21"/>
  <c r="I25" i="21"/>
  <c r="H25" i="21"/>
  <c r="G25" i="21"/>
  <c r="F25" i="21"/>
  <c r="E25" i="21"/>
  <c r="AC21" i="21"/>
  <c r="V21" i="21"/>
  <c r="U21" i="21"/>
  <c r="T21" i="21"/>
  <c r="Q21" i="21"/>
  <c r="P21" i="21"/>
  <c r="AC19" i="21"/>
  <c r="V19" i="21"/>
  <c r="T19" i="21"/>
  <c r="U19" i="21" s="1"/>
  <c r="R19" i="21"/>
  <c r="Q19" i="21"/>
  <c r="P19" i="21"/>
  <c r="AC18" i="21"/>
  <c r="V18" i="21"/>
  <c r="T18" i="21"/>
  <c r="U18" i="21" s="1"/>
  <c r="S18" i="21"/>
  <c r="R18" i="21"/>
  <c r="W18" i="21" s="1"/>
  <c r="X18" i="21" s="1"/>
  <c r="Q18" i="21"/>
  <c r="P18" i="21"/>
  <c r="AC17" i="21"/>
  <c r="V17" i="21"/>
  <c r="T17" i="21"/>
  <c r="U17" i="21" s="1"/>
  <c r="S17" i="21"/>
  <c r="R17" i="21"/>
  <c r="W17" i="21" s="1"/>
  <c r="X17" i="21" s="1"/>
  <c r="Q17" i="21"/>
  <c r="P17" i="21"/>
  <c r="AC16" i="21"/>
  <c r="V16" i="21"/>
  <c r="T16" i="21"/>
  <c r="U16" i="21" s="1"/>
  <c r="Q16" i="21"/>
  <c r="P16" i="21"/>
  <c r="E16" i="21"/>
  <c r="AC15" i="21"/>
  <c r="V15" i="21"/>
  <c r="T15" i="21"/>
  <c r="U15" i="21" s="1"/>
  <c r="S15" i="21"/>
  <c r="R15" i="21"/>
  <c r="W15" i="21" s="1"/>
  <c r="X15" i="21" s="1"/>
  <c r="Q15" i="21"/>
  <c r="P15" i="21"/>
  <c r="AC14" i="21"/>
  <c r="V14" i="21"/>
  <c r="T14" i="21"/>
  <c r="U14" i="21" s="1"/>
  <c r="Q14" i="21"/>
  <c r="P14" i="21"/>
  <c r="E14" i="21"/>
  <c r="D14" i="21"/>
  <c r="AC13" i="21"/>
  <c r="V13" i="21"/>
  <c r="U13" i="21"/>
  <c r="T13" i="21"/>
  <c r="R13" i="21"/>
  <c r="W13" i="21" s="1"/>
  <c r="X13" i="21" s="1"/>
  <c r="Q13" i="21"/>
  <c r="P13" i="21"/>
  <c r="AC12" i="21"/>
  <c r="V12" i="21"/>
  <c r="T12" i="21"/>
  <c r="U12" i="21" s="1"/>
  <c r="Q12" i="21"/>
  <c r="AC11" i="21"/>
  <c r="V11" i="21"/>
  <c r="T11" i="21"/>
  <c r="U11" i="21" s="1"/>
  <c r="Q11" i="21"/>
  <c r="P11" i="21"/>
  <c r="E11" i="21"/>
  <c r="D11" i="21"/>
  <c r="AC10" i="21"/>
  <c r="V10" i="21"/>
  <c r="T10" i="21"/>
  <c r="U10" i="21" s="1"/>
  <c r="S25" i="21"/>
  <c r="Q10" i="21"/>
  <c r="R10" i="21" s="1"/>
  <c r="W10" i="21" s="1"/>
  <c r="X10" i="21" s="1"/>
  <c r="P10" i="21"/>
  <c r="E10" i="21"/>
  <c r="D10" i="21"/>
  <c r="C10" i="21"/>
  <c r="AC9" i="21"/>
  <c r="V9" i="21"/>
  <c r="V25" i="21" s="1"/>
  <c r="T9" i="21"/>
  <c r="R9" i="21"/>
  <c r="Q9" i="21"/>
  <c r="P9" i="21"/>
  <c r="D9" i="21"/>
  <c r="C9" i="21"/>
  <c r="W25" i="24" l="1"/>
  <c r="X9" i="24"/>
  <c r="X25" i="24" s="1"/>
  <c r="R25" i="24"/>
  <c r="W21" i="23"/>
  <c r="X21" i="23" s="1"/>
  <c r="Q25" i="21"/>
  <c r="T25" i="21"/>
  <c r="W9" i="23"/>
  <c r="S25" i="23"/>
  <c r="T10" i="23"/>
  <c r="U10" i="23" s="1"/>
  <c r="V10" i="23"/>
  <c r="Q10" i="23"/>
  <c r="W13" i="23"/>
  <c r="X13" i="23" s="1"/>
  <c r="X22" i="23"/>
  <c r="E25" i="23"/>
  <c r="U9" i="23"/>
  <c r="Q11" i="23"/>
  <c r="Q12" i="23"/>
  <c r="V12" i="23"/>
  <c r="Q14" i="23"/>
  <c r="V14" i="23"/>
  <c r="V25" i="23" s="1"/>
  <c r="T15" i="23"/>
  <c r="U15" i="23" s="1"/>
  <c r="R16" i="23"/>
  <c r="W16" i="23" s="1"/>
  <c r="X16" i="23" s="1"/>
  <c r="T18" i="23"/>
  <c r="U18" i="23" s="1"/>
  <c r="R19" i="23"/>
  <c r="W19" i="23" s="1"/>
  <c r="X19" i="23" s="1"/>
  <c r="T16" i="23"/>
  <c r="U16" i="23" s="1"/>
  <c r="T19" i="23"/>
  <c r="U19" i="23" s="1"/>
  <c r="R9" i="23"/>
  <c r="T11" i="23"/>
  <c r="U11" i="23" s="1"/>
  <c r="R13" i="23"/>
  <c r="T14" i="23"/>
  <c r="U14" i="23" s="1"/>
  <c r="Q16" i="22"/>
  <c r="W24" i="22"/>
  <c r="X24" i="22" s="1"/>
  <c r="T14" i="22"/>
  <c r="U14" i="22" s="1"/>
  <c r="V14" i="22"/>
  <c r="Q14" i="22"/>
  <c r="W15" i="22"/>
  <c r="X15" i="22" s="1"/>
  <c r="V25" i="22"/>
  <c r="Q11" i="22"/>
  <c r="T11" i="22"/>
  <c r="U11" i="22" s="1"/>
  <c r="P25" i="22"/>
  <c r="Q10" i="22"/>
  <c r="T10" i="22"/>
  <c r="U10" i="22" s="1"/>
  <c r="T9" i="22"/>
  <c r="T18" i="22"/>
  <c r="U18" i="22" s="1"/>
  <c r="E25" i="22"/>
  <c r="Q18" i="22"/>
  <c r="Q12" i="22"/>
  <c r="T15" i="22"/>
  <c r="U15" i="22" s="1"/>
  <c r="V18" i="22"/>
  <c r="Q9" i="22"/>
  <c r="S25" i="22"/>
  <c r="W16" i="21"/>
  <c r="X16" i="21" s="1"/>
  <c r="W19" i="21"/>
  <c r="X19" i="21" s="1"/>
  <c r="W12" i="21"/>
  <c r="X12" i="21" s="1"/>
  <c r="U9" i="21"/>
  <c r="U25" i="21" s="1"/>
  <c r="R21" i="21"/>
  <c r="W21" i="21" s="1"/>
  <c r="X21" i="21" s="1"/>
  <c r="R11" i="21"/>
  <c r="R25" i="21" s="1"/>
  <c r="R12" i="21"/>
  <c r="R14" i="21"/>
  <c r="W14" i="21" s="1"/>
  <c r="X14" i="21" s="1"/>
  <c r="R16" i="21"/>
  <c r="O25" i="20"/>
  <c r="N25" i="20"/>
  <c r="M25" i="20"/>
  <c r="L25" i="20"/>
  <c r="K25" i="20"/>
  <c r="J25" i="20"/>
  <c r="I25" i="20"/>
  <c r="H25" i="20"/>
  <c r="G25" i="20"/>
  <c r="F25" i="20"/>
  <c r="E25" i="20"/>
  <c r="AC24" i="20"/>
  <c r="V24" i="20"/>
  <c r="T24" i="20"/>
  <c r="U24" i="20" s="1"/>
  <c r="S24" i="20"/>
  <c r="Q24" i="20"/>
  <c r="W23" i="20"/>
  <c r="X23" i="20" s="1"/>
  <c r="U23" i="20"/>
  <c r="R23" i="20"/>
  <c r="P23" i="20"/>
  <c r="W22" i="20"/>
  <c r="X22" i="20" s="1"/>
  <c r="U22" i="20"/>
  <c r="R22" i="20"/>
  <c r="P22" i="20"/>
  <c r="AC21" i="20"/>
  <c r="V21" i="20"/>
  <c r="U21" i="20"/>
  <c r="T21" i="20"/>
  <c r="Q21" i="20"/>
  <c r="P21" i="20"/>
  <c r="X20" i="20"/>
  <c r="W20" i="20"/>
  <c r="U20" i="20"/>
  <c r="R20" i="20"/>
  <c r="P20" i="20"/>
  <c r="AC19" i="20"/>
  <c r="V19" i="20"/>
  <c r="T19" i="20"/>
  <c r="U19" i="20" s="1"/>
  <c r="Q19" i="20"/>
  <c r="P19" i="20"/>
  <c r="AC18" i="20"/>
  <c r="V18" i="20"/>
  <c r="U18" i="20"/>
  <c r="T18" i="20"/>
  <c r="S18" i="20"/>
  <c r="Q18" i="20"/>
  <c r="R18" i="20" s="1"/>
  <c r="W18" i="20" s="1"/>
  <c r="X18" i="20" s="1"/>
  <c r="P18" i="20"/>
  <c r="AC17" i="20"/>
  <c r="V17" i="20"/>
  <c r="U17" i="20"/>
  <c r="T17" i="20"/>
  <c r="S17" i="20"/>
  <c r="Q17" i="20"/>
  <c r="P17" i="20"/>
  <c r="AC16" i="20"/>
  <c r="P16" i="20"/>
  <c r="V16" i="20" s="1"/>
  <c r="E16" i="20"/>
  <c r="AC15" i="20"/>
  <c r="V15" i="20"/>
  <c r="U15" i="20"/>
  <c r="T15" i="20"/>
  <c r="S15" i="20"/>
  <c r="Q15" i="20"/>
  <c r="P15" i="20"/>
  <c r="AC14" i="20"/>
  <c r="P14" i="20"/>
  <c r="V14" i="20" s="1"/>
  <c r="E14" i="20"/>
  <c r="D14" i="20"/>
  <c r="AC13" i="20"/>
  <c r="V13" i="20"/>
  <c r="T13" i="20"/>
  <c r="U13" i="20" s="1"/>
  <c r="Q13" i="20"/>
  <c r="P13" i="20"/>
  <c r="AC12" i="20"/>
  <c r="V12" i="20"/>
  <c r="U12" i="20"/>
  <c r="T12" i="20"/>
  <c r="R12" i="20"/>
  <c r="W12" i="20" s="1"/>
  <c r="X12" i="20" s="1"/>
  <c r="Q12" i="20"/>
  <c r="AC11" i="20"/>
  <c r="P11" i="20"/>
  <c r="V11" i="20" s="1"/>
  <c r="E11" i="20"/>
  <c r="D11" i="20"/>
  <c r="AC10" i="20"/>
  <c r="V10" i="20"/>
  <c r="P10" i="20"/>
  <c r="P25" i="20" s="1"/>
  <c r="E10" i="20"/>
  <c r="D10" i="20"/>
  <c r="C10" i="20"/>
  <c r="AC9" i="20"/>
  <c r="V9" i="20"/>
  <c r="U9" i="20"/>
  <c r="T9" i="20"/>
  <c r="S9" i="20"/>
  <c r="Q9" i="20"/>
  <c r="R9" i="20" s="1"/>
  <c r="P9" i="20"/>
  <c r="D9" i="20"/>
  <c r="C9" i="20"/>
  <c r="R12" i="23" l="1"/>
  <c r="W12" i="23" s="1"/>
  <c r="X12" i="23" s="1"/>
  <c r="R14" i="23"/>
  <c r="R25" i="23" s="1"/>
  <c r="U25" i="23"/>
  <c r="R10" i="23"/>
  <c r="W10" i="23" s="1"/>
  <c r="T25" i="23"/>
  <c r="R11" i="23"/>
  <c r="W11" i="23" s="1"/>
  <c r="X11" i="23" s="1"/>
  <c r="X9" i="23"/>
  <c r="Q25" i="23"/>
  <c r="W15" i="23"/>
  <c r="X15" i="23" s="1"/>
  <c r="W18" i="23"/>
  <c r="X18" i="23" s="1"/>
  <c r="R16" i="22"/>
  <c r="W16" i="22" s="1"/>
  <c r="X16" i="22" s="1"/>
  <c r="R12" i="22"/>
  <c r="W12" i="22" s="1"/>
  <c r="X12" i="22" s="1"/>
  <c r="T25" i="22"/>
  <c r="U9" i="22"/>
  <c r="U25" i="22" s="1"/>
  <c r="R11" i="22"/>
  <c r="W11" i="22" s="1"/>
  <c r="X11" i="22" s="1"/>
  <c r="R14" i="22"/>
  <c r="W14" i="22" s="1"/>
  <c r="X14" i="22" s="1"/>
  <c r="R9" i="22"/>
  <c r="Q25" i="22"/>
  <c r="R10" i="22"/>
  <c r="W10" i="22"/>
  <c r="X10" i="22" s="1"/>
  <c r="W18" i="22"/>
  <c r="X18" i="22" s="1"/>
  <c r="R18" i="22"/>
  <c r="W11" i="21"/>
  <c r="X11" i="21" s="1"/>
  <c r="W9" i="21"/>
  <c r="V25" i="20"/>
  <c r="W21" i="20"/>
  <c r="X21" i="20" s="1"/>
  <c r="W9" i="20"/>
  <c r="S10" i="20"/>
  <c r="S25" i="20" s="1"/>
  <c r="T11" i="20"/>
  <c r="U11" i="20" s="1"/>
  <c r="R13" i="20"/>
  <c r="W13" i="20" s="1"/>
  <c r="X13" i="20" s="1"/>
  <c r="T14" i="20"/>
  <c r="U14" i="20" s="1"/>
  <c r="R15" i="20"/>
  <c r="W15" i="20" s="1"/>
  <c r="X15" i="20" s="1"/>
  <c r="T16" i="20"/>
  <c r="U16" i="20" s="1"/>
  <c r="R17" i="20"/>
  <c r="W17" i="20" s="1"/>
  <c r="X17" i="20" s="1"/>
  <c r="R19" i="20"/>
  <c r="W19" i="20" s="1"/>
  <c r="X19" i="20" s="1"/>
  <c r="R24" i="20"/>
  <c r="W24" i="20" s="1"/>
  <c r="X24" i="20" s="1"/>
  <c r="T10" i="20"/>
  <c r="U10" i="20" s="1"/>
  <c r="U25" i="20" s="1"/>
  <c r="Q10" i="20"/>
  <c r="Q11" i="20"/>
  <c r="Q14" i="20"/>
  <c r="Q16" i="20"/>
  <c r="R21" i="20"/>
  <c r="U23" i="19"/>
  <c r="R23" i="19"/>
  <c r="W23" i="19" s="1"/>
  <c r="P23" i="19"/>
  <c r="X23" i="19" s="1"/>
  <c r="X10" i="23" l="1"/>
  <c r="W14" i="23"/>
  <c r="X14" i="23" s="1"/>
  <c r="X25" i="23"/>
  <c r="R25" i="22"/>
  <c r="W9" i="22"/>
  <c r="X9" i="21"/>
  <c r="X25" i="21" s="1"/>
  <c r="W25" i="21"/>
  <c r="R10" i="20"/>
  <c r="W10" i="20" s="1"/>
  <c r="X9" i="20"/>
  <c r="R16" i="20"/>
  <c r="W16" i="20" s="1"/>
  <c r="X16" i="20" s="1"/>
  <c r="R11" i="20"/>
  <c r="W11" i="20" s="1"/>
  <c r="X11" i="20" s="1"/>
  <c r="Q25" i="20"/>
  <c r="R14" i="20"/>
  <c r="W14" i="20" s="1"/>
  <c r="X14" i="20" s="1"/>
  <c r="T25" i="20"/>
  <c r="AC19" i="17"/>
  <c r="V19" i="17"/>
  <c r="Q19" i="17"/>
  <c r="P19" i="17"/>
  <c r="AC19" i="18"/>
  <c r="V19" i="18"/>
  <c r="Q19" i="18"/>
  <c r="P19" i="18"/>
  <c r="V19" i="19"/>
  <c r="T19" i="19"/>
  <c r="U19" i="19" s="1"/>
  <c r="Q19" i="19"/>
  <c r="O25" i="19"/>
  <c r="N25" i="19"/>
  <c r="M25" i="19"/>
  <c r="L25" i="19"/>
  <c r="K25" i="19"/>
  <c r="J25" i="19"/>
  <c r="I25" i="19"/>
  <c r="H25" i="19"/>
  <c r="G25" i="19"/>
  <c r="F25" i="19"/>
  <c r="AC24" i="19"/>
  <c r="V24" i="19" s="1"/>
  <c r="T24" i="19"/>
  <c r="U24" i="19" s="1"/>
  <c r="S24" i="19"/>
  <c r="Q24" i="19"/>
  <c r="R24" i="19" s="1"/>
  <c r="W22" i="19"/>
  <c r="U22" i="19"/>
  <c r="R22" i="19"/>
  <c r="P22" i="19"/>
  <c r="X22" i="19" s="1"/>
  <c r="AC21" i="19"/>
  <c r="P21" i="19"/>
  <c r="U20" i="19"/>
  <c r="R20" i="19"/>
  <c r="W20" i="19" s="1"/>
  <c r="P20" i="19"/>
  <c r="X20" i="19" s="1"/>
  <c r="AC19" i="19"/>
  <c r="P19" i="19"/>
  <c r="AC18" i="19"/>
  <c r="V18" i="19"/>
  <c r="S18" i="19"/>
  <c r="P18" i="19"/>
  <c r="Q18" i="19" s="1"/>
  <c r="AC17" i="19"/>
  <c r="P17" i="19"/>
  <c r="AC16" i="19"/>
  <c r="E16" i="19"/>
  <c r="P16" i="19" s="1"/>
  <c r="V16" i="19" s="1"/>
  <c r="AC15" i="19"/>
  <c r="P15" i="19"/>
  <c r="AC14" i="19"/>
  <c r="E14" i="19"/>
  <c r="P14" i="19" s="1"/>
  <c r="V14" i="19" s="1"/>
  <c r="D14" i="19"/>
  <c r="AC13" i="19"/>
  <c r="P13" i="19"/>
  <c r="AC12" i="19"/>
  <c r="V12" i="19"/>
  <c r="T12" i="19"/>
  <c r="U12" i="19" s="1"/>
  <c r="R12" i="19"/>
  <c r="Q12" i="19"/>
  <c r="AC11" i="19"/>
  <c r="E11" i="19"/>
  <c r="P11" i="19" s="1"/>
  <c r="D11" i="19"/>
  <c r="V11" i="19" s="1"/>
  <c r="AC10" i="19"/>
  <c r="E10" i="19"/>
  <c r="E25" i="19" s="1"/>
  <c r="D10" i="19"/>
  <c r="C10" i="19"/>
  <c r="AC9" i="19"/>
  <c r="S9" i="19"/>
  <c r="P9" i="19"/>
  <c r="D9" i="19"/>
  <c r="V9" i="19" s="1"/>
  <c r="C9" i="19"/>
  <c r="O25" i="18"/>
  <c r="N25" i="18"/>
  <c r="M25" i="18"/>
  <c r="L25" i="18"/>
  <c r="K25" i="18"/>
  <c r="J25" i="18"/>
  <c r="I25" i="18"/>
  <c r="H25" i="18"/>
  <c r="G25" i="18"/>
  <c r="F25" i="18"/>
  <c r="E25" i="18"/>
  <c r="AC24" i="18"/>
  <c r="T24" i="18" s="1"/>
  <c r="U24" i="18" s="1"/>
  <c r="V24" i="18"/>
  <c r="S24" i="18"/>
  <c r="R24" i="18"/>
  <c r="Q24" i="18"/>
  <c r="U22" i="18"/>
  <c r="W22" i="18" s="1"/>
  <c r="R22" i="18"/>
  <c r="P22" i="18"/>
  <c r="X22" i="18" s="1"/>
  <c r="AC21" i="18"/>
  <c r="P21" i="18"/>
  <c r="V21" i="18" s="1"/>
  <c r="U20" i="18"/>
  <c r="R20" i="18"/>
  <c r="W20" i="18" s="1"/>
  <c r="P20" i="18"/>
  <c r="AC18" i="18"/>
  <c r="V18" i="18" s="1"/>
  <c r="Q18" i="18"/>
  <c r="R18" i="18" s="1"/>
  <c r="P18" i="18"/>
  <c r="AC17" i="18"/>
  <c r="S17" i="18"/>
  <c r="P17" i="18"/>
  <c r="V17" i="18" s="1"/>
  <c r="AC16" i="18"/>
  <c r="P16" i="18"/>
  <c r="E16" i="18"/>
  <c r="AC15" i="18"/>
  <c r="S15" i="18"/>
  <c r="P15" i="18"/>
  <c r="V15" i="18" s="1"/>
  <c r="AC14" i="18"/>
  <c r="P14" i="18"/>
  <c r="E14" i="18"/>
  <c r="D14" i="18"/>
  <c r="AC13" i="18"/>
  <c r="T13" i="18"/>
  <c r="U13" i="18" s="1"/>
  <c r="P13" i="18"/>
  <c r="V13" i="18" s="1"/>
  <c r="AC12" i="18"/>
  <c r="T12" i="18" s="1"/>
  <c r="U12" i="18" s="1"/>
  <c r="AC11" i="18"/>
  <c r="V11" i="18"/>
  <c r="Q11" i="18"/>
  <c r="P11" i="18"/>
  <c r="E11" i="18"/>
  <c r="D11" i="18"/>
  <c r="AC10" i="18"/>
  <c r="Q10" i="18" s="1"/>
  <c r="P10" i="18"/>
  <c r="E10" i="18"/>
  <c r="D10" i="18"/>
  <c r="V10" i="18" s="1"/>
  <c r="C10" i="18"/>
  <c r="AC9" i="18"/>
  <c r="V9" i="18"/>
  <c r="S9" i="18"/>
  <c r="R9" i="18"/>
  <c r="Q9" i="18"/>
  <c r="P9" i="18"/>
  <c r="P25" i="18" s="1"/>
  <c r="D9" i="18"/>
  <c r="C9" i="18"/>
  <c r="O25" i="17"/>
  <c r="N25" i="17"/>
  <c r="M25" i="17"/>
  <c r="L25" i="17"/>
  <c r="K25" i="17"/>
  <c r="J25" i="17"/>
  <c r="I25" i="17"/>
  <c r="H25" i="17"/>
  <c r="G25" i="17"/>
  <c r="F25" i="17"/>
  <c r="E25" i="17"/>
  <c r="AC24" i="17"/>
  <c r="T24" i="17" s="1"/>
  <c r="U24" i="17" s="1"/>
  <c r="V24" i="17"/>
  <c r="S24" i="17"/>
  <c r="R24" i="17"/>
  <c r="Q24" i="17"/>
  <c r="U22" i="17"/>
  <c r="W22" i="17" s="1"/>
  <c r="R22" i="17"/>
  <c r="P22" i="17"/>
  <c r="X22" i="17" s="1"/>
  <c r="AC21" i="17"/>
  <c r="P21" i="17"/>
  <c r="U20" i="17"/>
  <c r="R20" i="17"/>
  <c r="W20" i="17" s="1"/>
  <c r="P20" i="17"/>
  <c r="X20" i="17" s="1"/>
  <c r="AC18" i="17"/>
  <c r="V18" i="17"/>
  <c r="S18" i="17"/>
  <c r="R18" i="17"/>
  <c r="Q18" i="17"/>
  <c r="P18" i="17"/>
  <c r="AC17" i="17"/>
  <c r="P17" i="17"/>
  <c r="S17" i="17" s="1"/>
  <c r="AC16" i="17"/>
  <c r="V16" i="17"/>
  <c r="Q16" i="17"/>
  <c r="P16" i="17"/>
  <c r="E16" i="17"/>
  <c r="AC15" i="17"/>
  <c r="P15" i="17"/>
  <c r="S15" i="17" s="1"/>
  <c r="AC14" i="17"/>
  <c r="V14" i="17"/>
  <c r="Q14" i="17"/>
  <c r="P14" i="17"/>
  <c r="E14" i="17"/>
  <c r="D14" i="17"/>
  <c r="AC13" i="17"/>
  <c r="P13" i="17"/>
  <c r="AC12" i="17"/>
  <c r="T12" i="17" s="1"/>
  <c r="U12" i="17" s="1"/>
  <c r="V12" i="17"/>
  <c r="R12" i="17"/>
  <c r="Q12" i="17"/>
  <c r="AC11" i="17"/>
  <c r="E11" i="17"/>
  <c r="P11" i="17" s="1"/>
  <c r="D11" i="17"/>
  <c r="AC10" i="17"/>
  <c r="E10" i="17"/>
  <c r="P10" i="17" s="1"/>
  <c r="D10" i="17"/>
  <c r="V10" i="17" s="1"/>
  <c r="C10" i="17"/>
  <c r="AC9" i="17"/>
  <c r="S9" i="17"/>
  <c r="P9" i="17"/>
  <c r="D9" i="17"/>
  <c r="V9" i="17" s="1"/>
  <c r="C9" i="17"/>
  <c r="W25" i="23" l="1"/>
  <c r="W25" i="22"/>
  <c r="X9" i="22"/>
  <c r="X25" i="22" s="1"/>
  <c r="X10" i="20"/>
  <c r="W25" i="20"/>
  <c r="X25" i="20"/>
  <c r="R25" i="20"/>
  <c r="T21" i="18"/>
  <c r="U21" i="18" s="1"/>
  <c r="R19" i="17"/>
  <c r="W19" i="17" s="1"/>
  <c r="X19" i="17" s="1"/>
  <c r="T19" i="17"/>
  <c r="U19" i="17" s="1"/>
  <c r="R19" i="18"/>
  <c r="W19" i="18" s="1"/>
  <c r="X19" i="18" s="1"/>
  <c r="T19" i="18"/>
  <c r="U19" i="18" s="1"/>
  <c r="R19" i="19"/>
  <c r="W19" i="19" s="1"/>
  <c r="X19" i="19" s="1"/>
  <c r="T13" i="19"/>
  <c r="U13" i="19" s="1"/>
  <c r="V13" i="19"/>
  <c r="Q13" i="19"/>
  <c r="S15" i="19"/>
  <c r="V15" i="19"/>
  <c r="Q15" i="19"/>
  <c r="S17" i="19"/>
  <c r="V17" i="19"/>
  <c r="Q17" i="19"/>
  <c r="Q11" i="19"/>
  <c r="T11" i="19"/>
  <c r="U11" i="19" s="1"/>
  <c r="W24" i="19"/>
  <c r="X24" i="19" s="1"/>
  <c r="T14" i="19"/>
  <c r="U14" i="19" s="1"/>
  <c r="T16" i="19"/>
  <c r="U16" i="19" s="1"/>
  <c r="Q14" i="19"/>
  <c r="T15" i="19"/>
  <c r="U15" i="19" s="1"/>
  <c r="Q16" i="19"/>
  <c r="T17" i="19"/>
  <c r="U17" i="19" s="1"/>
  <c r="P25" i="19"/>
  <c r="W12" i="19"/>
  <c r="X12" i="19" s="1"/>
  <c r="R18" i="19"/>
  <c r="W18" i="19" s="1"/>
  <c r="X18" i="19" s="1"/>
  <c r="T9" i="19"/>
  <c r="Q21" i="19"/>
  <c r="V21" i="19"/>
  <c r="Q9" i="19"/>
  <c r="P10" i="19"/>
  <c r="T18" i="19"/>
  <c r="U18" i="19" s="1"/>
  <c r="T21" i="19"/>
  <c r="U21" i="19" s="1"/>
  <c r="R10" i="18"/>
  <c r="W10" i="18" s="1"/>
  <c r="X10" i="18" s="1"/>
  <c r="W24" i="18"/>
  <c r="X24" i="18" s="1"/>
  <c r="X20" i="18"/>
  <c r="V12" i="18"/>
  <c r="V25" i="18" s="1"/>
  <c r="Q14" i="18"/>
  <c r="Q16" i="18"/>
  <c r="T9" i="18"/>
  <c r="S10" i="18"/>
  <c r="T11" i="18"/>
  <c r="U11" i="18" s="1"/>
  <c r="S25" i="18"/>
  <c r="Q13" i="18"/>
  <c r="Q15" i="18"/>
  <c r="Q17" i="18"/>
  <c r="S18" i="18"/>
  <c r="W18" i="18" s="1"/>
  <c r="X18" i="18" s="1"/>
  <c r="Q21" i="18"/>
  <c r="Q12" i="18"/>
  <c r="R11" i="18"/>
  <c r="W11" i="18" s="1"/>
  <c r="X11" i="18" s="1"/>
  <c r="V14" i="18"/>
  <c r="T15" i="18"/>
  <c r="U15" i="18" s="1"/>
  <c r="V16" i="18"/>
  <c r="T17" i="18"/>
  <c r="U17" i="18" s="1"/>
  <c r="T10" i="18"/>
  <c r="U10" i="18" s="1"/>
  <c r="T14" i="18"/>
  <c r="U14" i="18" s="1"/>
  <c r="T16" i="18"/>
  <c r="U16" i="18" s="1"/>
  <c r="T18" i="18"/>
  <c r="U18" i="18" s="1"/>
  <c r="P25" i="17"/>
  <c r="Q11" i="17"/>
  <c r="T11" i="17"/>
  <c r="U11" i="17" s="1"/>
  <c r="Q10" i="17"/>
  <c r="S10" i="17"/>
  <c r="S25" i="17" s="1"/>
  <c r="T10" i="17"/>
  <c r="U10" i="17" s="1"/>
  <c r="W24" i="17"/>
  <c r="X24" i="17" s="1"/>
  <c r="V11" i="17"/>
  <c r="W12" i="17"/>
  <c r="X12" i="17" s="1"/>
  <c r="T15" i="17"/>
  <c r="U15" i="17" s="1"/>
  <c r="T17" i="17"/>
  <c r="U17" i="17" s="1"/>
  <c r="T21" i="17"/>
  <c r="U21" i="17" s="1"/>
  <c r="V13" i="17"/>
  <c r="R14" i="17"/>
  <c r="Q15" i="17"/>
  <c r="R16" i="17"/>
  <c r="W16" i="17" s="1"/>
  <c r="X16" i="17" s="1"/>
  <c r="Q17" i="17"/>
  <c r="Q21" i="17"/>
  <c r="Q9" i="17"/>
  <c r="T14" i="17"/>
  <c r="U14" i="17" s="1"/>
  <c r="V15" i="17"/>
  <c r="T16" i="17"/>
  <c r="U16" i="17" s="1"/>
  <c r="V17" i="17"/>
  <c r="T18" i="17"/>
  <c r="U18" i="17" s="1"/>
  <c r="V21" i="17"/>
  <c r="T9" i="17"/>
  <c r="Q13" i="17"/>
  <c r="T13" i="17"/>
  <c r="U13" i="17" s="1"/>
  <c r="AC15" i="16"/>
  <c r="V15" i="16"/>
  <c r="S15" i="16"/>
  <c r="Q15" i="16"/>
  <c r="R15" i="16" s="1"/>
  <c r="P15" i="16"/>
  <c r="U22" i="16"/>
  <c r="R22" i="16"/>
  <c r="W22" i="16" s="1"/>
  <c r="P22" i="16"/>
  <c r="X22" i="16" s="1"/>
  <c r="Q25" i="18" l="1"/>
  <c r="R15" i="19"/>
  <c r="W15" i="19" s="1"/>
  <c r="X15" i="19" s="1"/>
  <c r="R16" i="19"/>
  <c r="W16" i="19" s="1"/>
  <c r="X16" i="19" s="1"/>
  <c r="R17" i="19"/>
  <c r="W17" i="19" s="1"/>
  <c r="X17" i="19" s="1"/>
  <c r="Q10" i="19"/>
  <c r="Q25" i="19" s="1"/>
  <c r="T10" i="19"/>
  <c r="U10" i="19" s="1"/>
  <c r="S10" i="19"/>
  <c r="S25" i="19" s="1"/>
  <c r="R21" i="19"/>
  <c r="W21" i="19" s="1"/>
  <c r="X21" i="19" s="1"/>
  <c r="R11" i="19"/>
  <c r="W11" i="19"/>
  <c r="X11" i="19" s="1"/>
  <c r="R9" i="19"/>
  <c r="T25" i="19"/>
  <c r="U9" i="19"/>
  <c r="U25" i="19" s="1"/>
  <c r="W14" i="19"/>
  <c r="X14" i="19" s="1"/>
  <c r="R14" i="19"/>
  <c r="R13" i="19"/>
  <c r="W13" i="19" s="1"/>
  <c r="X13" i="19" s="1"/>
  <c r="V10" i="19"/>
  <c r="V25" i="19" s="1"/>
  <c r="R16" i="18"/>
  <c r="W16" i="18" s="1"/>
  <c r="X16" i="18" s="1"/>
  <c r="T25" i="18"/>
  <c r="U9" i="18"/>
  <c r="U25" i="18" s="1"/>
  <c r="R12" i="18"/>
  <c r="W12" i="18"/>
  <c r="X12" i="18" s="1"/>
  <c r="R21" i="18"/>
  <c r="W21" i="18" s="1"/>
  <c r="X21" i="18" s="1"/>
  <c r="R17" i="18"/>
  <c r="W17" i="18"/>
  <c r="X17" i="18" s="1"/>
  <c r="R15" i="18"/>
  <c r="W15" i="18"/>
  <c r="X15" i="18" s="1"/>
  <c r="R13" i="18"/>
  <c r="W13" i="18" s="1"/>
  <c r="X13" i="18" s="1"/>
  <c r="R14" i="18"/>
  <c r="W14" i="18" s="1"/>
  <c r="X14" i="18" s="1"/>
  <c r="V25" i="17"/>
  <c r="R15" i="17"/>
  <c r="W15" i="17" s="1"/>
  <c r="X15" i="17" s="1"/>
  <c r="R10" i="17"/>
  <c r="W10" i="17" s="1"/>
  <c r="X10" i="17" s="1"/>
  <c r="R21" i="17"/>
  <c r="W21" i="17" s="1"/>
  <c r="X21" i="17" s="1"/>
  <c r="W14" i="17"/>
  <c r="X14" i="17" s="1"/>
  <c r="T25" i="17"/>
  <c r="U9" i="17"/>
  <c r="U25" i="17" s="1"/>
  <c r="R9" i="17"/>
  <c r="Q25" i="17"/>
  <c r="W9" i="17"/>
  <c r="R13" i="17"/>
  <c r="W13" i="17" s="1"/>
  <c r="X13" i="17" s="1"/>
  <c r="R17" i="17"/>
  <c r="W17" i="17" s="1"/>
  <c r="X17" i="17" s="1"/>
  <c r="W18" i="17"/>
  <c r="X18" i="17" s="1"/>
  <c r="R11" i="17"/>
  <c r="W11" i="17" s="1"/>
  <c r="X11" i="17" s="1"/>
  <c r="T15" i="16"/>
  <c r="U15" i="16" s="1"/>
  <c r="AC22" i="15"/>
  <c r="V22" i="15"/>
  <c r="S22" i="15"/>
  <c r="R22" i="15"/>
  <c r="Q22" i="15"/>
  <c r="P22" i="15"/>
  <c r="O25" i="16"/>
  <c r="N25" i="16"/>
  <c r="M25" i="16"/>
  <c r="L25" i="16"/>
  <c r="K25" i="16"/>
  <c r="J25" i="16"/>
  <c r="I25" i="16"/>
  <c r="H25" i="16"/>
  <c r="G25" i="16"/>
  <c r="F25" i="16"/>
  <c r="AC24" i="16"/>
  <c r="T24" i="16" s="1"/>
  <c r="U24" i="16" s="1"/>
  <c r="V24" i="16"/>
  <c r="Q24" i="16"/>
  <c r="AC21" i="16"/>
  <c r="S21" i="16"/>
  <c r="P21" i="16"/>
  <c r="V21" i="16" s="1"/>
  <c r="U20" i="16"/>
  <c r="R20" i="16"/>
  <c r="W20" i="16" s="1"/>
  <c r="P20" i="16"/>
  <c r="X20" i="16" s="1"/>
  <c r="AC19" i="16"/>
  <c r="P19" i="16"/>
  <c r="X19" i="16" s="1"/>
  <c r="AC18" i="16"/>
  <c r="V18" i="16" s="1"/>
  <c r="Q18" i="16"/>
  <c r="P18" i="16"/>
  <c r="AC17" i="16"/>
  <c r="S17" i="16"/>
  <c r="P17" i="16"/>
  <c r="V17" i="16" s="1"/>
  <c r="AC16" i="16"/>
  <c r="E16" i="16"/>
  <c r="P16" i="16" s="1"/>
  <c r="AC14" i="16"/>
  <c r="P14" i="16"/>
  <c r="E14" i="16"/>
  <c r="D14" i="16"/>
  <c r="AC13" i="16"/>
  <c r="T13" i="16"/>
  <c r="U13" i="16" s="1"/>
  <c r="P13" i="16"/>
  <c r="Q13" i="16" s="1"/>
  <c r="AC12" i="16"/>
  <c r="T12" i="16" s="1"/>
  <c r="U12" i="16" s="1"/>
  <c r="Q12" i="16"/>
  <c r="AC11" i="16"/>
  <c r="E11" i="16"/>
  <c r="P11" i="16" s="1"/>
  <c r="D11" i="16"/>
  <c r="AC10" i="16"/>
  <c r="E10" i="16"/>
  <c r="P10" i="16" s="1"/>
  <c r="D10" i="16"/>
  <c r="V10" i="16" s="1"/>
  <c r="C10" i="16"/>
  <c r="AC9" i="16"/>
  <c r="S9" i="16"/>
  <c r="P9" i="16"/>
  <c r="D9" i="16"/>
  <c r="V9" i="16" s="1"/>
  <c r="C9" i="16"/>
  <c r="R10" i="19" l="1"/>
  <c r="R25" i="19" s="1"/>
  <c r="W9" i="19"/>
  <c r="R25" i="18"/>
  <c r="W9" i="18"/>
  <c r="W25" i="17"/>
  <c r="X9" i="17"/>
  <c r="X25" i="17" s="1"/>
  <c r="R25" i="17"/>
  <c r="W15" i="16"/>
  <c r="X15" i="16" s="1"/>
  <c r="T22" i="15"/>
  <c r="U22" i="15" s="1"/>
  <c r="R13" i="16"/>
  <c r="W13" i="16" s="1"/>
  <c r="X13" i="16" s="1"/>
  <c r="Q10" i="16"/>
  <c r="T10" i="16"/>
  <c r="U10" i="16" s="1"/>
  <c r="S10" i="16"/>
  <c r="V11" i="16"/>
  <c r="Q11" i="16"/>
  <c r="T11" i="16"/>
  <c r="U11" i="16" s="1"/>
  <c r="P25" i="16"/>
  <c r="V12" i="16"/>
  <c r="V14" i="16"/>
  <c r="Q16" i="16"/>
  <c r="V16" i="16"/>
  <c r="T17" i="16"/>
  <c r="U17" i="16" s="1"/>
  <c r="R18" i="16"/>
  <c r="W18" i="16" s="1"/>
  <c r="X18" i="16" s="1"/>
  <c r="V13" i="16"/>
  <c r="S18" i="16"/>
  <c r="E25" i="16"/>
  <c r="R12" i="16"/>
  <c r="W12" i="16" s="1"/>
  <c r="X12" i="16" s="1"/>
  <c r="Q14" i="16"/>
  <c r="T21" i="16"/>
  <c r="U21" i="16" s="1"/>
  <c r="T9" i="16"/>
  <c r="S12" i="16"/>
  <c r="Q17" i="16"/>
  <c r="Q21" i="16"/>
  <c r="R24" i="16"/>
  <c r="W24" i="16" s="1"/>
  <c r="X24" i="16" s="1"/>
  <c r="Q9" i="16"/>
  <c r="T14" i="16"/>
  <c r="U14" i="16" s="1"/>
  <c r="T16" i="16"/>
  <c r="U16" i="16" s="1"/>
  <c r="T18" i="16"/>
  <c r="U18" i="16" s="1"/>
  <c r="S24" i="16"/>
  <c r="AC21" i="15"/>
  <c r="V21" i="15"/>
  <c r="S21" i="15"/>
  <c r="Q21" i="15"/>
  <c r="P21" i="15"/>
  <c r="AC21" i="14"/>
  <c r="P21" i="14"/>
  <c r="V21" i="14" s="1"/>
  <c r="O25" i="15"/>
  <c r="N25" i="15"/>
  <c r="M25" i="15"/>
  <c r="L25" i="15"/>
  <c r="K25" i="15"/>
  <c r="J25" i="15"/>
  <c r="I25" i="15"/>
  <c r="H25" i="15"/>
  <c r="G25" i="15"/>
  <c r="F25" i="15"/>
  <c r="AC24" i="15"/>
  <c r="S24" i="15"/>
  <c r="W23" i="15"/>
  <c r="U23" i="15"/>
  <c r="R23" i="15"/>
  <c r="P23" i="15"/>
  <c r="X23" i="15" s="1"/>
  <c r="U20" i="15"/>
  <c r="R20" i="15"/>
  <c r="W20" i="15" s="1"/>
  <c r="P20" i="15"/>
  <c r="AC19" i="15"/>
  <c r="P19" i="15"/>
  <c r="X19" i="15" s="1"/>
  <c r="AC18" i="15"/>
  <c r="V18" i="15" s="1"/>
  <c r="Q18" i="15"/>
  <c r="P18" i="15"/>
  <c r="AC17" i="15"/>
  <c r="S17" i="15"/>
  <c r="P17" i="15"/>
  <c r="V17" i="15" s="1"/>
  <c r="AC16" i="15"/>
  <c r="P16" i="15"/>
  <c r="E16" i="15"/>
  <c r="AC15" i="15"/>
  <c r="P15" i="15"/>
  <c r="AC14" i="15"/>
  <c r="V14" i="15"/>
  <c r="Q14" i="15"/>
  <c r="P14" i="15"/>
  <c r="E14" i="15"/>
  <c r="D14" i="15"/>
  <c r="AC13" i="15"/>
  <c r="P13" i="15"/>
  <c r="AC12" i="15"/>
  <c r="T12" i="15" s="1"/>
  <c r="U12" i="15" s="1"/>
  <c r="V12" i="15"/>
  <c r="S12" i="15"/>
  <c r="R12" i="15"/>
  <c r="W12" i="15" s="1"/>
  <c r="X12" i="15" s="1"/>
  <c r="Q12" i="15"/>
  <c r="AC11" i="15"/>
  <c r="E11" i="15"/>
  <c r="P11" i="15" s="1"/>
  <c r="D11" i="15"/>
  <c r="V11" i="15" s="1"/>
  <c r="AC10" i="15"/>
  <c r="E10" i="15"/>
  <c r="P10" i="15" s="1"/>
  <c r="D10" i="15"/>
  <c r="V10" i="15" s="1"/>
  <c r="C10" i="15"/>
  <c r="AC9" i="15"/>
  <c r="V9" i="15"/>
  <c r="S9" i="15"/>
  <c r="P9" i="15"/>
  <c r="D9" i="15"/>
  <c r="C9" i="15"/>
  <c r="O25" i="14"/>
  <c r="N25" i="14"/>
  <c r="M25" i="14"/>
  <c r="L25" i="14"/>
  <c r="K25" i="14"/>
  <c r="J25" i="14"/>
  <c r="I25" i="14"/>
  <c r="H25" i="14"/>
  <c r="G25" i="14"/>
  <c r="F25" i="14"/>
  <c r="AC24" i="14"/>
  <c r="Q24" i="14"/>
  <c r="U23" i="14"/>
  <c r="R23" i="14"/>
  <c r="W23" i="14" s="1"/>
  <c r="P23" i="14"/>
  <c r="AC22" i="14"/>
  <c r="V22" i="14"/>
  <c r="R22" i="14"/>
  <c r="Q22" i="14"/>
  <c r="P22" i="14"/>
  <c r="U20" i="14"/>
  <c r="R20" i="14"/>
  <c r="W20" i="14" s="1"/>
  <c r="P20" i="14"/>
  <c r="AC19" i="14"/>
  <c r="X19" i="14"/>
  <c r="P19" i="14"/>
  <c r="AC18" i="14"/>
  <c r="V18" i="14"/>
  <c r="S18" i="14"/>
  <c r="R18" i="14"/>
  <c r="Q18" i="14"/>
  <c r="P18" i="14"/>
  <c r="AC17" i="14"/>
  <c r="Q17" i="14"/>
  <c r="R17" i="14" s="1"/>
  <c r="P17" i="14"/>
  <c r="V17" i="14" s="1"/>
  <c r="AC16" i="14"/>
  <c r="V16" i="14"/>
  <c r="R16" i="14"/>
  <c r="Q16" i="14"/>
  <c r="P16" i="14"/>
  <c r="E16" i="14"/>
  <c r="AC15" i="14"/>
  <c r="Q15" i="14"/>
  <c r="R15" i="14" s="1"/>
  <c r="P15" i="14"/>
  <c r="V15" i="14" s="1"/>
  <c r="E15" i="14"/>
  <c r="AC14" i="14"/>
  <c r="E14" i="14"/>
  <c r="P14" i="14" s="1"/>
  <c r="D14" i="14"/>
  <c r="AC13" i="14"/>
  <c r="V13" i="14"/>
  <c r="R13" i="14"/>
  <c r="Q13" i="14"/>
  <c r="P13" i="14"/>
  <c r="AC12" i="14"/>
  <c r="V12" i="14"/>
  <c r="T12" i="14"/>
  <c r="U12" i="14" s="1"/>
  <c r="S12" i="14"/>
  <c r="R12" i="14"/>
  <c r="Q12" i="14"/>
  <c r="AC11" i="14"/>
  <c r="P11" i="14"/>
  <c r="Q11" i="14" s="1"/>
  <c r="E11" i="14"/>
  <c r="D11" i="14"/>
  <c r="V11" i="14" s="1"/>
  <c r="AC10" i="14"/>
  <c r="P10" i="14"/>
  <c r="Q10" i="14" s="1"/>
  <c r="E10" i="14"/>
  <c r="E25" i="14" s="1"/>
  <c r="D10" i="14"/>
  <c r="V10" i="14" s="1"/>
  <c r="C10" i="14"/>
  <c r="AC9" i="14"/>
  <c r="Q9" i="14" s="1"/>
  <c r="P9" i="14"/>
  <c r="D9" i="14"/>
  <c r="V9" i="14" s="1"/>
  <c r="C9" i="14"/>
  <c r="W10" i="19" l="1"/>
  <c r="X10" i="19" s="1"/>
  <c r="W25" i="19"/>
  <c r="X9" i="19"/>
  <c r="X25" i="19" s="1"/>
  <c r="W25" i="18"/>
  <c r="X9" i="18"/>
  <c r="X25" i="18" s="1"/>
  <c r="V25" i="16"/>
  <c r="W22" i="15"/>
  <c r="X22" i="15" s="1"/>
  <c r="S25" i="16"/>
  <c r="R21" i="16"/>
  <c r="W21" i="16" s="1"/>
  <c r="X21" i="16" s="1"/>
  <c r="R11" i="16"/>
  <c r="W11" i="16" s="1"/>
  <c r="X11" i="16" s="1"/>
  <c r="R17" i="16"/>
  <c r="W17" i="16" s="1"/>
  <c r="X17" i="16" s="1"/>
  <c r="T25" i="16"/>
  <c r="U9" i="16"/>
  <c r="U25" i="16" s="1"/>
  <c r="R9" i="16"/>
  <c r="Q25" i="16"/>
  <c r="R14" i="16"/>
  <c r="W14" i="16" s="1"/>
  <c r="X14" i="16" s="1"/>
  <c r="R10" i="16"/>
  <c r="W10" i="16" s="1"/>
  <c r="X10" i="16" s="1"/>
  <c r="R16" i="16"/>
  <c r="W16" i="16" s="1"/>
  <c r="X16" i="16" s="1"/>
  <c r="R21" i="15"/>
  <c r="W21" i="15" s="1"/>
  <c r="X21" i="15" s="1"/>
  <c r="T21" i="15"/>
  <c r="U21" i="15" s="1"/>
  <c r="Q21" i="14"/>
  <c r="R21" i="14" s="1"/>
  <c r="S21" i="14"/>
  <c r="T21" i="14"/>
  <c r="U21" i="14" s="1"/>
  <c r="V24" i="15"/>
  <c r="Q24" i="15"/>
  <c r="R24" i="15" s="1"/>
  <c r="P25" i="15"/>
  <c r="P25" i="14"/>
  <c r="X20" i="15"/>
  <c r="V15" i="15"/>
  <c r="Q15" i="15"/>
  <c r="T15" i="15"/>
  <c r="U15" i="15" s="1"/>
  <c r="S15" i="15"/>
  <c r="Q11" i="15"/>
  <c r="T11" i="15"/>
  <c r="U11" i="15" s="1"/>
  <c r="Q10" i="15"/>
  <c r="T10" i="15"/>
  <c r="U10" i="15" s="1"/>
  <c r="S10" i="15"/>
  <c r="E25" i="15"/>
  <c r="T9" i="15"/>
  <c r="Q13" i="15"/>
  <c r="V13" i="15"/>
  <c r="R14" i="15"/>
  <c r="Q16" i="15"/>
  <c r="V16" i="15"/>
  <c r="T17" i="15"/>
  <c r="U17" i="15" s="1"/>
  <c r="R18" i="15"/>
  <c r="W18" i="15" s="1"/>
  <c r="X18" i="15" s="1"/>
  <c r="Q9" i="15"/>
  <c r="T14" i="15"/>
  <c r="U14" i="15" s="1"/>
  <c r="Q17" i="15"/>
  <c r="S18" i="15"/>
  <c r="T24" i="15"/>
  <c r="U24" i="15" s="1"/>
  <c r="T13" i="15"/>
  <c r="U13" i="15" s="1"/>
  <c r="T16" i="15"/>
  <c r="U16" i="15" s="1"/>
  <c r="T18" i="15"/>
  <c r="U18" i="15" s="1"/>
  <c r="R24" i="14"/>
  <c r="R9" i="14"/>
  <c r="R11" i="14"/>
  <c r="W12" i="14"/>
  <c r="X12" i="14" s="1"/>
  <c r="X23" i="14"/>
  <c r="W16" i="14"/>
  <c r="X16" i="14" s="1"/>
  <c r="R10" i="14"/>
  <c r="W13" i="14"/>
  <c r="X13" i="14" s="1"/>
  <c r="T14" i="14"/>
  <c r="U14" i="14" s="1"/>
  <c r="V14" i="14"/>
  <c r="Q14" i="14"/>
  <c r="X20" i="14"/>
  <c r="S9" i="14"/>
  <c r="S15" i="14"/>
  <c r="W15" i="14"/>
  <c r="S17" i="14"/>
  <c r="W17" i="14"/>
  <c r="V24" i="14"/>
  <c r="T10" i="14"/>
  <c r="U10" i="14" s="1"/>
  <c r="T9" i="14"/>
  <c r="S10" i="14"/>
  <c r="W10" i="14" s="1"/>
  <c r="X10" i="14" s="1"/>
  <c r="T11" i="14"/>
  <c r="U11" i="14" s="1"/>
  <c r="T15" i="14"/>
  <c r="U15" i="14" s="1"/>
  <c r="X15" i="14"/>
  <c r="T17" i="14"/>
  <c r="U17" i="14" s="1"/>
  <c r="X17" i="14"/>
  <c r="S24" i="14"/>
  <c r="T24" i="14"/>
  <c r="U24" i="14" s="1"/>
  <c r="T13" i="14"/>
  <c r="U13" i="14" s="1"/>
  <c r="T16" i="14"/>
  <c r="U16" i="14" s="1"/>
  <c r="T18" i="14"/>
  <c r="U18" i="14" s="1"/>
  <c r="T22" i="14"/>
  <c r="U22" i="14" s="1"/>
  <c r="P12" i="11"/>
  <c r="R25" i="16" l="1"/>
  <c r="W9" i="16"/>
  <c r="W14" i="15"/>
  <c r="X14" i="15" s="1"/>
  <c r="S25" i="15"/>
  <c r="V25" i="14"/>
  <c r="W24" i="14"/>
  <c r="X24" i="14" s="1"/>
  <c r="W21" i="14"/>
  <c r="X21" i="14" s="1"/>
  <c r="V25" i="15"/>
  <c r="R17" i="15"/>
  <c r="W17" i="15"/>
  <c r="X17" i="15" s="1"/>
  <c r="R13" i="15"/>
  <c r="W13" i="15" s="1"/>
  <c r="X13" i="15" s="1"/>
  <c r="R11" i="15"/>
  <c r="W11" i="15" s="1"/>
  <c r="X11" i="15" s="1"/>
  <c r="R16" i="15"/>
  <c r="W16" i="15" s="1"/>
  <c r="X16" i="15" s="1"/>
  <c r="W24" i="15"/>
  <c r="X24" i="15" s="1"/>
  <c r="R9" i="15"/>
  <c r="Q25" i="15"/>
  <c r="W9" i="15"/>
  <c r="T25" i="15"/>
  <c r="U9" i="15"/>
  <c r="U25" i="15" s="1"/>
  <c r="R15" i="15"/>
  <c r="W15" i="15" s="1"/>
  <c r="X15" i="15" s="1"/>
  <c r="R10" i="15"/>
  <c r="W10" i="15" s="1"/>
  <c r="X10" i="15" s="1"/>
  <c r="S25" i="14"/>
  <c r="W22" i="14"/>
  <c r="X22" i="14" s="1"/>
  <c r="W18" i="14"/>
  <c r="X18" i="14" s="1"/>
  <c r="W11" i="14"/>
  <c r="X11" i="14" s="1"/>
  <c r="R14" i="14"/>
  <c r="R25" i="14" s="1"/>
  <c r="Q25" i="14"/>
  <c r="T25" i="14"/>
  <c r="U9" i="14"/>
  <c r="U25" i="14" s="1"/>
  <c r="W9" i="14"/>
  <c r="P19" i="13"/>
  <c r="AC19" i="13"/>
  <c r="W25" i="16" l="1"/>
  <c r="X9" i="16"/>
  <c r="X25" i="16" s="1"/>
  <c r="W25" i="15"/>
  <c r="X9" i="15"/>
  <c r="X25" i="15" s="1"/>
  <c r="R25" i="15"/>
  <c r="W14" i="14"/>
  <c r="X14" i="14" s="1"/>
  <c r="W25" i="14"/>
  <c r="X9" i="14"/>
  <c r="X25" i="14" s="1"/>
  <c r="O25" i="13"/>
  <c r="N25" i="13"/>
  <c r="M25" i="13"/>
  <c r="L25" i="13"/>
  <c r="K25" i="13"/>
  <c r="J25" i="13"/>
  <c r="I25" i="13"/>
  <c r="H25" i="13"/>
  <c r="G25" i="13"/>
  <c r="F25" i="13"/>
  <c r="AC24" i="13"/>
  <c r="P24" i="13"/>
  <c r="Q24" i="13" s="1"/>
  <c r="R24" i="13" s="1"/>
  <c r="W23" i="13"/>
  <c r="U23" i="13"/>
  <c r="R23" i="13"/>
  <c r="P23" i="13"/>
  <c r="X23" i="13" s="1"/>
  <c r="AC22" i="13"/>
  <c r="P22" i="13"/>
  <c r="W21" i="13"/>
  <c r="P21" i="13"/>
  <c r="U20" i="13"/>
  <c r="R20" i="13"/>
  <c r="W20" i="13" s="1"/>
  <c r="P20" i="13"/>
  <c r="X20" i="13" s="1"/>
  <c r="X19" i="13"/>
  <c r="AC18" i="13"/>
  <c r="Q18" i="13"/>
  <c r="P18" i="13"/>
  <c r="AC17" i="13"/>
  <c r="V17" i="13"/>
  <c r="S17" i="13"/>
  <c r="P17" i="13"/>
  <c r="Q17" i="13" s="1"/>
  <c r="AC16" i="13"/>
  <c r="P16" i="13"/>
  <c r="E16" i="13"/>
  <c r="AC15" i="13"/>
  <c r="E15" i="13"/>
  <c r="P15" i="13" s="1"/>
  <c r="AC14" i="13"/>
  <c r="V14" i="13"/>
  <c r="Q14" i="13"/>
  <c r="P14" i="13"/>
  <c r="E14" i="13"/>
  <c r="D14" i="13"/>
  <c r="AC13" i="13"/>
  <c r="P13" i="13"/>
  <c r="AC12" i="13"/>
  <c r="T12" i="13" s="1"/>
  <c r="U12" i="13" s="1"/>
  <c r="V12" i="13"/>
  <c r="R12" i="13"/>
  <c r="Q12" i="13"/>
  <c r="AC11" i="13"/>
  <c r="E11" i="13"/>
  <c r="P11" i="13" s="1"/>
  <c r="D11" i="13"/>
  <c r="V11" i="13" s="1"/>
  <c r="AC10" i="13"/>
  <c r="E10" i="13"/>
  <c r="P10" i="13" s="1"/>
  <c r="D10" i="13"/>
  <c r="C10" i="13"/>
  <c r="AC9" i="13"/>
  <c r="S9" i="13"/>
  <c r="P9" i="13"/>
  <c r="D9" i="13"/>
  <c r="V9" i="13" s="1"/>
  <c r="C9" i="13"/>
  <c r="X23" i="12"/>
  <c r="W23" i="12"/>
  <c r="U23" i="12"/>
  <c r="R23" i="12"/>
  <c r="P23" i="12"/>
  <c r="S15" i="12"/>
  <c r="V24" i="13" l="1"/>
  <c r="X21" i="13"/>
  <c r="Q10" i="13"/>
  <c r="T10" i="13"/>
  <c r="U10" i="13" s="1"/>
  <c r="S10" i="13"/>
  <c r="V15" i="13"/>
  <c r="Q15" i="13"/>
  <c r="T15" i="13"/>
  <c r="U15" i="13" s="1"/>
  <c r="S15" i="13"/>
  <c r="R17" i="13"/>
  <c r="P25" i="13"/>
  <c r="V10" i="13"/>
  <c r="Q11" i="13"/>
  <c r="T11" i="13"/>
  <c r="U11" i="13" s="1"/>
  <c r="E25" i="13"/>
  <c r="T9" i="13"/>
  <c r="S12" i="13"/>
  <c r="W12" i="13" s="1"/>
  <c r="X12" i="13" s="1"/>
  <c r="Q13" i="13"/>
  <c r="V13" i="13"/>
  <c r="R14" i="13"/>
  <c r="W14" i="13" s="1"/>
  <c r="X14" i="13" s="1"/>
  <c r="Q16" i="13"/>
  <c r="V16" i="13"/>
  <c r="T17" i="13"/>
  <c r="U17" i="13" s="1"/>
  <c r="R18" i="13"/>
  <c r="W18" i="13" s="1"/>
  <c r="X18" i="13" s="1"/>
  <c r="V18" i="13"/>
  <c r="Q22" i="13"/>
  <c r="V22" i="13"/>
  <c r="S24" i="13"/>
  <c r="W24" i="13" s="1"/>
  <c r="X24" i="13" s="1"/>
  <c r="Q9" i="13"/>
  <c r="T14" i="13"/>
  <c r="U14" i="13" s="1"/>
  <c r="S18" i="13"/>
  <c r="T24" i="13"/>
  <c r="U24" i="13" s="1"/>
  <c r="T13" i="13"/>
  <c r="U13" i="13" s="1"/>
  <c r="T16" i="13"/>
  <c r="U16" i="13" s="1"/>
  <c r="T18" i="13"/>
  <c r="U18" i="13" s="1"/>
  <c r="T22" i="13"/>
  <c r="U22" i="13" s="1"/>
  <c r="P19" i="12"/>
  <c r="O25" i="12"/>
  <c r="N25" i="12"/>
  <c r="M25" i="12"/>
  <c r="L25" i="12"/>
  <c r="K25" i="12"/>
  <c r="J25" i="12"/>
  <c r="I25" i="12"/>
  <c r="H25" i="12"/>
  <c r="G25" i="12"/>
  <c r="F25" i="12"/>
  <c r="AC24" i="12"/>
  <c r="P24" i="12"/>
  <c r="AC22" i="12"/>
  <c r="P22" i="12"/>
  <c r="U21" i="12"/>
  <c r="R21" i="12"/>
  <c r="W21" i="12" s="1"/>
  <c r="P21" i="12"/>
  <c r="U20" i="12"/>
  <c r="R20" i="12"/>
  <c r="P20" i="12"/>
  <c r="U19" i="12"/>
  <c r="R19" i="12"/>
  <c r="AC18" i="12"/>
  <c r="P18" i="12"/>
  <c r="AC17" i="12"/>
  <c r="V17" i="12"/>
  <c r="S17" i="12"/>
  <c r="Q17" i="12"/>
  <c r="R17" i="12" s="1"/>
  <c r="P17" i="12"/>
  <c r="AC16" i="12"/>
  <c r="E16" i="12"/>
  <c r="P16" i="12" s="1"/>
  <c r="AC15" i="12"/>
  <c r="E15" i="12"/>
  <c r="P15" i="12" s="1"/>
  <c r="AC14" i="12"/>
  <c r="E14" i="12"/>
  <c r="P14" i="12" s="1"/>
  <c r="D14" i="12"/>
  <c r="AC13" i="12"/>
  <c r="V13" i="12"/>
  <c r="T13" i="12"/>
  <c r="U13" i="12" s="1"/>
  <c r="P13" i="12"/>
  <c r="Q13" i="12" s="1"/>
  <c r="R13" i="12" s="1"/>
  <c r="W13" i="12" s="1"/>
  <c r="X13" i="12" s="1"/>
  <c r="AC12" i="12"/>
  <c r="T12" i="12" s="1"/>
  <c r="U12" i="12" s="1"/>
  <c r="AC11" i="12"/>
  <c r="E11" i="12"/>
  <c r="D11" i="12"/>
  <c r="AC10" i="12"/>
  <c r="E10" i="12"/>
  <c r="P10" i="12" s="1"/>
  <c r="S10" i="12" s="1"/>
  <c r="D10" i="12"/>
  <c r="C10" i="12"/>
  <c r="AC9" i="12"/>
  <c r="P9" i="12"/>
  <c r="D9" i="12"/>
  <c r="C9" i="12"/>
  <c r="U21" i="11"/>
  <c r="R21" i="11"/>
  <c r="W21" i="11" s="1"/>
  <c r="U20" i="11"/>
  <c r="R20" i="11"/>
  <c r="W20" i="11" s="1"/>
  <c r="W19" i="11"/>
  <c r="U19" i="11"/>
  <c r="P21" i="11"/>
  <c r="P20" i="11"/>
  <c r="E19" i="11"/>
  <c r="P16" i="11"/>
  <c r="O24" i="11"/>
  <c r="N24" i="11"/>
  <c r="M24" i="11"/>
  <c r="L24" i="11"/>
  <c r="K24" i="11"/>
  <c r="J24" i="11"/>
  <c r="I24" i="11"/>
  <c r="H24" i="11"/>
  <c r="G24" i="11"/>
  <c r="F24" i="11"/>
  <c r="AC23" i="11"/>
  <c r="V23" i="11"/>
  <c r="P23" i="11"/>
  <c r="AC22" i="11"/>
  <c r="P22" i="11"/>
  <c r="AC18" i="11"/>
  <c r="P18" i="11"/>
  <c r="AC17" i="11"/>
  <c r="P17" i="11"/>
  <c r="V17" i="11" s="1"/>
  <c r="AC16" i="11"/>
  <c r="AC15" i="11"/>
  <c r="E15" i="11"/>
  <c r="P15" i="11" s="1"/>
  <c r="C15" i="11"/>
  <c r="AC14" i="11"/>
  <c r="E14" i="11"/>
  <c r="P14" i="11" s="1"/>
  <c r="D14" i="11"/>
  <c r="C14" i="11"/>
  <c r="AC13" i="11"/>
  <c r="P13" i="11"/>
  <c r="Q13" i="11" s="1"/>
  <c r="C13" i="11"/>
  <c r="AC12" i="11"/>
  <c r="V12" i="11" s="1"/>
  <c r="D12" i="11"/>
  <c r="AC11" i="11"/>
  <c r="E11" i="11"/>
  <c r="D11" i="11"/>
  <c r="C11" i="11"/>
  <c r="AC10" i="11"/>
  <c r="E10" i="11"/>
  <c r="P10" i="11" s="1"/>
  <c r="S10" i="11" s="1"/>
  <c r="D10" i="11"/>
  <c r="C10" i="11"/>
  <c r="AC9" i="11"/>
  <c r="P9" i="11"/>
  <c r="D9" i="11"/>
  <c r="C9" i="11"/>
  <c r="V25" i="13" l="1"/>
  <c r="S25" i="13"/>
  <c r="R16" i="13"/>
  <c r="W16" i="13" s="1"/>
  <c r="X16" i="13" s="1"/>
  <c r="R11" i="13"/>
  <c r="W11" i="13" s="1"/>
  <c r="X11" i="13" s="1"/>
  <c r="R15" i="13"/>
  <c r="W15" i="13"/>
  <c r="X15" i="13" s="1"/>
  <c r="R10" i="13"/>
  <c r="W10" i="13"/>
  <c r="X10" i="13" s="1"/>
  <c r="R22" i="13"/>
  <c r="W22" i="13" s="1"/>
  <c r="X22" i="13" s="1"/>
  <c r="T25" i="13"/>
  <c r="U9" i="13"/>
  <c r="U25" i="13" s="1"/>
  <c r="W17" i="13"/>
  <c r="X17" i="13" s="1"/>
  <c r="R9" i="13"/>
  <c r="Q25" i="13"/>
  <c r="R13" i="13"/>
  <c r="W13" i="13" s="1"/>
  <c r="X13" i="13" s="1"/>
  <c r="S18" i="12"/>
  <c r="V24" i="12"/>
  <c r="W20" i="12"/>
  <c r="X20" i="12" s="1"/>
  <c r="V22" i="12"/>
  <c r="Q24" i="12"/>
  <c r="R24" i="12" s="1"/>
  <c r="Q9" i="12"/>
  <c r="E25" i="12"/>
  <c r="T22" i="12"/>
  <c r="U22" i="12" s="1"/>
  <c r="S24" i="12"/>
  <c r="W19" i="12"/>
  <c r="X19" i="12" s="1"/>
  <c r="X21" i="12"/>
  <c r="V10" i="12"/>
  <c r="Q14" i="12"/>
  <c r="V14" i="12"/>
  <c r="T14" i="12"/>
  <c r="U14" i="12" s="1"/>
  <c r="R9" i="12"/>
  <c r="V15" i="12"/>
  <c r="Q15" i="12"/>
  <c r="T15" i="12"/>
  <c r="U15" i="12" s="1"/>
  <c r="T16" i="12"/>
  <c r="U16" i="12" s="1"/>
  <c r="V9" i="12"/>
  <c r="Q10" i="12"/>
  <c r="P11" i="12"/>
  <c r="Q16" i="12"/>
  <c r="Q12" i="12"/>
  <c r="T18" i="12"/>
  <c r="U18" i="12" s="1"/>
  <c r="V12" i="12"/>
  <c r="Q18" i="12"/>
  <c r="S9" i="12"/>
  <c r="S12" i="12"/>
  <c r="V16" i="12"/>
  <c r="T17" i="12"/>
  <c r="U17" i="12" s="1"/>
  <c r="V18" i="12"/>
  <c r="Q22" i="12"/>
  <c r="T24" i="12"/>
  <c r="U24" i="12" s="1"/>
  <c r="T10" i="12"/>
  <c r="U10" i="12" s="1"/>
  <c r="T9" i="12"/>
  <c r="S12" i="11"/>
  <c r="T12" i="11"/>
  <c r="U12" i="11" s="1"/>
  <c r="Q12" i="11"/>
  <c r="R12" i="11" s="1"/>
  <c r="R19" i="11"/>
  <c r="X19" i="11" s="1"/>
  <c r="T16" i="11"/>
  <c r="U16" i="11" s="1"/>
  <c r="S16" i="11"/>
  <c r="Q16" i="11"/>
  <c r="V16" i="11"/>
  <c r="V13" i="11"/>
  <c r="Q17" i="11"/>
  <c r="R17" i="11" s="1"/>
  <c r="V22" i="11"/>
  <c r="Q18" i="11"/>
  <c r="Q23" i="11"/>
  <c r="R23" i="11" s="1"/>
  <c r="V15" i="11"/>
  <c r="Q15" i="11"/>
  <c r="Q9" i="11"/>
  <c r="E24" i="11"/>
  <c r="Q14" i="11"/>
  <c r="R14" i="11" s="1"/>
  <c r="S17" i="11"/>
  <c r="T22" i="11"/>
  <c r="U22" i="11" s="1"/>
  <c r="Q22" i="11"/>
  <c r="R22" i="11" s="1"/>
  <c r="W22" i="11" s="1"/>
  <c r="X22" i="11" s="1"/>
  <c r="V10" i="11"/>
  <c r="R9" i="11"/>
  <c r="V9" i="11"/>
  <c r="Q10" i="11"/>
  <c r="P11" i="11"/>
  <c r="V11" i="11" s="1"/>
  <c r="R13" i="11"/>
  <c r="V14" i="11"/>
  <c r="R15" i="11"/>
  <c r="T17" i="11"/>
  <c r="U17" i="11" s="1"/>
  <c r="R18" i="11"/>
  <c r="W18" i="11" s="1"/>
  <c r="X18" i="11" s="1"/>
  <c r="V18" i="11"/>
  <c r="S23" i="11"/>
  <c r="S9" i="11"/>
  <c r="T13" i="11"/>
  <c r="U13" i="11" s="1"/>
  <c r="S14" i="11"/>
  <c r="T15" i="11"/>
  <c r="U15" i="11" s="1"/>
  <c r="S18" i="11"/>
  <c r="T23" i="11"/>
  <c r="U23" i="11" s="1"/>
  <c r="T10" i="11"/>
  <c r="U10" i="11" s="1"/>
  <c r="T9" i="11"/>
  <c r="T14" i="11"/>
  <c r="U14" i="11" s="1"/>
  <c r="T18" i="11"/>
  <c r="U18" i="11" s="1"/>
  <c r="O21" i="10"/>
  <c r="N21" i="10"/>
  <c r="M21" i="10"/>
  <c r="L21" i="10"/>
  <c r="K21" i="10"/>
  <c r="J21" i="10"/>
  <c r="I21" i="10"/>
  <c r="H21" i="10"/>
  <c r="G21" i="10"/>
  <c r="F21" i="10"/>
  <c r="AC20" i="10"/>
  <c r="V20" i="10"/>
  <c r="P20" i="10"/>
  <c r="Q20" i="10" s="1"/>
  <c r="AC19" i="10"/>
  <c r="V19" i="10"/>
  <c r="P19" i="10"/>
  <c r="T19" i="10" s="1"/>
  <c r="U19" i="10" s="1"/>
  <c r="AC18" i="10"/>
  <c r="P18" i="10"/>
  <c r="S18" i="10" s="1"/>
  <c r="AC17" i="10"/>
  <c r="V17" i="10" s="1"/>
  <c r="Q17" i="10"/>
  <c r="R17" i="10" s="1"/>
  <c r="P17" i="10"/>
  <c r="AC16" i="10"/>
  <c r="S16" i="10" s="1"/>
  <c r="AC15" i="10"/>
  <c r="P15" i="10"/>
  <c r="V15" i="10" s="1"/>
  <c r="E15" i="10"/>
  <c r="C15" i="10"/>
  <c r="AC14" i="10"/>
  <c r="P14" i="10"/>
  <c r="Q14" i="10" s="1"/>
  <c r="E14" i="10"/>
  <c r="D14" i="10"/>
  <c r="C14" i="10"/>
  <c r="AC13" i="10"/>
  <c r="P13" i="10"/>
  <c r="C13" i="10"/>
  <c r="AC12" i="10"/>
  <c r="D12" i="10"/>
  <c r="V12" i="10" s="1"/>
  <c r="C12" i="10"/>
  <c r="AC11" i="10"/>
  <c r="E11" i="10"/>
  <c r="P11" i="10" s="1"/>
  <c r="Q11" i="10" s="1"/>
  <c r="D11" i="10"/>
  <c r="C11" i="10"/>
  <c r="AC10" i="10"/>
  <c r="E10" i="10"/>
  <c r="P10" i="10" s="1"/>
  <c r="D10" i="10"/>
  <c r="C10" i="10"/>
  <c r="AC9" i="10"/>
  <c r="V9" i="10"/>
  <c r="P9" i="10"/>
  <c r="S9" i="10" s="1"/>
  <c r="D9" i="10"/>
  <c r="C9" i="10"/>
  <c r="O21" i="9"/>
  <c r="N21" i="9"/>
  <c r="M21" i="9"/>
  <c r="L21" i="9"/>
  <c r="K21" i="9"/>
  <c r="J21" i="9"/>
  <c r="I21" i="9"/>
  <c r="H21" i="9"/>
  <c r="G21" i="9"/>
  <c r="F21" i="9"/>
  <c r="AC20" i="9"/>
  <c r="V20" i="9"/>
  <c r="P20" i="9"/>
  <c r="Q20" i="9" s="1"/>
  <c r="AC19" i="9"/>
  <c r="V19" i="9"/>
  <c r="P19" i="9"/>
  <c r="T19" i="9" s="1"/>
  <c r="U19" i="9" s="1"/>
  <c r="AC18" i="9"/>
  <c r="P18" i="9"/>
  <c r="S18" i="9" s="1"/>
  <c r="AC17" i="9"/>
  <c r="P17" i="9"/>
  <c r="AC16" i="9"/>
  <c r="P16" i="9"/>
  <c r="S16" i="9" s="1"/>
  <c r="AC15" i="9"/>
  <c r="E15" i="9"/>
  <c r="P15" i="9" s="1"/>
  <c r="V15" i="9" s="1"/>
  <c r="C15" i="9"/>
  <c r="AC14" i="9"/>
  <c r="E14" i="9"/>
  <c r="P14" i="9" s="1"/>
  <c r="S14" i="9" s="1"/>
  <c r="D14" i="9"/>
  <c r="C14" i="9"/>
  <c r="AC13" i="9"/>
  <c r="P13" i="9"/>
  <c r="C13" i="9"/>
  <c r="AC12" i="9"/>
  <c r="E12" i="9"/>
  <c r="P12" i="9" s="1"/>
  <c r="D12" i="9"/>
  <c r="C12" i="9"/>
  <c r="AC11" i="9"/>
  <c r="E11" i="9"/>
  <c r="P11" i="9" s="1"/>
  <c r="S11" i="9" s="1"/>
  <c r="D11" i="9"/>
  <c r="C11" i="9"/>
  <c r="AC10" i="9"/>
  <c r="E10" i="9"/>
  <c r="P10" i="9" s="1"/>
  <c r="D10" i="9"/>
  <c r="C10" i="9"/>
  <c r="AC9" i="9"/>
  <c r="P9" i="9"/>
  <c r="V9" i="9" s="1"/>
  <c r="D9" i="9"/>
  <c r="C9" i="9"/>
  <c r="W12" i="11" l="1"/>
  <c r="X12" i="11" s="1"/>
  <c r="W9" i="13"/>
  <c r="R25" i="13"/>
  <c r="U9" i="12"/>
  <c r="Q11" i="12"/>
  <c r="S25" i="12"/>
  <c r="T11" i="12"/>
  <c r="U11" i="12" s="1"/>
  <c r="R18" i="12"/>
  <c r="W18" i="12" s="1"/>
  <c r="X18" i="12" s="1"/>
  <c r="R12" i="12"/>
  <c r="W12" i="12" s="1"/>
  <c r="X12" i="12" s="1"/>
  <c r="R10" i="12"/>
  <c r="W24" i="12"/>
  <c r="X24" i="12" s="1"/>
  <c r="R15" i="12"/>
  <c r="W15" i="12" s="1"/>
  <c r="X15" i="12" s="1"/>
  <c r="W17" i="12"/>
  <c r="X17" i="12" s="1"/>
  <c r="R14" i="12"/>
  <c r="W14" i="12" s="1"/>
  <c r="X14" i="12" s="1"/>
  <c r="R22" i="12"/>
  <c r="W22" i="12" s="1"/>
  <c r="X22" i="12" s="1"/>
  <c r="R16" i="12"/>
  <c r="W16" i="12" s="1"/>
  <c r="X16" i="12" s="1"/>
  <c r="W9" i="12"/>
  <c r="P25" i="12"/>
  <c r="V11" i="12"/>
  <c r="V25" i="12" s="1"/>
  <c r="X21" i="11"/>
  <c r="X20" i="11"/>
  <c r="R16" i="11"/>
  <c r="W16" i="11" s="1"/>
  <c r="X16" i="11" s="1"/>
  <c r="W13" i="11"/>
  <c r="X13" i="11" s="1"/>
  <c r="W15" i="11"/>
  <c r="X15" i="11" s="1"/>
  <c r="W23" i="11"/>
  <c r="X23" i="11" s="1"/>
  <c r="W14" i="11"/>
  <c r="X14" i="11" s="1"/>
  <c r="U9" i="11"/>
  <c r="W9" i="11" s="1"/>
  <c r="R10" i="11"/>
  <c r="W10" i="11" s="1"/>
  <c r="X10" i="11" s="1"/>
  <c r="S11" i="11"/>
  <c r="S24" i="11" s="1"/>
  <c r="Q11" i="11"/>
  <c r="T11" i="11"/>
  <c r="U11" i="11" s="1"/>
  <c r="V24" i="11"/>
  <c r="W17" i="11"/>
  <c r="X17" i="11" s="1"/>
  <c r="P24" i="11"/>
  <c r="V10" i="9"/>
  <c r="Q19" i="10"/>
  <c r="S9" i="9"/>
  <c r="V11" i="9"/>
  <c r="V17" i="9"/>
  <c r="Q19" i="9"/>
  <c r="V11" i="10"/>
  <c r="V13" i="10"/>
  <c r="V10" i="10"/>
  <c r="Q10" i="10"/>
  <c r="T10" i="10"/>
  <c r="U10" i="10" s="1"/>
  <c r="S10" i="10"/>
  <c r="R14" i="10"/>
  <c r="R11" i="10"/>
  <c r="T12" i="10"/>
  <c r="U12" i="10" s="1"/>
  <c r="Q12" i="10"/>
  <c r="S12" i="10"/>
  <c r="P21" i="10"/>
  <c r="V14" i="10"/>
  <c r="Q16" i="10"/>
  <c r="S17" i="10"/>
  <c r="Q18" i="10"/>
  <c r="R20" i="10"/>
  <c r="E21" i="10"/>
  <c r="T11" i="10"/>
  <c r="U11" i="10" s="1"/>
  <c r="T14" i="10"/>
  <c r="U14" i="10" s="1"/>
  <c r="T9" i="10"/>
  <c r="Q9" i="10"/>
  <c r="S11" i="10"/>
  <c r="T13" i="10"/>
  <c r="U13" i="10" s="1"/>
  <c r="S14" i="10"/>
  <c r="W14" i="10" s="1"/>
  <c r="X14" i="10" s="1"/>
  <c r="T15" i="10"/>
  <c r="U15" i="10" s="1"/>
  <c r="V16" i="10"/>
  <c r="T17" i="10"/>
  <c r="U17" i="10" s="1"/>
  <c r="V18" i="10"/>
  <c r="S20" i="10"/>
  <c r="T20" i="10"/>
  <c r="U20" i="10" s="1"/>
  <c r="Q13" i="10"/>
  <c r="Q15" i="10"/>
  <c r="T16" i="10"/>
  <c r="U16" i="10" s="1"/>
  <c r="T18" i="10"/>
  <c r="U18" i="10" s="1"/>
  <c r="R19" i="10"/>
  <c r="W19" i="10" s="1"/>
  <c r="X19" i="10" s="1"/>
  <c r="Q12" i="9"/>
  <c r="T12" i="9"/>
  <c r="U12" i="9" s="1"/>
  <c r="S12" i="9"/>
  <c r="P21" i="9"/>
  <c r="T10" i="9"/>
  <c r="U10" i="9" s="1"/>
  <c r="S10" i="9"/>
  <c r="Q10" i="9"/>
  <c r="V12" i="9"/>
  <c r="T11" i="9"/>
  <c r="U11" i="9" s="1"/>
  <c r="T14" i="9"/>
  <c r="U14" i="9" s="1"/>
  <c r="V13" i="9"/>
  <c r="Q14" i="9"/>
  <c r="E21" i="9"/>
  <c r="Q17" i="9"/>
  <c r="Q11" i="9"/>
  <c r="Q13" i="9"/>
  <c r="T9" i="9"/>
  <c r="V14" i="9"/>
  <c r="Q16" i="9"/>
  <c r="S17" i="9"/>
  <c r="Q18" i="9"/>
  <c r="R20" i="9"/>
  <c r="Q9" i="9"/>
  <c r="T13" i="9"/>
  <c r="U13" i="9" s="1"/>
  <c r="T15" i="9"/>
  <c r="U15" i="9" s="1"/>
  <c r="V16" i="9"/>
  <c r="T17" i="9"/>
  <c r="U17" i="9" s="1"/>
  <c r="V18" i="9"/>
  <c r="S20" i="9"/>
  <c r="T20" i="9"/>
  <c r="U20" i="9" s="1"/>
  <c r="Q15" i="9"/>
  <c r="T16" i="9"/>
  <c r="U16" i="9" s="1"/>
  <c r="T18" i="9"/>
  <c r="U18" i="9" s="1"/>
  <c r="R19" i="9"/>
  <c r="W19" i="9" s="1"/>
  <c r="X19" i="9" s="1"/>
  <c r="AC15" i="8"/>
  <c r="E15" i="8"/>
  <c r="P15" i="8" s="1"/>
  <c r="C15" i="8"/>
  <c r="AC14" i="8"/>
  <c r="E14" i="8"/>
  <c r="P14" i="8" s="1"/>
  <c r="D14" i="8"/>
  <c r="C14" i="8"/>
  <c r="AC13" i="8"/>
  <c r="V13" i="8"/>
  <c r="T13" i="8"/>
  <c r="U13" i="8" s="1"/>
  <c r="Q13" i="8"/>
  <c r="P13" i="8"/>
  <c r="C13" i="8"/>
  <c r="AC12" i="8"/>
  <c r="E12" i="8"/>
  <c r="P12" i="8" s="1"/>
  <c r="S12" i="8" s="1"/>
  <c r="D12" i="8"/>
  <c r="C12" i="8"/>
  <c r="AC11" i="8"/>
  <c r="E11" i="8"/>
  <c r="P11" i="8" s="1"/>
  <c r="D11" i="8"/>
  <c r="C11" i="8"/>
  <c r="AC10" i="8"/>
  <c r="E10" i="8"/>
  <c r="P10" i="8" s="1"/>
  <c r="D10" i="8"/>
  <c r="C10" i="8"/>
  <c r="AC9" i="8"/>
  <c r="P9" i="8"/>
  <c r="Q9" i="8" s="1"/>
  <c r="D9" i="8"/>
  <c r="C9" i="8"/>
  <c r="AC15" i="7"/>
  <c r="E15" i="7"/>
  <c r="P15" i="7" s="1"/>
  <c r="C15" i="7"/>
  <c r="AC14" i="7"/>
  <c r="E14" i="7"/>
  <c r="P14" i="7" s="1"/>
  <c r="D14" i="7"/>
  <c r="C14" i="7"/>
  <c r="AC13" i="7"/>
  <c r="T13" i="7"/>
  <c r="U13" i="7" s="1"/>
  <c r="P13" i="7"/>
  <c r="V13" i="7" s="1"/>
  <c r="C13" i="7"/>
  <c r="AC12" i="7"/>
  <c r="E12" i="7"/>
  <c r="P12" i="7" s="1"/>
  <c r="S12" i="7" s="1"/>
  <c r="D12" i="7"/>
  <c r="C12" i="7"/>
  <c r="AC11" i="7"/>
  <c r="E11" i="7"/>
  <c r="P11" i="7" s="1"/>
  <c r="D11" i="7"/>
  <c r="C11" i="7"/>
  <c r="AC10" i="7"/>
  <c r="E10" i="7"/>
  <c r="P10" i="7" s="1"/>
  <c r="Q10" i="7" s="1"/>
  <c r="D10" i="7"/>
  <c r="C10" i="7"/>
  <c r="AC9" i="7"/>
  <c r="P9" i="7"/>
  <c r="Q9" i="7" s="1"/>
  <c r="R9" i="7" s="1"/>
  <c r="D9" i="7"/>
  <c r="C9" i="7"/>
  <c r="AC15" i="6"/>
  <c r="E15" i="6"/>
  <c r="P15" i="6" s="1"/>
  <c r="C15" i="6"/>
  <c r="AC14" i="6"/>
  <c r="E14" i="6"/>
  <c r="P14" i="6" s="1"/>
  <c r="D14" i="6"/>
  <c r="C14" i="6"/>
  <c r="AC13" i="6"/>
  <c r="Q13" i="6"/>
  <c r="P13" i="6"/>
  <c r="V13" i="6" s="1"/>
  <c r="C13" i="6"/>
  <c r="AC12" i="6"/>
  <c r="E12" i="6"/>
  <c r="P12" i="6" s="1"/>
  <c r="S12" i="6" s="1"/>
  <c r="D12" i="6"/>
  <c r="C12" i="6"/>
  <c r="AC11" i="6"/>
  <c r="E11" i="6"/>
  <c r="P11" i="6" s="1"/>
  <c r="D11" i="6"/>
  <c r="C11" i="6"/>
  <c r="AC10" i="6"/>
  <c r="E10" i="6"/>
  <c r="P10" i="6" s="1"/>
  <c r="D10" i="6"/>
  <c r="C10" i="6"/>
  <c r="AC9" i="6"/>
  <c r="P9" i="6"/>
  <c r="S9" i="6" s="1"/>
  <c r="D9" i="6"/>
  <c r="C9" i="6"/>
  <c r="AC15" i="5"/>
  <c r="E15" i="5"/>
  <c r="P15" i="5" s="1"/>
  <c r="C15" i="5"/>
  <c r="AC14" i="5"/>
  <c r="E14" i="5"/>
  <c r="P14" i="5" s="1"/>
  <c r="D14" i="5"/>
  <c r="C14" i="5"/>
  <c r="AC13" i="5"/>
  <c r="P13" i="5"/>
  <c r="T13" i="5" s="1"/>
  <c r="U13" i="5" s="1"/>
  <c r="C13" i="5"/>
  <c r="AC12" i="5"/>
  <c r="E12" i="5"/>
  <c r="P12" i="5" s="1"/>
  <c r="S12" i="5" s="1"/>
  <c r="D12" i="5"/>
  <c r="C12" i="5"/>
  <c r="AC11" i="5"/>
  <c r="E11" i="5"/>
  <c r="P11" i="5" s="1"/>
  <c r="D11" i="5"/>
  <c r="C11" i="5"/>
  <c r="AC10" i="5"/>
  <c r="E10" i="5"/>
  <c r="P10" i="5" s="1"/>
  <c r="D10" i="5"/>
  <c r="C10" i="5"/>
  <c r="AC9" i="5"/>
  <c r="S9" i="5"/>
  <c r="P9" i="5"/>
  <c r="Q9" i="5" s="1"/>
  <c r="D9" i="5"/>
  <c r="V9" i="5" s="1"/>
  <c r="C9" i="5"/>
  <c r="AC9" i="4"/>
  <c r="P9" i="4"/>
  <c r="Q9" i="4" s="1"/>
  <c r="D9" i="4"/>
  <c r="C9" i="4"/>
  <c r="AC16" i="8"/>
  <c r="V16" i="8"/>
  <c r="S16" i="8"/>
  <c r="P16" i="8"/>
  <c r="Q16" i="8" s="1"/>
  <c r="AC16" i="7"/>
  <c r="P16" i="7"/>
  <c r="Q16" i="7" s="1"/>
  <c r="W25" i="13" l="1"/>
  <c r="X9" i="13"/>
  <c r="X25" i="13" s="1"/>
  <c r="Q15" i="6"/>
  <c r="V15" i="6"/>
  <c r="W10" i="12"/>
  <c r="X10" i="12" s="1"/>
  <c r="X9" i="12"/>
  <c r="U25" i="12"/>
  <c r="R11" i="12"/>
  <c r="R25" i="12" s="1"/>
  <c r="Q25" i="12"/>
  <c r="T25" i="12"/>
  <c r="R11" i="11"/>
  <c r="R24" i="11" s="1"/>
  <c r="Q24" i="11"/>
  <c r="U24" i="11"/>
  <c r="X9" i="11"/>
  <c r="T24" i="11"/>
  <c r="V10" i="7"/>
  <c r="V10" i="8"/>
  <c r="V12" i="8"/>
  <c r="V9" i="4"/>
  <c r="V10" i="5"/>
  <c r="V11" i="5"/>
  <c r="V12" i="5"/>
  <c r="V13" i="5"/>
  <c r="V14" i="6"/>
  <c r="V9" i="7"/>
  <c r="Q13" i="7"/>
  <c r="V9" i="8"/>
  <c r="V21" i="9"/>
  <c r="V11" i="8"/>
  <c r="W20" i="9"/>
  <c r="X20" i="9" s="1"/>
  <c r="S21" i="9"/>
  <c r="Q13" i="5"/>
  <c r="V9" i="6"/>
  <c r="V11" i="7"/>
  <c r="V12" i="7"/>
  <c r="S9" i="8"/>
  <c r="T16" i="8"/>
  <c r="U16" i="8" s="1"/>
  <c r="W20" i="10"/>
  <c r="X20" i="10" s="1"/>
  <c r="V10" i="6"/>
  <c r="V11" i="6"/>
  <c r="V12" i="6"/>
  <c r="S9" i="7"/>
  <c r="W11" i="10"/>
  <c r="X11" i="10" s="1"/>
  <c r="S21" i="10"/>
  <c r="V21" i="10"/>
  <c r="R13" i="10"/>
  <c r="W13" i="10" s="1"/>
  <c r="X13" i="10" s="1"/>
  <c r="R18" i="10"/>
  <c r="W18" i="10" s="1"/>
  <c r="X18" i="10" s="1"/>
  <c r="W17" i="10"/>
  <c r="X17" i="10" s="1"/>
  <c r="R9" i="10"/>
  <c r="Q21" i="10"/>
  <c r="R12" i="10"/>
  <c r="W12" i="10" s="1"/>
  <c r="X12" i="10" s="1"/>
  <c r="R15" i="10"/>
  <c r="W15" i="10" s="1"/>
  <c r="X15" i="10" s="1"/>
  <c r="T21" i="10"/>
  <c r="U9" i="10"/>
  <c r="U21" i="10" s="1"/>
  <c r="R16" i="10"/>
  <c r="W16" i="10" s="1"/>
  <c r="X16" i="10" s="1"/>
  <c r="R10" i="10"/>
  <c r="W10" i="10" s="1"/>
  <c r="X10" i="10" s="1"/>
  <c r="R11" i="9"/>
  <c r="W11" i="9" s="1"/>
  <c r="X11" i="9" s="1"/>
  <c r="R18" i="9"/>
  <c r="W18" i="9" s="1"/>
  <c r="X18" i="9" s="1"/>
  <c r="R17" i="9"/>
  <c r="W17" i="9" s="1"/>
  <c r="X17" i="9" s="1"/>
  <c r="R15" i="9"/>
  <c r="W15" i="9" s="1"/>
  <c r="X15" i="9" s="1"/>
  <c r="T21" i="9"/>
  <c r="U9" i="9"/>
  <c r="U21" i="9" s="1"/>
  <c r="Q21" i="9"/>
  <c r="R9" i="9"/>
  <c r="R16" i="9"/>
  <c r="W16" i="9" s="1"/>
  <c r="X16" i="9" s="1"/>
  <c r="R13" i="9"/>
  <c r="W13" i="9" s="1"/>
  <c r="X13" i="9" s="1"/>
  <c r="R14" i="9"/>
  <c r="W14" i="9" s="1"/>
  <c r="X14" i="9" s="1"/>
  <c r="R10" i="9"/>
  <c r="W10" i="9" s="1"/>
  <c r="X10" i="9" s="1"/>
  <c r="R12" i="9"/>
  <c r="W12" i="9" s="1"/>
  <c r="X12" i="9" s="1"/>
  <c r="Q10" i="8"/>
  <c r="T10" i="8"/>
  <c r="U10" i="8" s="1"/>
  <c r="S10" i="8"/>
  <c r="T11" i="8"/>
  <c r="U11" i="8" s="1"/>
  <c r="Q11" i="8"/>
  <c r="S11" i="8"/>
  <c r="T15" i="8"/>
  <c r="U15" i="8" s="1"/>
  <c r="V15" i="8"/>
  <c r="Q15" i="8"/>
  <c r="R9" i="8"/>
  <c r="T14" i="8"/>
  <c r="U14" i="8" s="1"/>
  <c r="V14" i="8"/>
  <c r="S14" i="8"/>
  <c r="Q14" i="8"/>
  <c r="T12" i="8"/>
  <c r="U12" i="8" s="1"/>
  <c r="R13" i="8"/>
  <c r="W13" i="8" s="1"/>
  <c r="X13" i="8" s="1"/>
  <c r="T9" i="8"/>
  <c r="U9" i="8" s="1"/>
  <c r="Q12" i="8"/>
  <c r="R10" i="7"/>
  <c r="T11" i="7"/>
  <c r="U11" i="7" s="1"/>
  <c r="S11" i="7"/>
  <c r="Q11" i="7"/>
  <c r="T15" i="7"/>
  <c r="U15" i="7" s="1"/>
  <c r="V15" i="7"/>
  <c r="Q15" i="7"/>
  <c r="T14" i="7"/>
  <c r="U14" i="7" s="1"/>
  <c r="S14" i="7"/>
  <c r="V14" i="7"/>
  <c r="Q14" i="7"/>
  <c r="T10" i="7"/>
  <c r="U10" i="7" s="1"/>
  <c r="T12" i="7"/>
  <c r="U12" i="7" s="1"/>
  <c r="T9" i="7"/>
  <c r="U9" i="7" s="1"/>
  <c r="S10" i="7"/>
  <c r="Q12" i="7"/>
  <c r="R13" i="7"/>
  <c r="W13" i="7" s="1"/>
  <c r="X13" i="7" s="1"/>
  <c r="Q10" i="6"/>
  <c r="T10" i="6"/>
  <c r="U10" i="6" s="1"/>
  <c r="S10" i="6"/>
  <c r="T11" i="6"/>
  <c r="U11" i="6" s="1"/>
  <c r="S11" i="6"/>
  <c r="Q11" i="6"/>
  <c r="Q14" i="6"/>
  <c r="T9" i="6"/>
  <c r="U9" i="6" s="1"/>
  <c r="R13" i="6"/>
  <c r="R15" i="6"/>
  <c r="T12" i="6"/>
  <c r="U12" i="6" s="1"/>
  <c r="Q9" i="6"/>
  <c r="T13" i="6"/>
  <c r="U13" i="6" s="1"/>
  <c r="S14" i="6"/>
  <c r="T15" i="6"/>
  <c r="U15" i="6" s="1"/>
  <c r="Q12" i="6"/>
  <c r="T14" i="6"/>
  <c r="U14" i="6" s="1"/>
  <c r="Q10" i="5"/>
  <c r="T10" i="5"/>
  <c r="U10" i="5" s="1"/>
  <c r="S10" i="5"/>
  <c r="T11" i="5"/>
  <c r="U11" i="5" s="1"/>
  <c r="Q11" i="5"/>
  <c r="S11" i="5"/>
  <c r="T15" i="5"/>
  <c r="U15" i="5" s="1"/>
  <c r="V15" i="5"/>
  <c r="Q15" i="5"/>
  <c r="R9" i="5"/>
  <c r="T14" i="5"/>
  <c r="U14" i="5" s="1"/>
  <c r="S14" i="5"/>
  <c r="V14" i="5"/>
  <c r="Q14" i="5"/>
  <c r="T12" i="5"/>
  <c r="U12" i="5" s="1"/>
  <c r="T9" i="5"/>
  <c r="U9" i="5" s="1"/>
  <c r="Q12" i="5"/>
  <c r="R13" i="5"/>
  <c r="R9" i="4"/>
  <c r="S9" i="4"/>
  <c r="T9" i="4"/>
  <c r="U9" i="4" s="1"/>
  <c r="R16" i="8"/>
  <c r="V16" i="7"/>
  <c r="S16" i="7"/>
  <c r="R16" i="7"/>
  <c r="T16" i="7"/>
  <c r="U16" i="7" s="1"/>
  <c r="P17" i="8"/>
  <c r="V17" i="8" s="1"/>
  <c r="O21" i="8"/>
  <c r="N21" i="8"/>
  <c r="M21" i="8"/>
  <c r="L21" i="8"/>
  <c r="K21" i="8"/>
  <c r="J21" i="8"/>
  <c r="I21" i="8"/>
  <c r="H21" i="8"/>
  <c r="G21" i="8"/>
  <c r="F21" i="8"/>
  <c r="AC20" i="8"/>
  <c r="P20" i="8"/>
  <c r="AC19" i="8"/>
  <c r="P19" i="8"/>
  <c r="V19" i="8" s="1"/>
  <c r="AC18" i="8"/>
  <c r="P18" i="8"/>
  <c r="T18" i="8" s="1"/>
  <c r="U18" i="8" s="1"/>
  <c r="AC17" i="8"/>
  <c r="S17" i="8" s="1"/>
  <c r="W11" i="12" l="1"/>
  <c r="X11" i="12" s="1"/>
  <c r="X25" i="12" s="1"/>
  <c r="W11" i="11"/>
  <c r="W13" i="5"/>
  <c r="X13" i="5" s="1"/>
  <c r="Q18" i="8"/>
  <c r="R18" i="8" s="1"/>
  <c r="S18" i="8"/>
  <c r="Q19" i="8"/>
  <c r="W9" i="4"/>
  <c r="X9" i="4" s="1"/>
  <c r="V18" i="8"/>
  <c r="W9" i="7"/>
  <c r="X9" i="7" s="1"/>
  <c r="W10" i="7"/>
  <c r="X10" i="7" s="1"/>
  <c r="W15" i="6"/>
  <c r="X15" i="6" s="1"/>
  <c r="W9" i="8"/>
  <c r="X9" i="8" s="1"/>
  <c r="T19" i="8"/>
  <c r="U19" i="8" s="1"/>
  <c r="Q20" i="8"/>
  <c r="T20" i="8"/>
  <c r="U20" i="8" s="1"/>
  <c r="T17" i="8"/>
  <c r="U17" i="8" s="1"/>
  <c r="R21" i="10"/>
  <c r="W9" i="10"/>
  <c r="W9" i="9"/>
  <c r="R21" i="9"/>
  <c r="R14" i="8"/>
  <c r="W14" i="8" s="1"/>
  <c r="X14" i="8" s="1"/>
  <c r="W11" i="8"/>
  <c r="X11" i="8" s="1"/>
  <c r="R11" i="8"/>
  <c r="R12" i="8"/>
  <c r="W12" i="8" s="1"/>
  <c r="X12" i="8" s="1"/>
  <c r="R15" i="8"/>
  <c r="W15" i="8" s="1"/>
  <c r="X15" i="8" s="1"/>
  <c r="R10" i="8"/>
  <c r="W10" i="8" s="1"/>
  <c r="X10" i="8" s="1"/>
  <c r="R15" i="7"/>
  <c r="W15" i="7" s="1"/>
  <c r="X15" i="7" s="1"/>
  <c r="R11" i="7"/>
  <c r="W11" i="7" s="1"/>
  <c r="X11" i="7" s="1"/>
  <c r="R12" i="7"/>
  <c r="W12" i="7" s="1"/>
  <c r="X12" i="7" s="1"/>
  <c r="R14" i="7"/>
  <c r="W14" i="7" s="1"/>
  <c r="X14" i="7" s="1"/>
  <c r="R11" i="6"/>
  <c r="W11" i="6" s="1"/>
  <c r="X11" i="6" s="1"/>
  <c r="R10" i="6"/>
  <c r="W10" i="6" s="1"/>
  <c r="X10" i="6" s="1"/>
  <c r="R14" i="6"/>
  <c r="W14" i="6" s="1"/>
  <c r="X14" i="6" s="1"/>
  <c r="W13" i="6"/>
  <c r="X13" i="6" s="1"/>
  <c r="R12" i="6"/>
  <c r="W12" i="6" s="1"/>
  <c r="X12" i="6" s="1"/>
  <c r="R9" i="6"/>
  <c r="W9" i="6" s="1"/>
  <c r="X9" i="6" s="1"/>
  <c r="W9" i="5"/>
  <c r="X9" i="5" s="1"/>
  <c r="R11" i="5"/>
  <c r="W11" i="5" s="1"/>
  <c r="X11" i="5" s="1"/>
  <c r="R15" i="5"/>
  <c r="W15" i="5" s="1"/>
  <c r="X15" i="5" s="1"/>
  <c r="R12" i="5"/>
  <c r="W12" i="5" s="1"/>
  <c r="X12" i="5" s="1"/>
  <c r="R14" i="5"/>
  <c r="W14" i="5" s="1"/>
  <c r="X14" i="5" s="1"/>
  <c r="R10" i="5"/>
  <c r="W10" i="5" s="1"/>
  <c r="X10" i="5" s="1"/>
  <c r="W16" i="8"/>
  <c r="X16" i="8" s="1"/>
  <c r="W16" i="7"/>
  <c r="X16" i="7" s="1"/>
  <c r="P21" i="8"/>
  <c r="Q17" i="8"/>
  <c r="R20" i="8"/>
  <c r="V20" i="8"/>
  <c r="E21" i="8"/>
  <c r="S20" i="8"/>
  <c r="S21" i="8" s="1"/>
  <c r="R19" i="8"/>
  <c r="P20" i="5"/>
  <c r="Q20" i="5" s="1"/>
  <c r="P20" i="6"/>
  <c r="O21" i="7"/>
  <c r="N21" i="7"/>
  <c r="M21" i="7"/>
  <c r="L21" i="7"/>
  <c r="K21" i="7"/>
  <c r="J21" i="7"/>
  <c r="I21" i="7"/>
  <c r="H21" i="7"/>
  <c r="G21" i="7"/>
  <c r="F21" i="7"/>
  <c r="AC20" i="7"/>
  <c r="P20" i="7"/>
  <c r="AC19" i="7"/>
  <c r="P19" i="7"/>
  <c r="AC18" i="7"/>
  <c r="V18" i="7" s="1"/>
  <c r="P18" i="7"/>
  <c r="AC17" i="7"/>
  <c r="O21" i="6"/>
  <c r="N21" i="6"/>
  <c r="M21" i="6"/>
  <c r="L21" i="6"/>
  <c r="K21" i="6"/>
  <c r="J21" i="6"/>
  <c r="I21" i="6"/>
  <c r="H21" i="6"/>
  <c r="G21" i="6"/>
  <c r="F21" i="6"/>
  <c r="AC20" i="6"/>
  <c r="V20" i="6" s="1"/>
  <c r="AC19" i="6"/>
  <c r="V19" i="6" s="1"/>
  <c r="P19" i="6"/>
  <c r="AC18" i="6"/>
  <c r="P18" i="6"/>
  <c r="AC17" i="6"/>
  <c r="P17" i="6"/>
  <c r="AC16" i="6"/>
  <c r="V16" i="6" s="1"/>
  <c r="T16" i="6"/>
  <c r="U16" i="6" s="1"/>
  <c r="S16" i="6"/>
  <c r="Q16" i="6"/>
  <c r="R16" i="6" s="1"/>
  <c r="O21" i="5"/>
  <c r="N21" i="5"/>
  <c r="M21" i="5"/>
  <c r="L21" i="5"/>
  <c r="K21" i="5"/>
  <c r="J21" i="5"/>
  <c r="I21" i="5"/>
  <c r="H21" i="5"/>
  <c r="G21" i="5"/>
  <c r="F21" i="5"/>
  <c r="AC20" i="5"/>
  <c r="V20" i="5" s="1"/>
  <c r="AC19" i="5"/>
  <c r="P19" i="5"/>
  <c r="AC18" i="5"/>
  <c r="P18" i="5"/>
  <c r="AC17" i="5"/>
  <c r="P17" i="5"/>
  <c r="AC16" i="5"/>
  <c r="T16" i="5" s="1"/>
  <c r="U16" i="5" s="1"/>
  <c r="V16" i="5"/>
  <c r="Q16" i="5"/>
  <c r="R16" i="5" s="1"/>
  <c r="W25" i="12" l="1"/>
  <c r="X11" i="11"/>
  <c r="X24" i="11" s="1"/>
  <c r="W24" i="11"/>
  <c r="T18" i="5"/>
  <c r="U18" i="5" s="1"/>
  <c r="T19" i="5"/>
  <c r="U19" i="5" s="1"/>
  <c r="S16" i="5"/>
  <c r="S18" i="5"/>
  <c r="Q19" i="5"/>
  <c r="V17" i="6"/>
  <c r="T19" i="6"/>
  <c r="U19" i="6" s="1"/>
  <c r="T18" i="7"/>
  <c r="U18" i="7" s="1"/>
  <c r="V19" i="7"/>
  <c r="T19" i="7"/>
  <c r="U19" i="7" s="1"/>
  <c r="V17" i="5"/>
  <c r="T17" i="5"/>
  <c r="U17" i="5" s="1"/>
  <c r="Q17" i="5"/>
  <c r="R17" i="5" s="1"/>
  <c r="V18" i="5"/>
  <c r="V19" i="5"/>
  <c r="T18" i="6"/>
  <c r="U18" i="6" s="1"/>
  <c r="Q19" i="6"/>
  <c r="S18" i="7"/>
  <c r="S18" i="6"/>
  <c r="T20" i="7"/>
  <c r="U20" i="7" s="1"/>
  <c r="T20" i="6"/>
  <c r="U20" i="6" s="1"/>
  <c r="T20" i="5"/>
  <c r="U20" i="5" s="1"/>
  <c r="W21" i="10"/>
  <c r="X9" i="10"/>
  <c r="X21" i="10" s="1"/>
  <c r="W21" i="9"/>
  <c r="X9" i="9"/>
  <c r="X21" i="9" s="1"/>
  <c r="W19" i="8"/>
  <c r="X19" i="8" s="1"/>
  <c r="E21" i="6"/>
  <c r="V21" i="8"/>
  <c r="W20" i="8"/>
  <c r="X20" i="8" s="1"/>
  <c r="R17" i="8"/>
  <c r="W17" i="8" s="1"/>
  <c r="X17" i="8" s="1"/>
  <c r="T21" i="8"/>
  <c r="U21" i="8"/>
  <c r="W18" i="8"/>
  <c r="X18" i="8" s="1"/>
  <c r="Q21" i="8"/>
  <c r="E21" i="5"/>
  <c r="W16" i="6"/>
  <c r="X16" i="6" s="1"/>
  <c r="R20" i="5"/>
  <c r="S20" i="5"/>
  <c r="Q20" i="6"/>
  <c r="S20" i="6"/>
  <c r="S20" i="7"/>
  <c r="P21" i="7"/>
  <c r="Q20" i="7"/>
  <c r="R20" i="7" s="1"/>
  <c r="Q17" i="6"/>
  <c r="R17" i="6" s="1"/>
  <c r="Q18" i="7"/>
  <c r="V20" i="7"/>
  <c r="E21" i="7"/>
  <c r="Q19" i="7"/>
  <c r="S17" i="6"/>
  <c r="Q18" i="6"/>
  <c r="T17" i="6"/>
  <c r="U17" i="6" s="1"/>
  <c r="V18" i="6"/>
  <c r="R19" i="6"/>
  <c r="W16" i="5"/>
  <c r="X16" i="5" s="1"/>
  <c r="S17" i="5"/>
  <c r="Q18" i="5"/>
  <c r="R19" i="5"/>
  <c r="O21" i="4"/>
  <c r="N21" i="4"/>
  <c r="M21" i="4"/>
  <c r="L21" i="4"/>
  <c r="K21" i="4"/>
  <c r="J21" i="4"/>
  <c r="I21" i="4"/>
  <c r="H21" i="4"/>
  <c r="G21" i="4"/>
  <c r="F21" i="4"/>
  <c r="AC20" i="4"/>
  <c r="P20" i="4"/>
  <c r="AC19" i="4"/>
  <c r="Q19" i="4"/>
  <c r="P19" i="4"/>
  <c r="T19" i="4" s="1"/>
  <c r="U19" i="4" s="1"/>
  <c r="AC18" i="4"/>
  <c r="S18" i="4"/>
  <c r="P18" i="4"/>
  <c r="T18" i="4" s="1"/>
  <c r="U18" i="4" s="1"/>
  <c r="AC17" i="4"/>
  <c r="P17" i="4"/>
  <c r="Q17" i="4" s="1"/>
  <c r="R17" i="4" s="1"/>
  <c r="AC16" i="4"/>
  <c r="V16" i="4" s="1"/>
  <c r="S16" i="4"/>
  <c r="Q16" i="4"/>
  <c r="R16" i="4" s="1"/>
  <c r="AC15" i="4"/>
  <c r="E15" i="4"/>
  <c r="P15" i="4" s="1"/>
  <c r="C15" i="4"/>
  <c r="AC14" i="4"/>
  <c r="E14" i="4"/>
  <c r="P14" i="4" s="1"/>
  <c r="D14" i="4"/>
  <c r="C14" i="4"/>
  <c r="AC13" i="4"/>
  <c r="P13" i="4"/>
  <c r="T13" i="4" s="1"/>
  <c r="U13" i="4" s="1"/>
  <c r="C13" i="4"/>
  <c r="AC12" i="4"/>
  <c r="E12" i="4"/>
  <c r="P12" i="4" s="1"/>
  <c r="D12" i="4"/>
  <c r="C12" i="4"/>
  <c r="AC11" i="4"/>
  <c r="E11" i="4"/>
  <c r="P11" i="4" s="1"/>
  <c r="D11" i="4"/>
  <c r="C11" i="4"/>
  <c r="AC10" i="4"/>
  <c r="E10" i="4"/>
  <c r="D10" i="4"/>
  <c r="C10" i="4"/>
  <c r="O22" i="3"/>
  <c r="N22" i="3"/>
  <c r="M22" i="3"/>
  <c r="L22" i="3"/>
  <c r="K22" i="3"/>
  <c r="J22" i="3"/>
  <c r="I22" i="3"/>
  <c r="H22" i="3"/>
  <c r="G22" i="3"/>
  <c r="F22" i="3"/>
  <c r="V21" i="3"/>
  <c r="Q21" i="3"/>
  <c r="P21" i="3"/>
  <c r="AC20" i="3"/>
  <c r="S20" i="3"/>
  <c r="P20" i="3"/>
  <c r="V20" i="3" s="1"/>
  <c r="AC19" i="3"/>
  <c r="P19" i="3"/>
  <c r="AC18" i="3"/>
  <c r="V18" i="3" s="1"/>
  <c r="P18" i="3"/>
  <c r="AC17" i="3"/>
  <c r="P17" i="3"/>
  <c r="AC16" i="3"/>
  <c r="S16" i="3"/>
  <c r="P16" i="3"/>
  <c r="Q16" i="3" s="1"/>
  <c r="AC15" i="3"/>
  <c r="E15" i="3"/>
  <c r="P15" i="3" s="1"/>
  <c r="C15" i="3"/>
  <c r="AC14" i="3"/>
  <c r="E14" i="3"/>
  <c r="P14" i="3" s="1"/>
  <c r="D14" i="3"/>
  <c r="C14" i="3"/>
  <c r="AC13" i="3"/>
  <c r="P13" i="3"/>
  <c r="C13" i="3"/>
  <c r="AC12" i="3"/>
  <c r="E12" i="3"/>
  <c r="P12" i="3" s="1"/>
  <c r="D12" i="3"/>
  <c r="C12" i="3"/>
  <c r="AC11" i="3"/>
  <c r="E11" i="3"/>
  <c r="P11" i="3" s="1"/>
  <c r="D11" i="3"/>
  <c r="C11" i="3"/>
  <c r="AC10" i="3"/>
  <c r="E10" i="3"/>
  <c r="P10" i="3" s="1"/>
  <c r="D10" i="3"/>
  <c r="C10" i="3"/>
  <c r="AC9" i="3"/>
  <c r="P9" i="3"/>
  <c r="D9" i="3"/>
  <c r="C9" i="3"/>
  <c r="O22" i="2"/>
  <c r="N22" i="2"/>
  <c r="M22" i="2"/>
  <c r="L22" i="2"/>
  <c r="K22" i="2"/>
  <c r="J22" i="2"/>
  <c r="I22" i="2"/>
  <c r="H22" i="2"/>
  <c r="G22" i="2"/>
  <c r="F22" i="2"/>
  <c r="AC21" i="2"/>
  <c r="P21" i="2"/>
  <c r="Q21" i="2" s="1"/>
  <c r="AC20" i="2"/>
  <c r="Q20" i="2"/>
  <c r="P20" i="2"/>
  <c r="V20" i="2" s="1"/>
  <c r="AC19" i="2"/>
  <c r="AC18" i="2"/>
  <c r="AC17" i="2"/>
  <c r="AC16" i="2"/>
  <c r="P16" i="2"/>
  <c r="V16" i="2" s="1"/>
  <c r="AC15" i="2"/>
  <c r="E15" i="2"/>
  <c r="P15" i="2" s="1"/>
  <c r="C15" i="2"/>
  <c r="AC14" i="2"/>
  <c r="E14" i="2"/>
  <c r="P14" i="2" s="1"/>
  <c r="D14" i="2"/>
  <c r="C14" i="2"/>
  <c r="AC13" i="2"/>
  <c r="T13" i="2" s="1"/>
  <c r="U13" i="2" s="1"/>
  <c r="P13" i="2"/>
  <c r="C13" i="2"/>
  <c r="AC12" i="2"/>
  <c r="E12" i="2"/>
  <c r="P12" i="2" s="1"/>
  <c r="D12" i="2"/>
  <c r="C12" i="2"/>
  <c r="AC11" i="2"/>
  <c r="E11" i="2"/>
  <c r="P11" i="2" s="1"/>
  <c r="D11" i="2"/>
  <c r="C11" i="2"/>
  <c r="AC10" i="2"/>
  <c r="E10" i="2"/>
  <c r="D10" i="2"/>
  <c r="C10" i="2"/>
  <c r="AC9" i="2"/>
  <c r="Q9" i="2" s="1"/>
  <c r="P9" i="2"/>
  <c r="D9" i="2"/>
  <c r="C9" i="2"/>
  <c r="A3" i="1"/>
  <c r="A4" i="1" s="1"/>
  <c r="A5" i="1" s="1"/>
  <c r="A6" i="1" s="1"/>
  <c r="A7" i="1" s="1"/>
  <c r="A8" i="1" s="1"/>
  <c r="V11" i="4" l="1"/>
  <c r="E22" i="2"/>
  <c r="S16" i="2"/>
  <c r="S20" i="2"/>
  <c r="V13" i="3"/>
  <c r="V16" i="3"/>
  <c r="Q18" i="3"/>
  <c r="T11" i="4"/>
  <c r="U11" i="4" s="1"/>
  <c r="S12" i="4"/>
  <c r="T12" i="4"/>
  <c r="U12" i="4" s="1"/>
  <c r="Q13" i="4"/>
  <c r="T15" i="4"/>
  <c r="U15" i="4" s="1"/>
  <c r="T16" i="4"/>
  <c r="U16" i="4" s="1"/>
  <c r="V18" i="4"/>
  <c r="V19" i="4"/>
  <c r="V9" i="2"/>
  <c r="V13" i="2"/>
  <c r="S9" i="3"/>
  <c r="S10" i="3"/>
  <c r="T13" i="3"/>
  <c r="U13" i="3" s="1"/>
  <c r="S18" i="3"/>
  <c r="V13" i="4"/>
  <c r="T14" i="4"/>
  <c r="U14" i="4" s="1"/>
  <c r="S17" i="3"/>
  <c r="Q20" i="4"/>
  <c r="V17" i="4"/>
  <c r="T17" i="4"/>
  <c r="U17" i="4" s="1"/>
  <c r="W20" i="5"/>
  <c r="X20" i="5" s="1"/>
  <c r="P21" i="6"/>
  <c r="R21" i="8"/>
  <c r="V12" i="4"/>
  <c r="V21" i="5"/>
  <c r="V11" i="3"/>
  <c r="V12" i="3"/>
  <c r="V14" i="3"/>
  <c r="E21" i="4"/>
  <c r="W17" i="5"/>
  <c r="X17" i="5" s="1"/>
  <c r="P21" i="5"/>
  <c r="V11" i="2"/>
  <c r="V12" i="2"/>
  <c r="V14" i="2"/>
  <c r="W19" i="5"/>
  <c r="X19" i="5" s="1"/>
  <c r="S21" i="7"/>
  <c r="R20" i="6"/>
  <c r="W20" i="6" s="1"/>
  <c r="X20" i="6" s="1"/>
  <c r="W20" i="7"/>
  <c r="X20" i="7" s="1"/>
  <c r="V21" i="7"/>
  <c r="Q21" i="6"/>
  <c r="W17" i="6"/>
  <c r="X17" i="6" s="1"/>
  <c r="Q21" i="7"/>
  <c r="T21" i="7"/>
  <c r="U21" i="7"/>
  <c r="R19" i="7"/>
  <c r="W19" i="7" s="1"/>
  <c r="X19" i="7" s="1"/>
  <c r="R18" i="7"/>
  <c r="W18" i="7" s="1"/>
  <c r="X18" i="7" s="1"/>
  <c r="X17" i="7"/>
  <c r="W19" i="6"/>
  <c r="X19" i="6" s="1"/>
  <c r="T21" i="6"/>
  <c r="U21" i="6"/>
  <c r="R18" i="6"/>
  <c r="W18" i="6" s="1"/>
  <c r="X18" i="6" s="1"/>
  <c r="S21" i="6"/>
  <c r="V21" i="6"/>
  <c r="R18" i="5"/>
  <c r="W18" i="5" s="1"/>
  <c r="X18" i="5" s="1"/>
  <c r="Q21" i="5"/>
  <c r="T21" i="5"/>
  <c r="U21" i="5"/>
  <c r="S21" i="5"/>
  <c r="V10" i="3"/>
  <c r="P22" i="3"/>
  <c r="P10" i="2"/>
  <c r="P22" i="2" s="1"/>
  <c r="P10" i="4"/>
  <c r="R20" i="4"/>
  <c r="V15" i="4"/>
  <c r="Q15" i="4"/>
  <c r="W16" i="4"/>
  <c r="X16" i="4" s="1"/>
  <c r="S14" i="4"/>
  <c r="V14" i="4"/>
  <c r="Q14" i="4"/>
  <c r="Q11" i="4"/>
  <c r="S11" i="4"/>
  <c r="S17" i="4"/>
  <c r="Q18" i="4"/>
  <c r="V20" i="4"/>
  <c r="S10" i="4"/>
  <c r="Q12" i="4"/>
  <c r="R13" i="4"/>
  <c r="W13" i="4" s="1"/>
  <c r="X13" i="4" s="1"/>
  <c r="S20" i="4"/>
  <c r="T20" i="4"/>
  <c r="U20" i="4" s="1"/>
  <c r="R19" i="4"/>
  <c r="R16" i="3"/>
  <c r="V15" i="3"/>
  <c r="Q15" i="3"/>
  <c r="T15" i="3"/>
  <c r="U15" i="3" s="1"/>
  <c r="R18" i="3"/>
  <c r="T11" i="3"/>
  <c r="U11" i="3" s="1"/>
  <c r="Q11" i="3"/>
  <c r="S11" i="3"/>
  <c r="Q12" i="3"/>
  <c r="T12" i="3"/>
  <c r="U12" i="3" s="1"/>
  <c r="S12" i="3"/>
  <c r="Q14" i="3"/>
  <c r="T14" i="3"/>
  <c r="U14" i="3" s="1"/>
  <c r="S14" i="3"/>
  <c r="T17" i="3"/>
  <c r="U17" i="3" s="1"/>
  <c r="Q17" i="3"/>
  <c r="Q19" i="3"/>
  <c r="V19" i="3"/>
  <c r="T20" i="3"/>
  <c r="U20" i="3" s="1"/>
  <c r="R21" i="3"/>
  <c r="E22" i="3"/>
  <c r="V9" i="3"/>
  <c r="Q10" i="3"/>
  <c r="Q13" i="3"/>
  <c r="T16" i="3"/>
  <c r="U16" i="3" s="1"/>
  <c r="V17" i="3"/>
  <c r="T18" i="3"/>
  <c r="U18" i="3" s="1"/>
  <c r="Q20" i="3"/>
  <c r="S21" i="3"/>
  <c r="T10" i="3"/>
  <c r="U10" i="3" s="1"/>
  <c r="Q9" i="3"/>
  <c r="T9" i="3"/>
  <c r="T19" i="3"/>
  <c r="U19" i="3" s="1"/>
  <c r="T21" i="3"/>
  <c r="U21" i="3" s="1"/>
  <c r="S12" i="2"/>
  <c r="Q12" i="2"/>
  <c r="T12" i="2"/>
  <c r="U12" i="2" s="1"/>
  <c r="R21" i="2"/>
  <c r="V15" i="2"/>
  <c r="Q15" i="2"/>
  <c r="T15" i="2"/>
  <c r="U15" i="2" s="1"/>
  <c r="R9" i="2"/>
  <c r="Q11" i="2"/>
  <c r="S11" i="2"/>
  <c r="T11" i="2"/>
  <c r="U11" i="2" s="1"/>
  <c r="Q14" i="2"/>
  <c r="T14" i="2"/>
  <c r="U14" i="2" s="1"/>
  <c r="S14" i="2"/>
  <c r="Q10" i="2"/>
  <c r="S9" i="2"/>
  <c r="Q13" i="2"/>
  <c r="T9" i="2"/>
  <c r="S10" i="2"/>
  <c r="Q16" i="2"/>
  <c r="T20" i="2"/>
  <c r="U20" i="2" s="1"/>
  <c r="V21" i="2"/>
  <c r="S21" i="2"/>
  <c r="R20" i="2"/>
  <c r="T21" i="2"/>
  <c r="U21" i="2" s="1"/>
  <c r="T16" i="2"/>
  <c r="U16" i="2" s="1"/>
  <c r="T10" i="2" l="1"/>
  <c r="U10" i="2" s="1"/>
  <c r="Q10" i="4"/>
  <c r="R10" i="4" s="1"/>
  <c r="T10" i="4"/>
  <c r="U10" i="4" s="1"/>
  <c r="U21" i="4" s="1"/>
  <c r="W16" i="3"/>
  <c r="X16" i="3" s="1"/>
  <c r="W19" i="4"/>
  <c r="X19" i="4" s="1"/>
  <c r="V10" i="2"/>
  <c r="V22" i="2" s="1"/>
  <c r="W21" i="8"/>
  <c r="X21" i="8"/>
  <c r="R21" i="5"/>
  <c r="W21" i="7"/>
  <c r="X21" i="7"/>
  <c r="R21" i="7"/>
  <c r="R21" i="6"/>
  <c r="W21" i="6"/>
  <c r="X21" i="6"/>
  <c r="W21" i="5"/>
  <c r="X21" i="5"/>
  <c r="W21" i="3"/>
  <c r="X21" i="3" s="1"/>
  <c r="S22" i="3"/>
  <c r="W18" i="3"/>
  <c r="X18" i="3" s="1"/>
  <c r="V10" i="4"/>
  <c r="W21" i="2"/>
  <c r="X21" i="2" s="1"/>
  <c r="W17" i="4"/>
  <c r="X17" i="4" s="1"/>
  <c r="W20" i="2"/>
  <c r="X20" i="2" s="1"/>
  <c r="Q22" i="2"/>
  <c r="W20" i="4"/>
  <c r="X20" i="4" s="1"/>
  <c r="P21" i="4"/>
  <c r="R12" i="4"/>
  <c r="W12" i="4" s="1"/>
  <c r="X12" i="4" s="1"/>
  <c r="S21" i="4"/>
  <c r="R18" i="4"/>
  <c r="W18" i="4" s="1"/>
  <c r="X18" i="4" s="1"/>
  <c r="R15" i="4"/>
  <c r="W15" i="4" s="1"/>
  <c r="X15" i="4" s="1"/>
  <c r="R11" i="4"/>
  <c r="R14" i="4"/>
  <c r="W14" i="4" s="1"/>
  <c r="X14" i="4" s="1"/>
  <c r="R10" i="3"/>
  <c r="W10" i="3" s="1"/>
  <c r="X10" i="3" s="1"/>
  <c r="R14" i="3"/>
  <c r="W14" i="3" s="1"/>
  <c r="X14" i="3" s="1"/>
  <c r="T22" i="3"/>
  <c r="U9" i="3"/>
  <c r="U22" i="3" s="1"/>
  <c r="R20" i="3"/>
  <c r="W20" i="3" s="1"/>
  <c r="X20" i="3" s="1"/>
  <c r="V22" i="3"/>
  <c r="R12" i="3"/>
  <c r="W12" i="3" s="1"/>
  <c r="X12" i="3" s="1"/>
  <c r="R9" i="3"/>
  <c r="W9" i="3" s="1"/>
  <c r="Q22" i="3"/>
  <c r="R17" i="3"/>
  <c r="W17" i="3" s="1"/>
  <c r="X17" i="3" s="1"/>
  <c r="R13" i="3"/>
  <c r="W13" i="3" s="1"/>
  <c r="X13" i="3" s="1"/>
  <c r="R19" i="3"/>
  <c r="W19" i="3" s="1"/>
  <c r="X19" i="3" s="1"/>
  <c r="R11" i="3"/>
  <c r="W11" i="3" s="1"/>
  <c r="X11" i="3" s="1"/>
  <c r="R15" i="3"/>
  <c r="W15" i="3" s="1"/>
  <c r="X15" i="3" s="1"/>
  <c r="S22" i="2"/>
  <c r="R10" i="2"/>
  <c r="W10" i="2" s="1"/>
  <c r="X10" i="2" s="1"/>
  <c r="R15" i="2"/>
  <c r="W15" i="2" s="1"/>
  <c r="X15" i="2" s="1"/>
  <c r="R12" i="2"/>
  <c r="W12" i="2" s="1"/>
  <c r="X12" i="2" s="1"/>
  <c r="T22" i="2"/>
  <c r="U9" i="2"/>
  <c r="U22" i="2" s="1"/>
  <c r="R14" i="2"/>
  <c r="W14" i="2" s="1"/>
  <c r="X14" i="2" s="1"/>
  <c r="R11" i="2"/>
  <c r="R16" i="2"/>
  <c r="W16" i="2" s="1"/>
  <c r="X16" i="2" s="1"/>
  <c r="R13" i="2"/>
  <c r="W13" i="2" s="1"/>
  <c r="X13" i="2" s="1"/>
  <c r="Q21" i="4" l="1"/>
  <c r="T21" i="4"/>
  <c r="W10" i="4"/>
  <c r="X10" i="4" s="1"/>
  <c r="R21" i="4"/>
  <c r="R22" i="2"/>
  <c r="V21" i="4"/>
  <c r="W11" i="4"/>
  <c r="X11" i="4" s="1"/>
  <c r="W22" i="3"/>
  <c r="X9" i="3"/>
  <c r="X22" i="3" s="1"/>
  <c r="R22" i="3"/>
  <c r="W9" i="2"/>
  <c r="W11" i="2"/>
  <c r="X11" i="2" s="1"/>
  <c r="W21" i="4" l="1"/>
  <c r="X21" i="4"/>
  <c r="W22" i="2"/>
  <c r="X9" i="2"/>
  <c r="X22" i="2" s="1"/>
</calcChain>
</file>

<file path=xl/sharedStrings.xml><?xml version="1.0" encoding="utf-8"?>
<sst xmlns="http://schemas.openxmlformats.org/spreadsheetml/2006/main" count="1722" uniqueCount="339">
  <si>
    <t>번호</t>
    <phoneticPr fontId="4" type="noConversion"/>
  </si>
  <si>
    <t>성명</t>
    <phoneticPr fontId="5" type="noConversion"/>
  </si>
  <si>
    <t>직책</t>
    <phoneticPr fontId="4" type="noConversion"/>
  </si>
  <si>
    <t>주민등록번호</t>
    <phoneticPr fontId="5" type="noConversion"/>
  </si>
  <si>
    <t>주소
충청북도 영동군 영동읍 영동황간로 30-1</t>
    <phoneticPr fontId="5" type="noConversion"/>
  </si>
  <si>
    <t>연락번호</t>
    <phoneticPr fontId="5" type="noConversion"/>
  </si>
  <si>
    <t>e-mail 주소</t>
    <phoneticPr fontId="5" type="noConversion"/>
  </si>
  <si>
    <t>예금주</t>
    <phoneticPr fontId="4" type="noConversion"/>
  </si>
  <si>
    <t>은행명</t>
    <phoneticPr fontId="4" type="noConversion"/>
  </si>
  <si>
    <t>계 좌 번 호</t>
    <phoneticPr fontId="4" type="noConversion"/>
  </si>
  <si>
    <t>입사일</t>
    <phoneticPr fontId="5" type="noConversion"/>
  </si>
  <si>
    <t>퇴사일</t>
    <phoneticPr fontId="5" type="noConversion"/>
  </si>
  <si>
    <t>급여액</t>
    <phoneticPr fontId="3" type="noConversion"/>
  </si>
  <si>
    <t>안경이</t>
  </si>
  <si>
    <t>대표</t>
    <phoneticPr fontId="8" type="noConversion"/>
  </si>
  <si>
    <t>650228-
2226831</t>
  </si>
  <si>
    <t>충청북도 영동군 양강면 국촌1길 6-6</t>
    <phoneticPr fontId="8" type="noConversion"/>
  </si>
  <si>
    <t>010-4436-0963</t>
  </si>
  <si>
    <t>김성헌</t>
    <phoneticPr fontId="5" type="noConversion"/>
  </si>
  <si>
    <t>부장</t>
    <phoneticPr fontId="8" type="noConversion"/>
  </si>
  <si>
    <t>650616-1386114</t>
    <phoneticPr fontId="5" type="noConversion"/>
  </si>
  <si>
    <t>충청북도 영동군 영동읍 영산로7길 2, 가동 303호(양지연립)</t>
    <phoneticPr fontId="8" type="noConversion"/>
  </si>
  <si>
    <t>010-9428-5663</t>
    <phoneticPr fontId="5" type="noConversion"/>
  </si>
  <si>
    <t>최종식</t>
    <phoneticPr fontId="8" type="noConversion"/>
  </si>
  <si>
    <t>부장</t>
    <phoneticPr fontId="8" type="noConversion"/>
  </si>
  <si>
    <t>650319-1392610</t>
    <phoneticPr fontId="8" type="noConversion"/>
  </si>
  <si>
    <t>충청북도 청주시 상당구 중고개로142번길 17, (씨티프라디움 206-1305)</t>
    <phoneticPr fontId="8" type="noConversion"/>
  </si>
  <si>
    <t>010-5498-6461</t>
    <phoneticPr fontId="8" type="noConversion"/>
  </si>
  <si>
    <t>김태현</t>
    <phoneticPr fontId="8" type="noConversion"/>
  </si>
  <si>
    <t>과장</t>
    <phoneticPr fontId="8" type="noConversion"/>
  </si>
  <si>
    <t>921222-1386111</t>
    <phoneticPr fontId="8" type="noConversion"/>
  </si>
  <si>
    <t>충청북도 영동군 영동읍 영산로 25</t>
    <phoneticPr fontId="8" type="noConversion"/>
  </si>
  <si>
    <t>010-5031-8281</t>
    <phoneticPr fontId="8" type="noConversion"/>
  </si>
  <si>
    <t>박인식</t>
  </si>
  <si>
    <t>570228-
1387118</t>
  </si>
  <si>
    <t>경기도 안산시 상록구 사2동 1396번지 401호</t>
    <phoneticPr fontId="8" type="noConversion"/>
  </si>
  <si>
    <t>010-3718-8935</t>
  </si>
  <si>
    <t>이은애</t>
    <phoneticPr fontId="8" type="noConversion"/>
  </si>
  <si>
    <t>680409-2387111</t>
    <phoneticPr fontId="8" type="noConversion"/>
  </si>
  <si>
    <t>충청북도 영동군 영동읍 회동로 162</t>
    <phoneticPr fontId="8" type="noConversion"/>
  </si>
  <si>
    <t>010-5108-2005</t>
    <phoneticPr fontId="8" type="noConversion"/>
  </si>
  <si>
    <t>이일복</t>
    <phoneticPr fontId="8" type="noConversion"/>
  </si>
  <si>
    <t>610101-1386227</t>
    <phoneticPr fontId="8" type="noConversion"/>
  </si>
  <si>
    <t>충청북도 영동군 용산면 율리4길 18-1</t>
    <phoneticPr fontId="8" type="noConversion"/>
  </si>
  <si>
    <t>유지안</t>
    <phoneticPr fontId="3" type="noConversion"/>
  </si>
  <si>
    <t>부장</t>
    <phoneticPr fontId="3" type="noConversion"/>
  </si>
  <si>
    <t>760101-1384121</t>
    <phoneticPr fontId="3" type="noConversion"/>
  </si>
  <si>
    <t>2023.08.01</t>
    <phoneticPr fontId="3" type="noConversion"/>
  </si>
  <si>
    <t>2024.02.29</t>
    <phoneticPr fontId="3" type="noConversion"/>
  </si>
  <si>
    <t>조태현</t>
    <phoneticPr fontId="3" type="noConversion"/>
  </si>
  <si>
    <t>과장</t>
    <phoneticPr fontId="3" type="noConversion"/>
  </si>
  <si>
    <t>660520-1386119</t>
    <phoneticPr fontId="3" type="noConversion"/>
  </si>
  <si>
    <t>2024.02.01</t>
    <phoneticPr fontId="3" type="noConversion"/>
  </si>
  <si>
    <t>홍혜경</t>
    <phoneticPr fontId="3" type="noConversion"/>
  </si>
  <si>
    <t>대리</t>
    <phoneticPr fontId="3" type="noConversion"/>
  </si>
  <si>
    <t>790915-2813026</t>
    <phoneticPr fontId="3" type="noConversion"/>
  </si>
  <si>
    <t>박봉환</t>
    <phoneticPr fontId="3" type="noConversion"/>
  </si>
  <si>
    <t>고장</t>
    <phoneticPr fontId="3" type="noConversion"/>
  </si>
  <si>
    <t>600713-1182814</t>
    <phoneticPr fontId="3" type="noConversion"/>
  </si>
  <si>
    <t xml:space="preserve">건우건설주식회사             </t>
  </si>
  <si>
    <t>2024년 ( 01 )월 급여대장</t>
  </si>
  <si>
    <t>NO</t>
  </si>
  <si>
    <t>성명</t>
  </si>
  <si>
    <t>직책</t>
  </si>
  <si>
    <t>지  급  내  역(과세)</t>
    <phoneticPr fontId="3" type="noConversion"/>
  </si>
  <si>
    <t>지급내역(비과세)</t>
    <phoneticPr fontId="3" type="noConversion"/>
  </si>
  <si>
    <t>지급액</t>
  </si>
  <si>
    <t>공  제  내  역</t>
  </si>
  <si>
    <t>공제계</t>
  </si>
  <si>
    <t>지급총액</t>
  </si>
  <si>
    <t>부양가족수
본인포함</t>
    <phoneticPr fontId="3" type="noConversion"/>
  </si>
  <si>
    <t>20세이하
자녀수</t>
    <phoneticPr fontId="3" type="noConversion"/>
  </si>
  <si>
    <t>비과세
합계액</t>
    <phoneticPr fontId="3" type="noConversion"/>
  </si>
  <si>
    <t>기본급</t>
  </si>
  <si>
    <t>월차수당</t>
    <phoneticPr fontId="3" type="noConversion"/>
  </si>
  <si>
    <t>직책수당</t>
    <phoneticPr fontId="3" type="noConversion"/>
  </si>
  <si>
    <t>야근수당</t>
    <phoneticPr fontId="3" type="noConversion"/>
  </si>
  <si>
    <t>근속수당</t>
  </si>
  <si>
    <t>현장수당</t>
    <phoneticPr fontId="3" type="noConversion"/>
  </si>
  <si>
    <t>기술수당</t>
    <phoneticPr fontId="3" type="noConversion"/>
  </si>
  <si>
    <t>년차수당</t>
    <phoneticPr fontId="3" type="noConversion"/>
  </si>
  <si>
    <t>상여금</t>
    <phoneticPr fontId="3" type="noConversion"/>
  </si>
  <si>
    <t>식비</t>
    <phoneticPr fontId="3" type="noConversion"/>
  </si>
  <si>
    <t>차량유지비</t>
    <phoneticPr fontId="3" type="noConversion"/>
  </si>
  <si>
    <t>소득세</t>
    <phoneticPr fontId="3" type="noConversion"/>
  </si>
  <si>
    <t>지방
소득세</t>
    <phoneticPr fontId="3" type="noConversion"/>
  </si>
  <si>
    <t>국민연금</t>
  </si>
  <si>
    <t>건강보험</t>
  </si>
  <si>
    <t>장기요양보험</t>
    <phoneticPr fontId="3" type="noConversion"/>
  </si>
  <si>
    <t>고용보험</t>
  </si>
  <si>
    <t>부장</t>
    <phoneticPr fontId="3" type="noConversion"/>
  </si>
  <si>
    <t>과장</t>
    <phoneticPr fontId="3" type="noConversion"/>
  </si>
  <si>
    <t>유지안</t>
    <phoneticPr fontId="3" type="noConversion"/>
  </si>
  <si>
    <t>합계</t>
    <phoneticPr fontId="3" type="noConversion"/>
  </si>
  <si>
    <t>*참고 : 대표자는 직책에 "대표이사"라고 입력해야만 고용보험 "0"으로 처리됨   /  부양가족수본인포함에 1인이상넣어야 소득세계산됨</t>
    <phoneticPr fontId="3" type="noConversion"/>
  </si>
  <si>
    <t>주               소</t>
    <phoneticPr fontId="3" type="noConversion"/>
  </si>
  <si>
    <t>입사자</t>
    <phoneticPr fontId="3" type="noConversion"/>
  </si>
  <si>
    <t>퇴사자</t>
    <phoneticPr fontId="3" type="noConversion"/>
  </si>
  <si>
    <t>2024년 ( 02 )월 급여대장</t>
  </si>
  <si>
    <t>지  급  내  역(과세)</t>
    <phoneticPr fontId="3" type="noConversion"/>
  </si>
  <si>
    <t>지급내역(비과세)</t>
    <phoneticPr fontId="3" type="noConversion"/>
  </si>
  <si>
    <t>부양가족수
본인포함</t>
    <phoneticPr fontId="3" type="noConversion"/>
  </si>
  <si>
    <t>20세이하
자녀수</t>
    <phoneticPr fontId="3" type="noConversion"/>
  </si>
  <si>
    <t>비과세
합계액</t>
    <phoneticPr fontId="3" type="noConversion"/>
  </si>
  <si>
    <t>월차수당</t>
    <phoneticPr fontId="3" type="noConversion"/>
  </si>
  <si>
    <t>직책수당</t>
    <phoneticPr fontId="3" type="noConversion"/>
  </si>
  <si>
    <t>야근수당</t>
    <phoneticPr fontId="3" type="noConversion"/>
  </si>
  <si>
    <t>현장수당</t>
    <phoneticPr fontId="3" type="noConversion"/>
  </si>
  <si>
    <t>기술수당</t>
    <phoneticPr fontId="3" type="noConversion"/>
  </si>
  <si>
    <t>년차수당</t>
    <phoneticPr fontId="3" type="noConversion"/>
  </si>
  <si>
    <t>상여금</t>
    <phoneticPr fontId="3" type="noConversion"/>
  </si>
  <si>
    <t>식비</t>
    <phoneticPr fontId="3" type="noConversion"/>
  </si>
  <si>
    <t>2023.02.01</t>
    <phoneticPr fontId="3" type="noConversion"/>
  </si>
  <si>
    <t>주               소</t>
    <phoneticPr fontId="3" type="noConversion"/>
  </si>
  <si>
    <t>2023.02.29</t>
    <phoneticPr fontId="3" type="noConversion"/>
  </si>
  <si>
    <t>2024년 ( 03 )월 급여대장</t>
  </si>
  <si>
    <t>조태현</t>
    <phoneticPr fontId="3" type="noConversion"/>
  </si>
  <si>
    <t>홍혜경</t>
    <phoneticPr fontId="3" type="noConversion"/>
  </si>
  <si>
    <t>대리</t>
    <phoneticPr fontId="3" type="noConversion"/>
  </si>
  <si>
    <t>박봉환</t>
    <phoneticPr fontId="3" type="noConversion"/>
  </si>
  <si>
    <t>합계</t>
    <phoneticPr fontId="3" type="noConversion"/>
  </si>
  <si>
    <t>*참고 : 대표자는 직책에 "대표이사"라고 입력해야만 고용보험 "0"으로 처리됨   /  부양가족수본인포함에 1인이상넣어야 소득세계산됨</t>
    <phoneticPr fontId="3" type="noConversion"/>
  </si>
  <si>
    <t>이름</t>
    <phoneticPr fontId="3" type="noConversion"/>
  </si>
  <si>
    <t>주민등록번호</t>
    <phoneticPr fontId="3" type="noConversion"/>
  </si>
  <si>
    <t>입,퇴사일자</t>
    <phoneticPr fontId="3" type="noConversion"/>
  </si>
  <si>
    <t>주               소</t>
    <phoneticPr fontId="3" type="noConversion"/>
  </si>
  <si>
    <t>입사자</t>
    <phoneticPr fontId="3" type="noConversion"/>
  </si>
  <si>
    <t>퇴사자</t>
    <phoneticPr fontId="3" type="noConversion"/>
  </si>
  <si>
    <t xml:space="preserve">지급일자 : 2024년      03월      31일 </t>
    <phoneticPr fontId="3" type="noConversion"/>
  </si>
  <si>
    <t xml:space="preserve">지급일자 : 2024년      02월      29일 </t>
    <phoneticPr fontId="3" type="noConversion"/>
  </si>
  <si>
    <t xml:space="preserve">지급일자 : 2024년      01월      31일 </t>
    <phoneticPr fontId="3" type="noConversion"/>
  </si>
  <si>
    <t>24.05.15</t>
    <phoneticPr fontId="3" type="noConversion"/>
  </si>
  <si>
    <t>김지헌</t>
    <phoneticPr fontId="3" type="noConversion"/>
  </si>
  <si>
    <t>과장</t>
    <phoneticPr fontId="3" type="noConversion"/>
  </si>
  <si>
    <t>2024년 ( 04 )월 급여대장</t>
    <phoneticPr fontId="3" type="noConversion"/>
  </si>
  <si>
    <t>2024년 ( 05 )월 급여대장</t>
    <phoneticPr fontId="3" type="noConversion"/>
  </si>
  <si>
    <t>2024년 ( 06 )월 급여대장</t>
    <phoneticPr fontId="3" type="noConversion"/>
  </si>
  <si>
    <t>김지헌</t>
    <phoneticPr fontId="3" type="noConversion"/>
  </si>
  <si>
    <t>760607-1386119</t>
    <phoneticPr fontId="3" type="noConversion"/>
  </si>
  <si>
    <t>24.04.01</t>
    <phoneticPr fontId="3" type="noConversion"/>
  </si>
  <si>
    <t>660520-1386119</t>
    <phoneticPr fontId="3" type="noConversion"/>
  </si>
  <si>
    <t>760101-1384121</t>
    <phoneticPr fontId="3" type="noConversion"/>
  </si>
  <si>
    <t>2024년 ( 07 )월 급여대장</t>
    <phoneticPr fontId="3" type="noConversion"/>
  </si>
  <si>
    <t>김종부</t>
    <phoneticPr fontId="3" type="noConversion"/>
  </si>
  <si>
    <t>670120-1921312</t>
    <phoneticPr fontId="3" type="noConversion"/>
  </si>
  <si>
    <t>24.07.01</t>
    <phoneticPr fontId="3" type="noConversion"/>
  </si>
  <si>
    <t>24.06.16</t>
    <phoneticPr fontId="3" type="noConversion"/>
  </si>
  <si>
    <t xml:space="preserve">지급일자 : 2024년      07월      31일 </t>
    <phoneticPr fontId="3" type="noConversion"/>
  </si>
  <si>
    <t xml:space="preserve">지급일자 : 2024년      06월      30일 </t>
    <phoneticPr fontId="3" type="noConversion"/>
  </si>
  <si>
    <t xml:space="preserve">지급일자 : 2024년      05월      31일 </t>
    <phoneticPr fontId="3" type="noConversion"/>
  </si>
  <si>
    <t xml:space="preserve">지급일자 : 2024년      04월      30일 </t>
    <phoneticPr fontId="3" type="noConversion"/>
  </si>
  <si>
    <t>2024.08.31</t>
    <phoneticPr fontId="3" type="noConversion"/>
  </si>
  <si>
    <t>2024.08.17</t>
    <phoneticPr fontId="3" type="noConversion"/>
  </si>
  <si>
    <t>김태현</t>
    <phoneticPr fontId="3" type="noConversion"/>
  </si>
  <si>
    <t>921222-1386111</t>
    <phoneticPr fontId="3" type="noConversion"/>
  </si>
  <si>
    <t xml:space="preserve">지급일자 : 2024년      08월      31일 </t>
    <phoneticPr fontId="3" type="noConversion"/>
  </si>
  <si>
    <t>2024년 ( 08 )월 급여대장</t>
    <phoneticPr fontId="3" type="noConversion"/>
  </si>
  <si>
    <t xml:space="preserve">지급일자 : 2024년      09월      30일 </t>
    <phoneticPr fontId="3" type="noConversion"/>
  </si>
  <si>
    <t>2024년 ( 09 )월 급여대장</t>
    <phoneticPr fontId="3" type="noConversion"/>
  </si>
  <si>
    <t>2024년 ( 10 )월 급여대장</t>
    <phoneticPr fontId="3" type="noConversion"/>
  </si>
  <si>
    <t xml:space="preserve">지급일자 : 2024년      10월      31일 </t>
    <phoneticPr fontId="3" type="noConversion"/>
  </si>
  <si>
    <t>이은애</t>
    <phoneticPr fontId="3" type="noConversion"/>
  </si>
  <si>
    <t>680409-2387111</t>
    <phoneticPr fontId="3" type="noConversion"/>
  </si>
  <si>
    <t>2024.10.31</t>
    <phoneticPr fontId="3" type="noConversion"/>
  </si>
  <si>
    <t>한종수</t>
    <phoneticPr fontId="3" type="noConversion"/>
  </si>
  <si>
    <t>김선호</t>
    <phoneticPr fontId="3" type="noConversion"/>
  </si>
  <si>
    <t>함철</t>
    <phoneticPr fontId="3" type="noConversion"/>
  </si>
  <si>
    <t>590910-13286110</t>
    <phoneticPr fontId="3" type="noConversion"/>
  </si>
  <si>
    <t>2024.10.01</t>
    <phoneticPr fontId="3" type="noConversion"/>
  </si>
  <si>
    <t>한종수</t>
    <phoneticPr fontId="3" type="noConversion"/>
  </si>
  <si>
    <t>부장</t>
    <phoneticPr fontId="3" type="noConversion"/>
  </si>
  <si>
    <t>임상철</t>
    <phoneticPr fontId="3" type="noConversion"/>
  </si>
  <si>
    <t>2024.10.11</t>
    <phoneticPr fontId="3" type="noConversion"/>
  </si>
  <si>
    <t>2024.10.18</t>
    <phoneticPr fontId="3" type="noConversion"/>
  </si>
  <si>
    <t>760101-1384121</t>
    <phoneticPr fontId="3" type="noConversion"/>
  </si>
  <si>
    <t>2024년 ( 11 )월 급여대장</t>
    <phoneticPr fontId="3" type="noConversion"/>
  </si>
  <si>
    <t xml:space="preserve">지급일자 : 2024년      11월      30일 </t>
    <phoneticPr fontId="3" type="noConversion"/>
  </si>
  <si>
    <t>한종수</t>
    <phoneticPr fontId="3" type="noConversion"/>
  </si>
  <si>
    <t>2024.11.20</t>
    <phoneticPr fontId="3" type="noConversion"/>
  </si>
  <si>
    <t>홍혜경</t>
    <phoneticPr fontId="3" type="noConversion"/>
  </si>
  <si>
    <t>2024.11.15</t>
    <phoneticPr fontId="3" type="noConversion"/>
  </si>
  <si>
    <t>790915-2813026</t>
    <phoneticPr fontId="3" type="noConversion"/>
  </si>
  <si>
    <t>조태현</t>
    <phoneticPr fontId="3" type="noConversion"/>
  </si>
  <si>
    <t>660520-1386119</t>
    <phoneticPr fontId="3" type="noConversion"/>
  </si>
  <si>
    <t>2024.11.01</t>
    <phoneticPr fontId="3" type="noConversion"/>
  </si>
  <si>
    <t>정용휘</t>
    <phoneticPr fontId="3" type="noConversion"/>
  </si>
  <si>
    <t>660724-1401114</t>
    <phoneticPr fontId="3" type="noConversion"/>
  </si>
  <si>
    <t>2024.11.01</t>
    <phoneticPr fontId="3" type="noConversion"/>
  </si>
  <si>
    <t>김종원</t>
    <phoneticPr fontId="3" type="noConversion"/>
  </si>
  <si>
    <t>710605-1386318</t>
    <phoneticPr fontId="3" type="noConversion"/>
  </si>
  <si>
    <t>2024.10.01</t>
    <phoneticPr fontId="3" type="noConversion"/>
  </si>
  <si>
    <t>2024.10.14</t>
    <phoneticPr fontId="3" type="noConversion"/>
  </si>
  <si>
    <t>661129-1386116</t>
    <phoneticPr fontId="3" type="noConversion"/>
  </si>
  <si>
    <t>590616-1279619</t>
    <phoneticPr fontId="3" type="noConversion"/>
  </si>
  <si>
    <t>부장</t>
    <phoneticPr fontId="3" type="noConversion"/>
  </si>
  <si>
    <t>박인식</t>
    <phoneticPr fontId="3" type="noConversion"/>
  </si>
  <si>
    <t>임상철</t>
    <phoneticPr fontId="3" type="noConversion"/>
  </si>
  <si>
    <t>이일복</t>
    <phoneticPr fontId="3" type="noConversion"/>
  </si>
  <si>
    <t>조태현</t>
    <phoneticPr fontId="3" type="noConversion"/>
  </si>
  <si>
    <t>박봉환</t>
    <phoneticPr fontId="3" type="noConversion"/>
  </si>
  <si>
    <t>김종부</t>
    <phoneticPr fontId="3" type="noConversion"/>
  </si>
  <si>
    <t>최종식</t>
    <phoneticPr fontId="3" type="noConversion"/>
  </si>
  <si>
    <t>부장</t>
    <phoneticPr fontId="3" type="noConversion"/>
  </si>
  <si>
    <t>김선호</t>
    <phoneticPr fontId="3" type="noConversion"/>
  </si>
  <si>
    <t>정용휘</t>
    <phoneticPr fontId="3" type="noConversion"/>
  </si>
  <si>
    <t>김종원</t>
    <phoneticPr fontId="3" type="noConversion"/>
  </si>
  <si>
    <t>홍혜경</t>
    <phoneticPr fontId="3" type="noConversion"/>
  </si>
  <si>
    <t>590910-1386110</t>
    <phoneticPr fontId="3" type="noConversion"/>
  </si>
  <si>
    <t>2024년 ( 12 )월 급여대장</t>
    <phoneticPr fontId="3" type="noConversion"/>
  </si>
  <si>
    <t xml:space="preserve">지급일자 : 2024년      12월      일 </t>
    <phoneticPr fontId="3" type="noConversion"/>
  </si>
  <si>
    <t>함철</t>
    <phoneticPr fontId="3" type="noConversion"/>
  </si>
  <si>
    <t>590616-1279619</t>
    <phoneticPr fontId="3" type="noConversion"/>
  </si>
  <si>
    <t>24.12.10</t>
    <phoneticPr fontId="3" type="noConversion"/>
  </si>
  <si>
    <t>유창열</t>
    <phoneticPr fontId="3" type="noConversion"/>
  </si>
  <si>
    <t>부장</t>
    <phoneticPr fontId="3" type="noConversion"/>
  </si>
  <si>
    <t>유창열</t>
    <phoneticPr fontId="3" type="noConversion"/>
  </si>
  <si>
    <t>710127-1379610</t>
    <phoneticPr fontId="3" type="noConversion"/>
  </si>
  <si>
    <t>2024.12.11</t>
    <phoneticPr fontId="3" type="noConversion"/>
  </si>
  <si>
    <t>010 5714 7070</t>
    <phoneticPr fontId="3" type="noConversion"/>
  </si>
  <si>
    <t>조규용</t>
    <phoneticPr fontId="3" type="noConversion"/>
  </si>
  <si>
    <t>790321-1231112</t>
    <phoneticPr fontId="3" type="noConversion"/>
  </si>
  <si>
    <t>2024.12.16</t>
    <phoneticPr fontId="3" type="noConversion"/>
  </si>
  <si>
    <t>과장</t>
    <phoneticPr fontId="3" type="noConversion"/>
  </si>
  <si>
    <t xml:space="preserve">지급일자 : 2025년      01월      일 </t>
    <phoneticPr fontId="3" type="noConversion"/>
  </si>
  <si>
    <t xml:space="preserve">지급일자 : 2025년      02월      일 </t>
    <phoneticPr fontId="3" type="noConversion"/>
  </si>
  <si>
    <t>2025년 ( 02 )월 급여대장</t>
    <phoneticPr fontId="3" type="noConversion"/>
  </si>
  <si>
    <t>2025년 ( 01 )월 급여대장</t>
    <phoneticPr fontId="3" type="noConversion"/>
  </si>
  <si>
    <t>25.02.13</t>
    <phoneticPr fontId="3" type="noConversion"/>
  </si>
  <si>
    <t xml:space="preserve">지급일자 : 2025년      03월      일 </t>
    <phoneticPr fontId="3" type="noConversion"/>
  </si>
  <si>
    <t>2025년 ( 03 )월 급여대장</t>
    <phoneticPr fontId="3" type="noConversion"/>
  </si>
  <si>
    <t>정용휘</t>
    <phoneticPr fontId="3" type="noConversion"/>
  </si>
  <si>
    <t>25.01.31</t>
    <phoneticPr fontId="3" type="noConversion"/>
  </si>
  <si>
    <t>이진초</t>
    <phoneticPr fontId="3" type="noConversion"/>
  </si>
  <si>
    <t>25.02.01</t>
    <phoneticPr fontId="3" type="noConversion"/>
  </si>
  <si>
    <t>이진초</t>
    <phoneticPr fontId="3" type="noConversion"/>
  </si>
  <si>
    <t>741025-1386318</t>
    <phoneticPr fontId="3" type="noConversion"/>
  </si>
  <si>
    <t>김지헌</t>
    <phoneticPr fontId="3" type="noConversion"/>
  </si>
  <si>
    <t>임상철</t>
    <phoneticPr fontId="3" type="noConversion"/>
  </si>
  <si>
    <t>580417-1386719</t>
    <phoneticPr fontId="3" type="noConversion"/>
  </si>
  <si>
    <t>760607-1386119</t>
    <phoneticPr fontId="3" type="noConversion"/>
  </si>
  <si>
    <t>유창열</t>
    <phoneticPr fontId="3" type="noConversion"/>
  </si>
  <si>
    <t>조규용</t>
    <phoneticPr fontId="3" type="noConversion"/>
  </si>
  <si>
    <t>25.03.31</t>
    <phoneticPr fontId="3" type="noConversion"/>
  </si>
  <si>
    <t>2025년 ( 04 )월 급여대장</t>
    <phoneticPr fontId="3" type="noConversion"/>
  </si>
  <si>
    <t xml:space="preserve">지급일자 : 2025년      04월      일 </t>
    <phoneticPr fontId="3" type="noConversion"/>
  </si>
  <si>
    <t>박희서</t>
    <phoneticPr fontId="3" type="noConversion"/>
  </si>
  <si>
    <t>김정근</t>
    <phoneticPr fontId="3" type="noConversion"/>
  </si>
  <si>
    <t>김철동</t>
    <phoneticPr fontId="3" type="noConversion"/>
  </si>
  <si>
    <t>박희서</t>
    <phoneticPr fontId="3" type="noConversion"/>
  </si>
  <si>
    <t>김철동</t>
    <phoneticPr fontId="3" type="noConversion"/>
  </si>
  <si>
    <t>김정근</t>
    <phoneticPr fontId="3" type="noConversion"/>
  </si>
  <si>
    <t>배진식</t>
    <phoneticPr fontId="3" type="noConversion"/>
  </si>
  <si>
    <t>25.04.30</t>
    <phoneticPr fontId="3" type="noConversion"/>
  </si>
  <si>
    <t>25.04.01</t>
    <phoneticPr fontId="3" type="noConversion"/>
  </si>
  <si>
    <t>25.04.16</t>
    <phoneticPr fontId="3" type="noConversion"/>
  </si>
  <si>
    <t>2025년 ( 05 )월 급여대장</t>
    <phoneticPr fontId="3" type="noConversion"/>
  </si>
  <si>
    <t xml:space="preserve">지급일자 : 2025년      05월      일 </t>
    <phoneticPr fontId="3" type="noConversion"/>
  </si>
  <si>
    <t>민선희</t>
    <phoneticPr fontId="3" type="noConversion"/>
  </si>
  <si>
    <t>25.05.01</t>
    <phoneticPr fontId="3" type="noConversion"/>
  </si>
  <si>
    <t>민선희</t>
    <phoneticPr fontId="3" type="noConversion"/>
  </si>
  <si>
    <t>750711-2387110</t>
    <phoneticPr fontId="3" type="noConversion"/>
  </si>
  <si>
    <t>2025년 ( 06 )월 급여대장</t>
    <phoneticPr fontId="3" type="noConversion"/>
  </si>
  <si>
    <t xml:space="preserve">지급일자 : 2025년      06월      일 </t>
    <phoneticPr fontId="3" type="noConversion"/>
  </si>
  <si>
    <t>650320-1386730</t>
    <phoneticPr fontId="3" type="noConversion"/>
  </si>
  <si>
    <t>700510-1696411</t>
    <phoneticPr fontId="3" type="noConversion"/>
  </si>
  <si>
    <t>640906-1538319</t>
    <phoneticPr fontId="3" type="noConversion"/>
  </si>
  <si>
    <t>540910-1386711</t>
    <phoneticPr fontId="3" type="noConversion"/>
  </si>
  <si>
    <t>25.06.01</t>
    <phoneticPr fontId="3" type="noConversion"/>
  </si>
  <si>
    <t>조규용</t>
    <phoneticPr fontId="3" type="noConversion"/>
  </si>
  <si>
    <t>민선희</t>
    <phoneticPr fontId="3" type="noConversion"/>
  </si>
  <si>
    <t>25.06.30</t>
    <phoneticPr fontId="3" type="noConversion"/>
  </si>
  <si>
    <t>2025년 ( 07 )월 급여대장</t>
    <phoneticPr fontId="3" type="noConversion"/>
  </si>
  <si>
    <t xml:space="preserve">지급일자 : 2025년      07월      일 </t>
    <phoneticPr fontId="3" type="noConversion"/>
  </si>
  <si>
    <t>김선호</t>
    <phoneticPr fontId="3" type="noConversion"/>
  </si>
  <si>
    <t>25.07.01</t>
    <phoneticPr fontId="3" type="noConversion"/>
  </si>
  <si>
    <t>조규용</t>
    <phoneticPr fontId="3" type="noConversion"/>
  </si>
  <si>
    <t>조규용</t>
    <phoneticPr fontId="3" type="noConversion"/>
  </si>
  <si>
    <t>25.07.31</t>
    <phoneticPr fontId="3" type="noConversion"/>
  </si>
  <si>
    <t>2025년 ( 08 )월 급여대장</t>
    <phoneticPr fontId="3" type="noConversion"/>
  </si>
  <si>
    <t xml:space="preserve">지급일자 : 2025년      08월      일 </t>
    <phoneticPr fontId="3" type="noConversion"/>
  </si>
  <si>
    <t>이정숙</t>
    <phoneticPr fontId="3" type="noConversion"/>
  </si>
  <si>
    <t>700303-2380524</t>
    <phoneticPr fontId="3" type="noConversion"/>
  </si>
  <si>
    <t>2025.08.31</t>
    <phoneticPr fontId="3" type="noConversion"/>
  </si>
  <si>
    <t>2025.08.31</t>
    <phoneticPr fontId="3" type="noConversion"/>
  </si>
  <si>
    <t>2025.08.01</t>
    <phoneticPr fontId="3" type="noConversion"/>
  </si>
  <si>
    <t>김종부</t>
    <phoneticPr fontId="3" type="noConversion"/>
  </si>
  <si>
    <t>2025.08.31</t>
    <phoneticPr fontId="3" type="noConversion"/>
  </si>
  <si>
    <t>25.09.01</t>
    <phoneticPr fontId="3" type="noConversion"/>
  </si>
  <si>
    <t>민선희</t>
    <phoneticPr fontId="3" type="noConversion"/>
  </si>
  <si>
    <t>박헌태</t>
    <phoneticPr fontId="3" type="noConversion"/>
  </si>
  <si>
    <t>박헌태</t>
    <phoneticPr fontId="3" type="noConversion"/>
  </si>
  <si>
    <t>551120-1455311</t>
    <phoneticPr fontId="3" type="noConversion"/>
  </si>
  <si>
    <t>25.09.01</t>
    <phoneticPr fontId="3" type="noConversion"/>
  </si>
  <si>
    <t>2025년 ( 10 )월 급여대장</t>
    <phoneticPr fontId="3" type="noConversion"/>
  </si>
  <si>
    <t xml:space="preserve">지급일자 : 2025년      10월      일 </t>
    <phoneticPr fontId="3" type="noConversion"/>
  </si>
  <si>
    <t>2025년 ( 09 )월 급여대장</t>
    <phoneticPr fontId="3" type="noConversion"/>
  </si>
  <si>
    <t xml:space="preserve">지급일자 : 2025년      09월      일 </t>
    <phoneticPr fontId="3" type="noConversion"/>
  </si>
  <si>
    <t>이정숙</t>
    <phoneticPr fontId="3" type="noConversion"/>
  </si>
  <si>
    <t>김철동</t>
    <phoneticPr fontId="3" type="noConversion"/>
  </si>
  <si>
    <t>700510-1696411</t>
    <phoneticPr fontId="3" type="noConversion"/>
  </si>
  <si>
    <t>25.10.31</t>
    <phoneticPr fontId="3" type="noConversion"/>
  </si>
  <si>
    <t>임영준</t>
    <phoneticPr fontId="3" type="noConversion"/>
  </si>
  <si>
    <t>임영준</t>
    <phoneticPr fontId="3" type="noConversion"/>
  </si>
  <si>
    <t>과장</t>
    <phoneticPr fontId="3" type="noConversion"/>
  </si>
  <si>
    <t>25.10.17</t>
    <phoneticPr fontId="3" type="noConversion"/>
  </si>
  <si>
    <t>윤학수</t>
    <phoneticPr fontId="3" type="noConversion"/>
  </si>
  <si>
    <t>임영준</t>
    <phoneticPr fontId="3" type="noConversion"/>
  </si>
  <si>
    <t>윤학수</t>
    <phoneticPr fontId="3" type="noConversion"/>
  </si>
  <si>
    <t>25.11.01</t>
    <phoneticPr fontId="3" type="noConversion"/>
  </si>
  <si>
    <t>민선희</t>
    <phoneticPr fontId="3" type="noConversion"/>
  </si>
  <si>
    <t>25.10.31</t>
    <phoneticPr fontId="3" type="noConversion"/>
  </si>
  <si>
    <t>이은애</t>
    <phoneticPr fontId="3" type="noConversion"/>
  </si>
  <si>
    <t>이은애</t>
    <phoneticPr fontId="3" type="noConversion"/>
  </si>
  <si>
    <t>730501-1382410</t>
    <phoneticPr fontId="3" type="noConversion"/>
  </si>
  <si>
    <t>700328-1626417</t>
    <phoneticPr fontId="3" type="noConversion"/>
  </si>
  <si>
    <t>김경태</t>
    <phoneticPr fontId="3" type="noConversion"/>
  </si>
  <si>
    <t>790910-1696610</t>
    <phoneticPr fontId="3" type="noConversion"/>
  </si>
  <si>
    <t>25.11.17</t>
    <phoneticPr fontId="3" type="noConversion"/>
  </si>
  <si>
    <t>김경태</t>
    <phoneticPr fontId="3" type="noConversion"/>
  </si>
  <si>
    <t>과장</t>
    <phoneticPr fontId="3" type="noConversion"/>
  </si>
  <si>
    <t>2025년 ( 12 )월 급여대장</t>
    <phoneticPr fontId="3" type="noConversion"/>
  </si>
  <si>
    <t xml:space="preserve">지급일자 : 2025년      12월      일 </t>
    <phoneticPr fontId="3" type="noConversion"/>
  </si>
  <si>
    <t xml:space="preserve">지급일자 : 2025년      11월      일 </t>
    <phoneticPr fontId="3" type="noConversion"/>
  </si>
  <si>
    <t>2025년 ( 11 )월 급여대장</t>
    <phoneticPr fontId="3" type="noConversion"/>
  </si>
  <si>
    <t>임영준</t>
    <phoneticPr fontId="3" type="noConversion"/>
  </si>
  <si>
    <t>25.12.15</t>
    <phoneticPr fontId="3" type="noConversion"/>
  </si>
  <si>
    <t>윤학수</t>
    <phoneticPr fontId="3" type="noConversion"/>
  </si>
  <si>
    <t>25.12.17</t>
    <phoneticPr fontId="3" type="noConversion"/>
  </si>
  <si>
    <t>수자원</t>
    <phoneticPr fontId="3" type="noConversion"/>
  </si>
  <si>
    <t>수자원</t>
    <phoneticPr fontId="3" type="noConversion"/>
  </si>
  <si>
    <t>김선호</t>
    <phoneticPr fontId="3" type="noConversion"/>
  </si>
  <si>
    <t>이정숙</t>
    <phoneticPr fontId="3" type="noConversion"/>
  </si>
  <si>
    <t>25.12.20</t>
    <phoneticPr fontId="3" type="noConversion"/>
  </si>
  <si>
    <t>김선호</t>
    <phoneticPr fontId="3" type="noConversion"/>
  </si>
  <si>
    <t>25.12.18</t>
    <phoneticPr fontId="3" type="noConversion"/>
  </si>
  <si>
    <t>부장</t>
    <phoneticPr fontId="3" type="noConversion"/>
  </si>
  <si>
    <t>&lt;-&gt;윤학수</t>
    <phoneticPr fontId="3" type="noConversion"/>
  </si>
  <si>
    <t>2026년 ( 01 )월 급여대장</t>
    <phoneticPr fontId="3" type="noConversion"/>
  </si>
  <si>
    <t xml:space="preserve">지급일자 : 2026년      01월      일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</si>
</sst>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yyyy\.\ mm\.\ dd\."/>
    <numFmt numFmtId="177" formatCode="yy\/mm\/dd"/>
    <numFmt numFmtId="178" formatCode="000000\-0000000"/>
    <numFmt numFmtId="179" formatCode="#,###"/>
    <numFmt numFmtId="180" formatCode="General\ &quot;년&quot;"/>
    <numFmt numFmtId="181" formatCode="General\ &quot;월&quot;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sz val="8"/>
      <name val="돋움"/>
      <family val="3"/>
      <charset val="129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굴림"/>
      <family val="3"/>
      <charset val="129"/>
    </font>
    <font>
      <u/>
      <sz val="11"/>
      <color theme="10"/>
      <name val="맑은 고딕"/>
      <family val="3"/>
      <charset val="129"/>
    </font>
    <font>
      <u/>
      <sz val="10"/>
      <name val="굴림"/>
      <family val="3"/>
      <charset val="129"/>
    </font>
    <font>
      <sz val="9"/>
      <name val="굴림"/>
      <family val="3"/>
      <charset val="129"/>
    </font>
    <font>
      <sz val="9"/>
      <color theme="1"/>
      <name val="굴림"/>
      <family val="3"/>
      <charset val="129"/>
    </font>
    <font>
      <u/>
      <sz val="9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10"/>
      <name val="돋움"/>
      <family val="3"/>
      <charset val="129"/>
    </font>
    <font>
      <b/>
      <sz val="9"/>
      <name val="굴림"/>
      <family val="3"/>
      <charset val="129"/>
    </font>
    <font>
      <b/>
      <sz val="9"/>
      <color theme="1"/>
      <name val="굴림"/>
      <family val="3"/>
      <charset val="129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color rgb="FF333333"/>
      <name val="굴림"/>
      <family val="3"/>
      <charset val="129"/>
    </font>
    <font>
      <sz val="1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b/>
      <sz val="20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C2C6CC"/>
      </left>
      <right style="medium">
        <color rgb="FFC2C6CC"/>
      </right>
      <top/>
      <bottom style="medium">
        <color rgb="FFC2C6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25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41" fontId="7" fillId="0" borderId="0" xfId="1" applyFont="1" applyBorder="1" applyAlignment="1">
      <alignment horizontal="center" vertical="center" wrapText="1"/>
    </xf>
    <xf numFmtId="4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1" xfId="2" applyFont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7" fontId="7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1" fontId="7" fillId="0" borderId="1" xfId="1" applyFont="1" applyBorder="1" applyAlignment="1">
      <alignment horizontal="right" vertical="center" wrapText="1"/>
    </xf>
    <xf numFmtId="177" fontId="9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2" applyFont="1" applyBorder="1" applyAlignment="1" applyProtection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41" fontId="12" fillId="0" borderId="1" xfId="1" applyFont="1" applyBorder="1" applyAlignment="1">
      <alignment horizontal="right" vertical="center" wrapText="1"/>
    </xf>
    <xf numFmtId="41" fontId="12" fillId="0" borderId="0" xfId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41" fontId="12" fillId="0" borderId="1" xfId="1" applyFont="1" applyBorder="1" applyAlignment="1">
      <alignment horizontal="center" vertical="center" wrapText="1"/>
    </xf>
    <xf numFmtId="177" fontId="12" fillId="0" borderId="0" xfId="0" applyNumberFormat="1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177" fontId="15" fillId="0" borderId="0" xfId="0" applyNumberFormat="1" applyFont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77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77" fontId="17" fillId="0" borderId="1" xfId="0" applyNumberFormat="1" applyFont="1" applyBorder="1" applyAlignment="1">
      <alignment horizontal="center" vertical="center" wrapText="1"/>
    </xf>
    <xf numFmtId="41" fontId="17" fillId="0" borderId="1" xfId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41" fontId="17" fillId="0" borderId="1" xfId="1" applyFont="1" applyBorder="1" applyAlignment="1">
      <alignment horizontal="right" vertical="center" wrapText="1"/>
    </xf>
    <xf numFmtId="0" fontId="18" fillId="4" borderId="1" xfId="0" applyFont="1" applyFill="1" applyBorder="1" applyAlignment="1">
      <alignment horizontal="center" vertical="center"/>
    </xf>
    <xf numFmtId="3" fontId="20" fillId="0" borderId="2" xfId="3" applyNumberFormat="1" applyFont="1" applyBorder="1" applyAlignment="1">
      <alignment horizontal="left" vertical="center" wrapText="1"/>
    </xf>
    <xf numFmtId="3" fontId="20" fillId="0" borderId="0" xfId="3" applyNumberFormat="1" applyFont="1" applyAlignment="1">
      <alignment horizontal="left" vertical="center" shrinkToFit="1"/>
    </xf>
    <xf numFmtId="0" fontId="17" fillId="0" borderId="3" xfId="0" applyFont="1" applyBorder="1" applyAlignment="1">
      <alignment horizontal="left" vertical="center" wrapText="1"/>
    </xf>
    <xf numFmtId="178" fontId="17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14" fontId="21" fillId="5" borderId="4" xfId="0" applyNumberFormat="1" applyFont="1" applyFill="1" applyBorder="1" applyAlignment="1">
      <alignment horizontal="center" vertical="center" wrapText="1"/>
    </xf>
    <xf numFmtId="0" fontId="22" fillId="0" borderId="0" xfId="3" applyFont="1" applyAlignment="1">
      <alignment horizontal="center" vertical="center" shrinkToFit="1"/>
    </xf>
    <xf numFmtId="3" fontId="22" fillId="0" borderId="0" xfId="3" applyNumberFormat="1" applyFont="1" applyAlignment="1">
      <alignment horizontal="center" vertical="center" shrinkToFit="1"/>
    </xf>
    <xf numFmtId="179" fontId="22" fillId="0" borderId="0" xfId="3" applyNumberFormat="1" applyFont="1" applyAlignment="1">
      <alignment horizontal="center" vertical="center" shrinkToFit="1"/>
    </xf>
    <xf numFmtId="3" fontId="23" fillId="0" borderId="0" xfId="3" applyNumberFormat="1" applyFont="1" applyAlignment="1">
      <alignment horizontal="center" vertical="center" shrinkToFit="1"/>
    </xf>
    <xf numFmtId="0" fontId="25" fillId="0" borderId="0" xfId="3" applyFont="1" applyAlignment="1" applyProtection="1">
      <alignment vertical="center" shrinkToFit="1"/>
      <protection locked="0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center" vertical="center" shrinkToFit="1"/>
    </xf>
    <xf numFmtId="180" fontId="20" fillId="0" borderId="0" xfId="3" applyNumberFormat="1" applyFont="1" applyAlignment="1">
      <alignment vertical="center" shrinkToFit="1"/>
    </xf>
    <xf numFmtId="180" fontId="20" fillId="0" borderId="0" xfId="3" applyNumberFormat="1" applyFont="1" applyAlignment="1">
      <alignment horizontal="center" vertical="center" shrinkToFit="1"/>
    </xf>
    <xf numFmtId="181" fontId="20" fillId="0" borderId="0" xfId="3" applyNumberFormat="1" applyFont="1" applyAlignment="1">
      <alignment horizontal="center" vertical="center" shrinkToFit="1"/>
    </xf>
    <xf numFmtId="0" fontId="20" fillId="0" borderId="0" xfId="3" applyFont="1" applyAlignment="1">
      <alignment horizontal="left" vertical="center" shrinkToFit="1"/>
    </xf>
    <xf numFmtId="0" fontId="22" fillId="0" borderId="5" xfId="3" applyFont="1" applyBorder="1" applyAlignment="1">
      <alignment horizontal="left" vertical="center" shrinkToFit="1"/>
    </xf>
    <xf numFmtId="0" fontId="20" fillId="0" borderId="5" xfId="3" applyFont="1" applyBorder="1" applyAlignment="1">
      <alignment horizontal="left" vertical="center" shrinkToFit="1"/>
    </xf>
    <xf numFmtId="0" fontId="20" fillId="0" borderId="5" xfId="3" applyFont="1" applyBorder="1" applyAlignment="1">
      <alignment horizontal="center" vertical="center" shrinkToFit="1"/>
    </xf>
    <xf numFmtId="180" fontId="20" fillId="0" borderId="5" xfId="3" applyNumberFormat="1" applyFont="1" applyBorder="1" applyAlignment="1">
      <alignment vertical="center" shrinkToFit="1"/>
    </xf>
    <xf numFmtId="180" fontId="20" fillId="0" borderId="5" xfId="3" applyNumberFormat="1" applyFont="1" applyBorder="1" applyAlignment="1">
      <alignment horizontal="center" vertical="center" shrinkToFit="1"/>
    </xf>
    <xf numFmtId="181" fontId="20" fillId="0" borderId="5" xfId="3" applyNumberFormat="1" applyFont="1" applyBorder="1" applyAlignment="1">
      <alignment horizontal="center" vertical="center" shrinkToFit="1"/>
    </xf>
    <xf numFmtId="3" fontId="20" fillId="0" borderId="16" xfId="3" applyNumberFormat="1" applyFont="1" applyBorder="1" applyAlignment="1" applyProtection="1">
      <alignment horizontal="center" vertical="center" shrinkToFit="1"/>
      <protection locked="0"/>
    </xf>
    <xf numFmtId="3" fontId="20" fillId="0" borderId="17" xfId="3" applyNumberFormat="1" applyFont="1" applyBorder="1" applyAlignment="1" applyProtection="1">
      <alignment horizontal="center" vertical="center" shrinkToFit="1"/>
      <protection locked="0"/>
    </xf>
    <xf numFmtId="3" fontId="20" fillId="0" borderId="18" xfId="3" applyNumberFormat="1" applyFont="1" applyBorder="1" applyAlignment="1" applyProtection="1">
      <alignment horizontal="center" vertical="center" shrinkToFit="1"/>
      <protection locked="0"/>
    </xf>
    <xf numFmtId="3" fontId="20" fillId="0" borderId="19" xfId="3" applyNumberFormat="1" applyFont="1" applyBorder="1" applyAlignment="1" applyProtection="1">
      <alignment horizontal="center" vertical="center" shrinkToFit="1"/>
      <protection locked="0"/>
    </xf>
    <xf numFmtId="3" fontId="28" fillId="0" borderId="17" xfId="3" applyNumberFormat="1" applyFont="1" applyBorder="1" applyAlignment="1" applyProtection="1">
      <alignment horizontal="center" vertical="center" wrapText="1" shrinkToFit="1"/>
      <protection locked="0"/>
    </xf>
    <xf numFmtId="0" fontId="22" fillId="0" borderId="0" xfId="3" applyFont="1" applyAlignment="1">
      <alignment horizontal="center" vertical="center" shrinkToFit="1"/>
    </xf>
    <xf numFmtId="0" fontId="22" fillId="0" borderId="22" xfId="3" applyFont="1" applyBorder="1" applyAlignment="1" applyProtection="1">
      <alignment horizontal="center" vertical="center" shrinkToFit="1"/>
      <protection locked="0"/>
    </xf>
    <xf numFmtId="0" fontId="22" fillId="0" borderId="23" xfId="3" applyFont="1" applyBorder="1" applyAlignment="1" applyProtection="1">
      <alignment horizontal="center" vertical="center" shrinkToFit="1"/>
      <protection locked="0"/>
    </xf>
    <xf numFmtId="0" fontId="22" fillId="0" borderId="24" xfId="3" applyFont="1" applyBorder="1" applyAlignment="1" applyProtection="1">
      <alignment horizontal="center" vertical="center" shrinkToFit="1"/>
      <protection locked="0"/>
    </xf>
    <xf numFmtId="41" fontId="27" fillId="0" borderId="22" xfId="1" applyFont="1" applyFill="1" applyBorder="1" applyAlignment="1" applyProtection="1">
      <alignment horizontal="center" vertical="center" shrinkToFit="1"/>
      <protection locked="0"/>
    </xf>
    <xf numFmtId="41" fontId="27" fillId="0" borderId="23" xfId="1" applyFont="1" applyFill="1" applyBorder="1" applyAlignment="1" applyProtection="1">
      <alignment horizontal="center" vertical="center" shrinkToFit="1"/>
      <protection locked="0"/>
    </xf>
    <xf numFmtId="41" fontId="27" fillId="0" borderId="25" xfId="1" applyFont="1" applyFill="1" applyBorder="1" applyAlignment="1" applyProtection="1">
      <alignment horizontal="center" vertical="center" shrinkToFit="1"/>
      <protection locked="0"/>
    </xf>
    <xf numFmtId="41" fontId="27" fillId="0" borderId="26" xfId="1" applyFont="1" applyFill="1" applyBorder="1" applyAlignment="1" applyProtection="1">
      <alignment horizontal="center" vertical="center" shrinkToFit="1"/>
      <protection locked="0"/>
    </xf>
    <xf numFmtId="41" fontId="27" fillId="0" borderId="24" xfId="1" applyFont="1" applyFill="1" applyBorder="1" applyAlignment="1">
      <alignment horizontal="center" vertical="center" shrinkToFit="1"/>
    </xf>
    <xf numFmtId="41" fontId="27" fillId="0" borderId="22" xfId="1" applyFont="1" applyFill="1" applyBorder="1" applyAlignment="1">
      <alignment horizontal="center" vertical="center" shrinkToFit="1"/>
    </xf>
    <xf numFmtId="41" fontId="27" fillId="0" borderId="23" xfId="1" applyFont="1" applyFill="1" applyBorder="1" applyAlignment="1">
      <alignment horizontal="center" vertical="center" shrinkToFit="1"/>
    </xf>
    <xf numFmtId="41" fontId="27" fillId="0" borderId="25" xfId="1" applyFont="1" applyFill="1" applyBorder="1" applyAlignment="1">
      <alignment horizontal="center" vertical="center" shrinkToFit="1"/>
    </xf>
    <xf numFmtId="41" fontId="27" fillId="0" borderId="27" xfId="1" applyFont="1" applyFill="1" applyBorder="1" applyAlignment="1">
      <alignment horizontal="center" vertical="center" shrinkToFit="1"/>
    </xf>
    <xf numFmtId="0" fontId="27" fillId="6" borderId="21" xfId="3" applyFont="1" applyFill="1" applyBorder="1" applyAlignment="1" applyProtection="1">
      <alignment horizontal="center" vertical="center" shrinkToFit="1"/>
      <protection locked="0"/>
    </xf>
    <xf numFmtId="0" fontId="22" fillId="6" borderId="21" xfId="3" applyFont="1" applyFill="1" applyBorder="1" applyAlignment="1" applyProtection="1">
      <alignment horizontal="center" vertical="center" shrinkToFit="1"/>
      <protection locked="0"/>
    </xf>
    <xf numFmtId="41" fontId="22" fillId="0" borderId="0" xfId="1" applyFont="1" applyFill="1" applyAlignment="1">
      <alignment horizontal="center" vertical="center" shrinkToFit="1"/>
    </xf>
    <xf numFmtId="0" fontId="22" fillId="0" borderId="28" xfId="3" applyFont="1" applyBorder="1" applyAlignment="1" applyProtection="1">
      <alignment horizontal="center" vertical="center" shrinkToFit="1"/>
      <protection locked="0"/>
    </xf>
    <xf numFmtId="41" fontId="27" fillId="0" borderId="29" xfId="1" applyFont="1" applyFill="1" applyBorder="1" applyAlignment="1" applyProtection="1">
      <alignment horizontal="center" vertical="center" shrinkToFit="1"/>
      <protection locked="0"/>
    </xf>
    <xf numFmtId="41" fontId="27" fillId="0" borderId="3" xfId="1" applyFont="1" applyFill="1" applyBorder="1" applyAlignment="1" applyProtection="1">
      <alignment horizontal="center" vertical="center" shrinkToFit="1"/>
      <protection locked="0"/>
    </xf>
    <xf numFmtId="41" fontId="27" fillId="0" borderId="30" xfId="1" applyFont="1" applyFill="1" applyBorder="1" applyAlignment="1" applyProtection="1">
      <alignment horizontal="center" vertical="center" shrinkToFit="1"/>
      <protection locked="0"/>
    </xf>
    <xf numFmtId="0" fontId="22" fillId="0" borderId="31" xfId="3" applyFont="1" applyBorder="1" applyAlignment="1" applyProtection="1">
      <alignment horizontal="center" vertical="center" shrinkToFit="1"/>
      <protection locked="0"/>
    </xf>
    <xf numFmtId="41" fontId="27" fillId="0" borderId="32" xfId="1" applyFont="1" applyFill="1" applyBorder="1" applyAlignment="1" applyProtection="1">
      <alignment horizontal="center" vertical="center" shrinkToFit="1"/>
      <protection locked="0"/>
    </xf>
    <xf numFmtId="41" fontId="27" fillId="0" borderId="33" xfId="1" applyFont="1" applyFill="1" applyBorder="1" applyAlignment="1" applyProtection="1">
      <alignment horizontal="center" vertical="center" shrinkToFit="1"/>
      <protection locked="0"/>
    </xf>
    <xf numFmtId="41" fontId="27" fillId="0" borderId="34" xfId="1" applyFont="1" applyFill="1" applyBorder="1" applyAlignment="1" applyProtection="1">
      <alignment horizontal="center" vertical="center" shrinkToFit="1"/>
      <protection locked="0"/>
    </xf>
    <xf numFmtId="41" fontId="27" fillId="0" borderId="31" xfId="1" applyFont="1" applyFill="1" applyBorder="1" applyAlignment="1" applyProtection="1">
      <alignment horizontal="center" vertical="center" shrinkToFit="1"/>
      <protection locked="0"/>
    </xf>
    <xf numFmtId="0" fontId="27" fillId="6" borderId="35" xfId="3" applyFont="1" applyFill="1" applyBorder="1" applyAlignment="1" applyProtection="1">
      <alignment horizontal="center" vertical="center" shrinkToFit="1"/>
      <protection locked="0"/>
    </xf>
    <xf numFmtId="0" fontId="22" fillId="6" borderId="35" xfId="3" applyFont="1" applyFill="1" applyBorder="1" applyAlignment="1" applyProtection="1">
      <alignment horizontal="center" vertical="center" shrinkToFit="1"/>
      <protection locked="0"/>
    </xf>
    <xf numFmtId="41" fontId="27" fillId="0" borderId="36" xfId="1" applyFont="1" applyFill="1" applyBorder="1" applyAlignment="1">
      <alignment horizontal="center" vertical="center" shrinkToFit="1"/>
    </xf>
    <xf numFmtId="41" fontId="27" fillId="0" borderId="37" xfId="1" applyFont="1" applyFill="1" applyBorder="1" applyAlignment="1">
      <alignment horizontal="center" vertical="center" shrinkToFit="1"/>
    </xf>
    <xf numFmtId="41" fontId="27" fillId="0" borderId="39" xfId="1" applyFont="1" applyFill="1" applyBorder="1" applyAlignment="1">
      <alignment horizontal="center" vertical="center" shrinkToFit="1"/>
    </xf>
    <xf numFmtId="41" fontId="27" fillId="0" borderId="40" xfId="1" applyFont="1" applyFill="1" applyBorder="1" applyAlignment="1">
      <alignment horizontal="center" vertical="center" shrinkToFit="1"/>
    </xf>
    <xf numFmtId="41" fontId="27" fillId="0" borderId="38" xfId="1" applyFont="1" applyFill="1" applyBorder="1" applyAlignment="1">
      <alignment horizontal="center" vertical="center" shrinkToFit="1"/>
    </xf>
    <xf numFmtId="41" fontId="27" fillId="0" borderId="41" xfId="1" applyFont="1" applyFill="1" applyBorder="1" applyAlignment="1">
      <alignment horizontal="center" vertical="center" shrinkToFit="1"/>
    </xf>
    <xf numFmtId="0" fontId="22" fillId="0" borderId="42" xfId="3" applyFont="1" applyBorder="1" applyAlignment="1" applyProtection="1">
      <alignment horizontal="center" vertical="center" shrinkToFit="1"/>
      <protection locked="0"/>
    </xf>
    <xf numFmtId="0" fontId="3" fillId="0" borderId="43" xfId="4" applyFont="1" applyFill="1" applyBorder="1" applyAlignment="1" applyProtection="1">
      <alignment horizontal="center" vertical="center" shrinkToFit="1"/>
      <protection locked="0"/>
    </xf>
    <xf numFmtId="0" fontId="22" fillId="0" borderId="1" xfId="3" applyFont="1" applyBorder="1" applyAlignment="1">
      <alignment horizontal="center" vertical="center" shrinkToFit="1"/>
    </xf>
    <xf numFmtId="0" fontId="22" fillId="0" borderId="54" xfId="3" applyFont="1" applyBorder="1" applyAlignment="1">
      <alignment horizontal="center" vertical="center" shrinkToFit="1"/>
    </xf>
    <xf numFmtId="0" fontId="22" fillId="0" borderId="63" xfId="3" applyFont="1" applyBorder="1" applyAlignment="1">
      <alignment horizontal="center" vertical="center" shrinkToFit="1"/>
    </xf>
    <xf numFmtId="41" fontId="22" fillId="0" borderId="26" xfId="1" applyFont="1" applyFill="1" applyBorder="1" applyAlignment="1" applyProtection="1">
      <alignment horizontal="center" vertical="center" shrinkToFit="1"/>
      <protection locked="0"/>
    </xf>
    <xf numFmtId="41" fontId="22" fillId="0" borderId="24" xfId="1" applyFont="1" applyFill="1" applyBorder="1" applyAlignment="1">
      <alignment horizontal="center" vertical="center" shrinkToFit="1"/>
    </xf>
    <xf numFmtId="41" fontId="22" fillId="0" borderId="22" xfId="1" applyFont="1" applyFill="1" applyBorder="1" applyAlignment="1">
      <alignment horizontal="center" vertical="center" shrinkToFit="1"/>
    </xf>
    <xf numFmtId="41" fontId="22" fillId="0" borderId="23" xfId="1" applyFont="1" applyFill="1" applyBorder="1" applyAlignment="1">
      <alignment horizontal="center" vertical="center" shrinkToFit="1"/>
    </xf>
    <xf numFmtId="41" fontId="22" fillId="0" borderId="25" xfId="1" applyFont="1" applyFill="1" applyBorder="1" applyAlignment="1">
      <alignment horizontal="center" vertical="center" shrinkToFit="1"/>
    </xf>
    <xf numFmtId="41" fontId="22" fillId="0" borderId="27" xfId="1" applyFont="1" applyFill="1" applyBorder="1" applyAlignment="1">
      <alignment horizontal="center" vertical="center" shrinkToFit="1"/>
    </xf>
    <xf numFmtId="41" fontId="22" fillId="0" borderId="30" xfId="1" applyFont="1" applyFill="1" applyBorder="1" applyAlignment="1" applyProtection="1">
      <alignment horizontal="center" vertical="center" shrinkToFit="1"/>
      <protection locked="0"/>
    </xf>
    <xf numFmtId="41" fontId="22" fillId="0" borderId="34" xfId="1" applyFont="1" applyFill="1" applyBorder="1" applyAlignment="1" applyProtection="1">
      <alignment horizontal="center" vertical="center" shrinkToFit="1"/>
      <protection locked="0"/>
    </xf>
    <xf numFmtId="41" fontId="22" fillId="0" borderId="36" xfId="1" applyFont="1" applyFill="1" applyBorder="1" applyAlignment="1">
      <alignment horizontal="center" vertical="center" shrinkToFit="1"/>
    </xf>
    <xf numFmtId="41" fontId="22" fillId="0" borderId="37" xfId="1" applyFont="1" applyFill="1" applyBorder="1" applyAlignment="1">
      <alignment horizontal="center" vertical="center" shrinkToFit="1"/>
    </xf>
    <xf numFmtId="41" fontId="22" fillId="0" borderId="39" xfId="1" applyFont="1" applyFill="1" applyBorder="1" applyAlignment="1">
      <alignment horizontal="center" vertical="center" shrinkToFit="1"/>
    </xf>
    <xf numFmtId="41" fontId="22" fillId="0" borderId="40" xfId="1" applyFont="1" applyFill="1" applyBorder="1" applyAlignment="1">
      <alignment horizontal="center" vertical="center" shrinkToFit="1"/>
    </xf>
    <xf numFmtId="41" fontId="22" fillId="0" borderId="38" xfId="1" applyFont="1" applyFill="1" applyBorder="1" applyAlignment="1">
      <alignment horizontal="center" vertical="center" shrinkToFit="1"/>
    </xf>
    <xf numFmtId="41" fontId="22" fillId="0" borderId="41" xfId="1" applyFont="1" applyFill="1" applyBorder="1" applyAlignment="1">
      <alignment horizontal="center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11" xfId="3" applyFont="1" applyBorder="1" applyAlignment="1">
      <alignment horizontal="center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22" fillId="0" borderId="0" xfId="3" applyFont="1" applyAlignment="1">
      <alignment horizontal="center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22" fillId="0" borderId="0" xfId="3" applyFont="1" applyAlignment="1">
      <alignment horizontal="center" vertical="center" shrinkToFit="1"/>
    </xf>
    <xf numFmtId="0" fontId="22" fillId="3" borderId="23" xfId="3" applyFont="1" applyFill="1" applyBorder="1" applyAlignment="1" applyProtection="1">
      <alignment horizontal="center" vertical="center" shrinkToFit="1"/>
      <protection locked="0"/>
    </xf>
    <xf numFmtId="0" fontId="22" fillId="4" borderId="23" xfId="3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0" fillId="0" borderId="0" xfId="3" applyFont="1" applyAlignment="1">
      <alignment horizontal="left" vertical="center" shrinkToFit="1"/>
    </xf>
    <xf numFmtId="0" fontId="22" fillId="0" borderId="0" xfId="3" applyFont="1" applyAlignment="1">
      <alignment horizontal="center" vertical="center" shrinkToFit="1"/>
    </xf>
    <xf numFmtId="0" fontId="22" fillId="0" borderId="68" xfId="3" applyFont="1" applyBorder="1" applyAlignment="1" applyProtection="1">
      <alignment horizontal="center" vertical="center" shrinkToFit="1"/>
      <protection locked="0"/>
    </xf>
    <xf numFmtId="0" fontId="22" fillId="0" borderId="70" xfId="3" applyFont="1" applyBorder="1" applyAlignment="1" applyProtection="1">
      <alignment horizontal="center" vertical="center" shrinkToFit="1"/>
      <protection locked="0"/>
    </xf>
    <xf numFmtId="41" fontId="27" fillId="0" borderId="68" xfId="1" applyFont="1" applyFill="1" applyBorder="1" applyAlignment="1" applyProtection="1">
      <alignment horizontal="center" vertical="center" shrinkToFit="1"/>
      <protection locked="0"/>
    </xf>
    <xf numFmtId="41" fontId="27" fillId="0" borderId="69" xfId="1" applyFont="1" applyFill="1" applyBorder="1" applyAlignment="1" applyProtection="1">
      <alignment horizontal="center" vertical="center" shrinkToFit="1"/>
      <protection locked="0"/>
    </xf>
    <xf numFmtId="41" fontId="27" fillId="0" borderId="71" xfId="1" applyFont="1" applyFill="1" applyBorder="1" applyAlignment="1" applyProtection="1">
      <alignment horizontal="center" vertical="center" shrinkToFit="1"/>
      <protection locked="0"/>
    </xf>
    <xf numFmtId="41" fontId="22" fillId="0" borderId="72" xfId="1" applyFont="1" applyFill="1" applyBorder="1" applyAlignment="1" applyProtection="1">
      <alignment horizontal="center" vertical="center" shrinkToFit="1"/>
      <protection locked="0"/>
    </xf>
    <xf numFmtId="41" fontId="22" fillId="0" borderId="70" xfId="1" applyFont="1" applyFill="1" applyBorder="1" applyAlignment="1">
      <alignment horizontal="center" vertical="center" shrinkToFit="1"/>
    </xf>
    <xf numFmtId="41" fontId="27" fillId="0" borderId="69" xfId="1" applyFont="1" applyFill="1" applyBorder="1" applyAlignment="1">
      <alignment horizontal="center" vertical="center" shrinkToFit="1"/>
    </xf>
    <xf numFmtId="41" fontId="27" fillId="0" borderId="71" xfId="1" applyFont="1" applyFill="1" applyBorder="1" applyAlignment="1">
      <alignment horizontal="center" vertical="center" shrinkToFit="1"/>
    </xf>
    <xf numFmtId="41" fontId="22" fillId="0" borderId="73" xfId="1" applyFont="1" applyFill="1" applyBorder="1" applyAlignment="1">
      <alignment horizontal="center" vertical="center" shrinkToFit="1"/>
    </xf>
    <xf numFmtId="0" fontId="27" fillId="6" borderId="0" xfId="3" applyFont="1" applyFill="1" applyBorder="1" applyAlignment="1" applyProtection="1">
      <alignment horizontal="center" vertical="center" shrinkToFit="1"/>
      <protection locked="0"/>
    </xf>
    <xf numFmtId="0" fontId="22" fillId="6" borderId="0" xfId="3" applyFont="1" applyFill="1" applyBorder="1" applyAlignment="1" applyProtection="1">
      <alignment horizontal="center" vertical="center" shrinkToFit="1"/>
      <protection locked="0"/>
    </xf>
    <xf numFmtId="0" fontId="22" fillId="3" borderId="69" xfId="3" applyFont="1" applyFill="1" applyBorder="1" applyAlignment="1" applyProtection="1">
      <alignment horizontal="center" vertical="center" shrinkToFit="1"/>
      <protection locked="0"/>
    </xf>
    <xf numFmtId="0" fontId="22" fillId="0" borderId="59" xfId="3" applyFont="1" applyBorder="1" applyAlignment="1">
      <alignment horizontal="center" vertical="center" shrinkToFit="1"/>
    </xf>
    <xf numFmtId="0" fontId="22" fillId="0" borderId="52" xfId="3" applyFont="1" applyBorder="1" applyAlignment="1">
      <alignment horizontal="center" vertical="center" shrinkToFit="1"/>
    </xf>
    <xf numFmtId="0" fontId="22" fillId="0" borderId="62" xfId="3" applyFont="1" applyBorder="1" applyAlignment="1">
      <alignment horizontal="center" vertical="center" shrinkToFit="1"/>
    </xf>
    <xf numFmtId="0" fontId="22" fillId="0" borderId="49" xfId="3" applyFont="1" applyBorder="1" applyAlignment="1">
      <alignment horizontal="center" vertical="center" shrinkToFit="1"/>
    </xf>
    <xf numFmtId="0" fontId="22" fillId="0" borderId="41" xfId="3" applyFont="1" applyBorder="1" applyAlignment="1">
      <alignment horizontal="center" vertical="center" shrinkToFit="1"/>
    </xf>
    <xf numFmtId="31" fontId="22" fillId="0" borderId="2" xfId="3" applyNumberFormat="1" applyFont="1" applyBorder="1" applyAlignment="1">
      <alignment horizontal="center" vertical="center" shrinkToFit="1"/>
    </xf>
    <xf numFmtId="31" fontId="22" fillId="0" borderId="60" xfId="3" applyNumberFormat="1" applyFont="1" applyBorder="1" applyAlignment="1">
      <alignment horizontal="center" vertical="center" shrinkToFit="1"/>
    </xf>
    <xf numFmtId="3" fontId="22" fillId="0" borderId="2" xfId="3" applyNumberFormat="1" applyFont="1" applyBorder="1" applyAlignment="1">
      <alignment horizontal="left" vertical="center" shrinkToFit="1"/>
    </xf>
    <xf numFmtId="3" fontId="22" fillId="0" borderId="5" xfId="3" applyNumberFormat="1" applyFont="1" applyBorder="1" applyAlignment="1">
      <alignment horizontal="left" vertical="center" shrinkToFit="1"/>
    </xf>
    <xf numFmtId="3" fontId="22" fillId="0" borderId="61" xfId="3" applyNumberFormat="1" applyFont="1" applyBorder="1" applyAlignment="1">
      <alignment horizontal="left" vertical="center" shrinkToFit="1"/>
    </xf>
    <xf numFmtId="31" fontId="22" fillId="0" borderId="49" xfId="3" applyNumberFormat="1" applyFont="1" applyBorder="1" applyAlignment="1">
      <alignment horizontal="center" vertical="center" shrinkToFit="1"/>
    </xf>
    <xf numFmtId="31" fontId="22" fillId="0" borderId="41" xfId="3" applyNumberFormat="1" applyFont="1" applyBorder="1" applyAlignment="1">
      <alignment horizontal="center" vertical="center" shrinkToFit="1"/>
    </xf>
    <xf numFmtId="3" fontId="22" fillId="0" borderId="49" xfId="3" applyNumberFormat="1" applyFont="1" applyBorder="1" applyAlignment="1">
      <alignment horizontal="left" vertical="center" shrinkToFit="1"/>
    </xf>
    <xf numFmtId="3" fontId="22" fillId="0" borderId="50" xfId="3" applyNumberFormat="1" applyFont="1" applyBorder="1" applyAlignment="1">
      <alignment horizontal="left" vertical="center" shrinkToFit="1"/>
    </xf>
    <xf numFmtId="3" fontId="22" fillId="0" borderId="51" xfId="3" applyNumberFormat="1" applyFont="1" applyBorder="1" applyAlignment="1">
      <alignment horizontal="left" vertical="center" shrinkToFit="1"/>
    </xf>
    <xf numFmtId="0" fontId="22" fillId="0" borderId="64" xfId="3" applyFont="1" applyBorder="1" applyAlignment="1">
      <alignment horizontal="center" vertical="center" shrinkToFit="1"/>
    </xf>
    <xf numFmtId="0" fontId="22" fillId="0" borderId="65" xfId="3" applyFont="1" applyBorder="1" applyAlignment="1">
      <alignment horizontal="center" vertical="center" shrinkToFit="1"/>
    </xf>
    <xf numFmtId="31" fontId="22" fillId="0" borderId="64" xfId="3" applyNumberFormat="1" applyFont="1" applyBorder="1" applyAlignment="1">
      <alignment horizontal="center" vertical="center" shrinkToFit="1"/>
    </xf>
    <xf numFmtId="31" fontId="22" fillId="0" borderId="65" xfId="3" applyNumberFormat="1" applyFont="1" applyBorder="1" applyAlignment="1">
      <alignment horizontal="center" vertical="center" shrinkToFit="1"/>
    </xf>
    <xf numFmtId="3" fontId="22" fillId="0" borderId="64" xfId="3" applyNumberFormat="1" applyFont="1" applyBorder="1" applyAlignment="1">
      <alignment horizontal="left" vertical="center" shrinkToFit="1"/>
    </xf>
    <xf numFmtId="3" fontId="22" fillId="0" borderId="66" xfId="3" applyNumberFormat="1" applyFont="1" applyBorder="1" applyAlignment="1">
      <alignment horizontal="left" vertical="center" shrinkToFit="1"/>
    </xf>
    <xf numFmtId="3" fontId="22" fillId="0" borderId="67" xfId="3" applyNumberFormat="1" applyFont="1" applyBorder="1" applyAlignment="1">
      <alignment horizontal="left" vertical="center" shrinkToFit="1"/>
    </xf>
    <xf numFmtId="0" fontId="20" fillId="0" borderId="36" xfId="3" applyFont="1" applyBorder="1" applyAlignment="1">
      <alignment horizontal="center" vertical="center" shrinkToFit="1"/>
    </xf>
    <xf numFmtId="0" fontId="20" fillId="0" borderId="37" xfId="3" applyFont="1" applyBorder="1" applyAlignment="1">
      <alignment horizontal="center" vertical="center" shrinkToFit="1"/>
    </xf>
    <xf numFmtId="0" fontId="20" fillId="0" borderId="38" xfId="3" applyFont="1" applyBorder="1" applyAlignment="1">
      <alignment horizontal="center" vertical="center" shrinkToFit="1"/>
    </xf>
    <xf numFmtId="0" fontId="22" fillId="0" borderId="0" xfId="3" applyFont="1" applyAlignment="1">
      <alignment horizontal="left" vertical="center" shrinkToFit="1"/>
    </xf>
    <xf numFmtId="0" fontId="22" fillId="0" borderId="44" xfId="3" applyFont="1" applyBorder="1" applyAlignment="1" applyProtection="1">
      <alignment horizontal="center" vertical="center" shrinkToFit="1"/>
      <protection locked="0"/>
    </xf>
    <xf numFmtId="0" fontId="22" fillId="0" borderId="45" xfId="3" applyFont="1" applyBorder="1" applyAlignment="1" applyProtection="1">
      <alignment horizontal="center" vertical="center" shrinkToFit="1"/>
      <protection locked="0"/>
    </xf>
    <xf numFmtId="3" fontId="22" fillId="0" borderId="44" xfId="3" applyNumberFormat="1" applyFont="1" applyBorder="1" applyAlignment="1">
      <alignment horizontal="center" vertical="center" shrinkToFit="1"/>
    </xf>
    <xf numFmtId="3" fontId="22" fillId="0" borderId="46" xfId="3" applyNumberFormat="1" applyFont="1" applyBorder="1" applyAlignment="1">
      <alignment horizontal="center" vertical="center" shrinkToFit="1"/>
    </xf>
    <xf numFmtId="3" fontId="22" fillId="0" borderId="47" xfId="3" applyNumberFormat="1" applyFont="1" applyBorder="1" applyAlignment="1">
      <alignment horizontal="center" vertical="center" shrinkToFit="1"/>
    </xf>
    <xf numFmtId="0" fontId="22" fillId="0" borderId="48" xfId="3" applyFont="1" applyBorder="1" applyAlignment="1">
      <alignment horizontal="center" vertical="center" shrinkToFit="1"/>
    </xf>
    <xf numFmtId="0" fontId="22" fillId="0" borderId="53" xfId="3" applyFont="1" applyBorder="1" applyAlignment="1">
      <alignment horizontal="center" vertical="center" shrinkToFit="1"/>
    </xf>
    <xf numFmtId="0" fontId="22" fillId="0" borderId="55" xfId="3" applyFont="1" applyBorder="1" applyAlignment="1">
      <alignment horizontal="center" vertical="center" shrinkToFit="1"/>
    </xf>
    <xf numFmtId="0" fontId="22" fillId="0" borderId="56" xfId="3" applyFont="1" applyBorder="1" applyAlignment="1">
      <alignment horizontal="center" vertical="center" shrinkToFit="1"/>
    </xf>
    <xf numFmtId="31" fontId="22" fillId="0" borderId="55" xfId="3" applyNumberFormat="1" applyFont="1" applyBorder="1" applyAlignment="1">
      <alignment horizontal="center" vertical="center" shrinkToFit="1"/>
    </xf>
    <xf numFmtId="31" fontId="22" fillId="0" borderId="56" xfId="3" applyNumberFormat="1" applyFont="1" applyBorder="1" applyAlignment="1">
      <alignment horizontal="center" vertical="center" shrinkToFit="1"/>
    </xf>
    <xf numFmtId="3" fontId="22" fillId="0" borderId="55" xfId="3" applyNumberFormat="1" applyFont="1" applyBorder="1" applyAlignment="1">
      <alignment horizontal="left" vertical="center" shrinkToFit="1"/>
    </xf>
    <xf numFmtId="3" fontId="22" fillId="0" borderId="57" xfId="3" applyNumberFormat="1" applyFont="1" applyBorder="1" applyAlignment="1">
      <alignment horizontal="left" vertical="center" shrinkToFit="1"/>
    </xf>
    <xf numFmtId="3" fontId="22" fillId="0" borderId="58" xfId="3" applyNumberFormat="1" applyFont="1" applyBorder="1" applyAlignment="1">
      <alignment horizontal="left" vertical="center" shrinkToFit="1"/>
    </xf>
    <xf numFmtId="0" fontId="22" fillId="0" borderId="0" xfId="3" applyFont="1" applyAlignment="1">
      <alignment horizontal="center" vertical="center" wrapText="1" shrinkToFit="1"/>
    </xf>
    <xf numFmtId="0" fontId="22" fillId="0" borderId="0" xfId="3" applyFont="1" applyAlignment="1">
      <alignment horizontal="center" vertical="center" shrinkToFit="1"/>
    </xf>
    <xf numFmtId="0" fontId="20" fillId="0" borderId="6" xfId="3" applyFont="1" applyBorder="1" applyAlignment="1" applyProtection="1">
      <alignment horizontal="center" vertical="center" shrinkToFit="1"/>
      <protection locked="0"/>
    </xf>
    <xf numFmtId="0" fontId="20" fillId="0" borderId="13" xfId="3" applyFont="1" applyBorder="1" applyAlignment="1" applyProtection="1">
      <alignment horizontal="center" vertical="center" shrinkToFit="1"/>
      <protection locked="0"/>
    </xf>
    <xf numFmtId="0" fontId="20" fillId="0" borderId="7" xfId="3" applyFont="1" applyBorder="1" applyAlignment="1" applyProtection="1">
      <alignment horizontal="center" vertical="center" shrinkToFit="1"/>
      <protection locked="0"/>
    </xf>
    <xf numFmtId="0" fontId="20" fillId="0" borderId="14" xfId="3" applyFont="1" applyBorder="1" applyAlignment="1" applyProtection="1">
      <alignment horizontal="center" vertical="center" shrinkToFit="1"/>
      <protection locked="0"/>
    </xf>
    <xf numFmtId="0" fontId="20" fillId="0" borderId="8" xfId="3" applyFont="1" applyBorder="1" applyAlignment="1" applyProtection="1">
      <alignment horizontal="center" vertical="center" shrinkToFit="1"/>
      <protection locked="0"/>
    </xf>
    <xf numFmtId="0" fontId="20" fillId="0" borderId="15" xfId="3" applyFont="1" applyBorder="1" applyAlignment="1" applyProtection="1">
      <alignment horizontal="center" vertical="center" shrinkToFit="1"/>
      <protection locked="0"/>
    </xf>
    <xf numFmtId="0" fontId="20" fillId="0" borderId="9" xfId="3" applyFont="1" applyBorder="1" applyAlignment="1" applyProtection="1">
      <alignment horizontal="center" vertical="center" shrinkToFit="1"/>
      <protection locked="0"/>
    </xf>
    <xf numFmtId="0" fontId="20" fillId="0" borderId="10" xfId="3" applyFont="1" applyBorder="1" applyAlignment="1" applyProtection="1">
      <alignment horizontal="center" vertical="center" shrinkToFit="1"/>
      <protection locked="0"/>
    </xf>
    <xf numFmtId="179" fontId="20" fillId="0" borderId="8" xfId="3" applyNumberFormat="1" applyFont="1" applyBorder="1" applyAlignment="1" applyProtection="1">
      <alignment horizontal="center" vertical="center" shrinkToFit="1"/>
      <protection locked="0"/>
    </xf>
    <xf numFmtId="179" fontId="20" fillId="0" borderId="15" xfId="3" applyNumberFormat="1" applyFont="1" applyBorder="1" applyAlignment="1" applyProtection="1">
      <alignment horizontal="center" vertical="center" shrinkToFit="1"/>
      <protection locked="0"/>
    </xf>
    <xf numFmtId="179" fontId="20" fillId="0" borderId="11" xfId="3" applyNumberFormat="1" applyFont="1" applyBorder="1" applyAlignment="1" applyProtection="1">
      <alignment horizontal="center" vertical="center" shrinkToFit="1"/>
      <protection locked="0"/>
    </xf>
    <xf numFmtId="179" fontId="20" fillId="0" borderId="20" xfId="3" applyNumberFormat="1" applyFont="1" applyBorder="1" applyAlignment="1" applyProtection="1">
      <alignment horizontal="center" vertical="center" shrinkToFit="1"/>
      <protection locked="0"/>
    </xf>
    <xf numFmtId="0" fontId="27" fillId="6" borderId="12" xfId="3" applyFont="1" applyFill="1" applyBorder="1" applyAlignment="1">
      <alignment horizontal="center" vertical="center" wrapText="1" shrinkToFit="1"/>
    </xf>
    <xf numFmtId="0" fontId="27" fillId="6" borderId="21" xfId="3" applyFont="1" applyFill="1" applyBorder="1" applyAlignment="1">
      <alignment horizontal="center" vertical="center" shrinkToFit="1"/>
    </xf>
    <xf numFmtId="0" fontId="22" fillId="6" borderId="12" xfId="3" applyFont="1" applyFill="1" applyBorder="1" applyAlignment="1">
      <alignment horizontal="center" vertical="center" wrapText="1" shrinkToFit="1"/>
    </xf>
    <xf numFmtId="0" fontId="22" fillId="6" borderId="21" xfId="3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2" fillId="0" borderId="0" xfId="3" applyFont="1" applyAlignment="1" applyProtection="1">
      <alignment horizontal="left" vertical="center" shrinkToFit="1"/>
      <protection locked="0"/>
    </xf>
    <xf numFmtId="0" fontId="20" fillId="0" borderId="0" xfId="3" applyFont="1" applyAlignment="1">
      <alignment horizontal="left" vertical="center" shrinkToFit="1"/>
    </xf>
    <xf numFmtId="0" fontId="24" fillId="0" borderId="0" xfId="3" applyFont="1" applyAlignment="1" applyProtection="1">
      <alignment horizontal="left" vertical="center" shrinkToFit="1"/>
      <protection locked="0"/>
    </xf>
    <xf numFmtId="0" fontId="26" fillId="0" borderId="0" xfId="3" applyFont="1" applyAlignment="1" applyProtection="1">
      <alignment horizontal="center" vertical="center" shrinkToFit="1"/>
      <protection locked="0"/>
    </xf>
    <xf numFmtId="0" fontId="22" fillId="0" borderId="49" xfId="3" applyFont="1" applyBorder="1" applyAlignment="1">
      <alignment horizontal="center" vertical="center" wrapText="1" shrinkToFit="1"/>
    </xf>
    <xf numFmtId="0" fontId="22" fillId="4" borderId="69" xfId="3" applyFont="1" applyFill="1" applyBorder="1" applyAlignment="1" applyProtection="1">
      <alignment horizontal="center" vertical="center" shrinkToFit="1"/>
      <protection locked="0"/>
    </xf>
  </cellXfs>
  <cellStyles count="5">
    <cellStyle name="쉼표 [0]" xfId="1" builtinId="6"/>
    <cellStyle name="표준" xfId="0" builtinId="0"/>
    <cellStyle name="표준 2" xfId="3"/>
    <cellStyle name="하이퍼링크" xfId="4" builtinId="8"/>
    <cellStyle name="하이퍼링크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209550</xdr:colOff>
      <xdr:row>1</xdr:row>
      <xdr:rowOff>47625</xdr:rowOff>
    </xdr:from>
    <xdr:to>
      <xdr:col>31</xdr:col>
      <xdr:colOff>342900</xdr:colOff>
      <xdr:row>3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0300" y="219075"/>
          <a:ext cx="300990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4553;&#50668;&#45824;&#51109;-&#44148;&#50864;&#44148;&#49444;(&#5145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인적급여카드"/>
      <sheetName val="급여대장(01월)"/>
      <sheetName val="급여대장(02월)"/>
      <sheetName val="급여대장(03월)"/>
      <sheetName val="급여대장(04월)"/>
      <sheetName val="급여대장(05월)"/>
      <sheetName val="급여대장(06월)"/>
      <sheetName val="급여대장(07월)"/>
      <sheetName val="급여대장(08월)"/>
      <sheetName val="급여대장(09월)"/>
      <sheetName val="급여대장(10월)"/>
      <sheetName val="급여대장(11월)"/>
      <sheetName val="급여대장(12월)"/>
      <sheetName val="간이세액표"/>
      <sheetName val="4대보험요율표"/>
      <sheetName val="Sheet1"/>
    </sheetNames>
    <sheetDataSet>
      <sheetData sheetId="0" refreshError="1">
        <row r="2">
          <cell r="B2" t="str">
            <v>안경이</v>
          </cell>
          <cell r="C2" t="str">
            <v>대표</v>
          </cell>
        </row>
        <row r="3">
          <cell r="B3" t="str">
            <v>김성헌</v>
          </cell>
          <cell r="C3" t="str">
            <v>부장</v>
          </cell>
          <cell r="M3">
            <v>2100000</v>
          </cell>
        </row>
        <row r="4">
          <cell r="B4" t="str">
            <v>최종식</v>
          </cell>
          <cell r="C4" t="str">
            <v>부장</v>
          </cell>
          <cell r="M4">
            <v>2100000</v>
          </cell>
        </row>
        <row r="5">
          <cell r="B5" t="str">
            <v>김태현</v>
          </cell>
          <cell r="C5" t="str">
            <v>과장</v>
          </cell>
          <cell r="M5">
            <v>2100000</v>
          </cell>
        </row>
        <row r="6">
          <cell r="B6" t="str">
            <v>박인식</v>
          </cell>
        </row>
        <row r="7">
          <cell r="B7" t="str">
            <v>이은애</v>
          </cell>
          <cell r="C7" t="str">
            <v>부장</v>
          </cell>
          <cell r="M7">
            <v>2100000</v>
          </cell>
        </row>
        <row r="8">
          <cell r="B8" t="str">
            <v>이일복</v>
          </cell>
          <cell r="M8">
            <v>2100000</v>
          </cell>
        </row>
        <row r="9">
          <cell r="M9">
            <v>2100000</v>
          </cell>
        </row>
        <row r="12">
          <cell r="M12">
            <v>2100000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A4">
            <v>770</v>
          </cell>
          <cell r="B4">
            <v>775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A5">
            <v>775</v>
          </cell>
          <cell r="B5">
            <v>780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>
            <v>780</v>
          </cell>
          <cell r="B6">
            <v>785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>
            <v>785</v>
          </cell>
          <cell r="B7">
            <v>790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>
            <v>790</v>
          </cell>
          <cell r="B8">
            <v>795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>
            <v>795</v>
          </cell>
          <cell r="B9">
            <v>800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800</v>
          </cell>
          <cell r="B10">
            <v>805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>
            <v>805</v>
          </cell>
          <cell r="B11">
            <v>810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810</v>
          </cell>
          <cell r="B12">
            <v>815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>
            <v>815</v>
          </cell>
          <cell r="B13">
            <v>820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>
            <v>820</v>
          </cell>
          <cell r="B14">
            <v>825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>
            <v>825</v>
          </cell>
          <cell r="B15">
            <v>830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>
            <v>830</v>
          </cell>
          <cell r="B16">
            <v>835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>
            <v>835</v>
          </cell>
          <cell r="B17">
            <v>840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>
            <v>840</v>
          </cell>
          <cell r="B18">
            <v>845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>
            <v>845</v>
          </cell>
          <cell r="B19">
            <v>850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>
            <v>850</v>
          </cell>
          <cell r="B20">
            <v>855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>
            <v>855</v>
          </cell>
          <cell r="B21">
            <v>860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>
            <v>860</v>
          </cell>
          <cell r="B22">
            <v>865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>
            <v>865</v>
          </cell>
          <cell r="B23">
            <v>870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>
            <v>870</v>
          </cell>
          <cell r="B24">
            <v>875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>
            <v>875</v>
          </cell>
          <cell r="B25">
            <v>880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>
            <v>880</v>
          </cell>
          <cell r="B26">
            <v>885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>
            <v>885</v>
          </cell>
          <cell r="B27">
            <v>890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>
            <v>890</v>
          </cell>
          <cell r="B28">
            <v>895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>
            <v>895</v>
          </cell>
          <cell r="B29">
            <v>900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>
            <v>900</v>
          </cell>
          <cell r="B30">
            <v>905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>
            <v>905</v>
          </cell>
          <cell r="B31">
            <v>910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910</v>
          </cell>
          <cell r="B32">
            <v>915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>
            <v>915</v>
          </cell>
          <cell r="B33">
            <v>920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>
            <v>920</v>
          </cell>
          <cell r="B34">
            <v>925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>
            <v>925</v>
          </cell>
          <cell r="B35">
            <v>930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>
            <v>930</v>
          </cell>
          <cell r="B36">
            <v>935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>
            <v>935</v>
          </cell>
          <cell r="B37">
            <v>940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>
            <v>940</v>
          </cell>
          <cell r="B38">
            <v>945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>
            <v>945</v>
          </cell>
          <cell r="B39">
            <v>950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>
            <v>950</v>
          </cell>
          <cell r="B40">
            <v>955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>
            <v>955</v>
          </cell>
          <cell r="B41">
            <v>960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>
            <v>960</v>
          </cell>
          <cell r="B42">
            <v>965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>
            <v>965</v>
          </cell>
          <cell r="B43">
            <v>970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>
            <v>970</v>
          </cell>
          <cell r="B44">
            <v>975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>
            <v>975</v>
          </cell>
          <cell r="B45">
            <v>980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>
            <v>980</v>
          </cell>
          <cell r="B46">
            <v>985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>
            <v>985</v>
          </cell>
          <cell r="B47">
            <v>990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>
            <v>990</v>
          </cell>
          <cell r="B48">
            <v>995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>
            <v>995</v>
          </cell>
          <cell r="B49">
            <v>1000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>
            <v>1000</v>
          </cell>
          <cell r="B50">
            <v>1005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A51">
            <v>1005</v>
          </cell>
          <cell r="B51">
            <v>1010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A52">
            <v>1010</v>
          </cell>
          <cell r="B52">
            <v>1015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>
            <v>1015</v>
          </cell>
          <cell r="B53">
            <v>1020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A54">
            <v>1020</v>
          </cell>
          <cell r="B54">
            <v>1025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A55">
            <v>1025</v>
          </cell>
          <cell r="B55">
            <v>1030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A56">
            <v>1030</v>
          </cell>
          <cell r="B56">
            <v>1035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A57">
            <v>1035</v>
          </cell>
          <cell r="B57">
            <v>1040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A58">
            <v>1040</v>
          </cell>
          <cell r="B58">
            <v>1045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A59">
            <v>1045</v>
          </cell>
          <cell r="B59">
            <v>1050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>
            <v>1050</v>
          </cell>
          <cell r="B60">
            <v>1055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>
            <v>1055</v>
          </cell>
          <cell r="B61">
            <v>1060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A62">
            <v>1060</v>
          </cell>
          <cell r="B62">
            <v>1065</v>
          </cell>
          <cell r="C62">
            <v>1040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A63">
            <v>1065</v>
          </cell>
          <cell r="B63">
            <v>1070</v>
          </cell>
          <cell r="C63">
            <v>1110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>
            <v>1070</v>
          </cell>
          <cell r="B64">
            <v>1075</v>
          </cell>
          <cell r="C64">
            <v>1180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>
            <v>1075</v>
          </cell>
          <cell r="B65">
            <v>1080</v>
          </cell>
          <cell r="C65">
            <v>1250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A66">
            <v>1080</v>
          </cell>
          <cell r="B66">
            <v>1085</v>
          </cell>
          <cell r="C66">
            <v>1320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A67">
            <v>1085</v>
          </cell>
          <cell r="B67">
            <v>1090</v>
          </cell>
          <cell r="C67">
            <v>1390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A68">
            <v>1090</v>
          </cell>
          <cell r="B68">
            <v>1095</v>
          </cell>
          <cell r="C68">
            <v>1460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A69">
            <v>1095</v>
          </cell>
          <cell r="B69">
            <v>1100</v>
          </cell>
          <cell r="C69">
            <v>1530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>
            <v>1100</v>
          </cell>
          <cell r="B70">
            <v>1105</v>
          </cell>
          <cell r="C70">
            <v>1600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A71">
            <v>1105</v>
          </cell>
          <cell r="B71">
            <v>1110</v>
          </cell>
          <cell r="C71">
            <v>1670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A72">
            <v>1110</v>
          </cell>
          <cell r="B72">
            <v>1115</v>
          </cell>
          <cell r="C72">
            <v>1740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A73">
            <v>1115</v>
          </cell>
          <cell r="B73">
            <v>1120</v>
          </cell>
          <cell r="C73">
            <v>1810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A74">
            <v>1120</v>
          </cell>
          <cell r="B74">
            <v>1125</v>
          </cell>
          <cell r="C74">
            <v>1880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A75">
            <v>1125</v>
          </cell>
          <cell r="B75">
            <v>1130</v>
          </cell>
          <cell r="C75">
            <v>1950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A76">
            <v>1130</v>
          </cell>
          <cell r="B76">
            <v>1135</v>
          </cell>
          <cell r="C76">
            <v>2020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A77">
            <v>1135</v>
          </cell>
          <cell r="B77">
            <v>1140</v>
          </cell>
          <cell r="C77">
            <v>2090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A78">
            <v>1140</v>
          </cell>
          <cell r="B78">
            <v>1145</v>
          </cell>
          <cell r="C78">
            <v>2160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A79">
            <v>1145</v>
          </cell>
          <cell r="B79">
            <v>1150</v>
          </cell>
          <cell r="C79">
            <v>2230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A80">
            <v>1150</v>
          </cell>
          <cell r="B80">
            <v>1155</v>
          </cell>
          <cell r="C80">
            <v>2300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A81">
            <v>1155</v>
          </cell>
          <cell r="B81">
            <v>1160</v>
          </cell>
          <cell r="C81">
            <v>2370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A82">
            <v>1160</v>
          </cell>
          <cell r="B82">
            <v>1165</v>
          </cell>
          <cell r="C82">
            <v>2440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A83">
            <v>1165</v>
          </cell>
          <cell r="B83">
            <v>1170</v>
          </cell>
          <cell r="C83">
            <v>2500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A84">
            <v>1170</v>
          </cell>
          <cell r="B84">
            <v>1175</v>
          </cell>
          <cell r="C84">
            <v>2570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A85">
            <v>1175</v>
          </cell>
          <cell r="B85">
            <v>1180</v>
          </cell>
          <cell r="C85">
            <v>2640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A86">
            <v>1180</v>
          </cell>
          <cell r="B86">
            <v>1185</v>
          </cell>
          <cell r="C86">
            <v>2710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A87">
            <v>1185</v>
          </cell>
          <cell r="B87">
            <v>1190</v>
          </cell>
          <cell r="C87">
            <v>2780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A88">
            <v>1190</v>
          </cell>
          <cell r="B88">
            <v>1195</v>
          </cell>
          <cell r="C88">
            <v>2850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A89">
            <v>1195</v>
          </cell>
          <cell r="B89">
            <v>1200</v>
          </cell>
          <cell r="C89">
            <v>2920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A90">
            <v>1200</v>
          </cell>
          <cell r="B90">
            <v>1205</v>
          </cell>
          <cell r="C90">
            <v>2990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>
            <v>1205</v>
          </cell>
          <cell r="B91">
            <v>1210</v>
          </cell>
          <cell r="C91">
            <v>3060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1210</v>
          </cell>
          <cell r="B92">
            <v>1215</v>
          </cell>
          <cell r="C92">
            <v>3130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1215</v>
          </cell>
          <cell r="B93">
            <v>1220</v>
          </cell>
          <cell r="C93">
            <v>3200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1220</v>
          </cell>
          <cell r="B94">
            <v>1225</v>
          </cell>
          <cell r="C94">
            <v>3270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1225</v>
          </cell>
          <cell r="B95">
            <v>1230</v>
          </cell>
          <cell r="C95">
            <v>3340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1230</v>
          </cell>
          <cell r="B96">
            <v>1235</v>
          </cell>
          <cell r="C96">
            <v>3410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1235</v>
          </cell>
          <cell r="B97">
            <v>1240</v>
          </cell>
          <cell r="C97">
            <v>3480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1240</v>
          </cell>
          <cell r="B98">
            <v>1245</v>
          </cell>
          <cell r="C98">
            <v>3550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1245</v>
          </cell>
          <cell r="B99">
            <v>1250</v>
          </cell>
          <cell r="C99">
            <v>3620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1250</v>
          </cell>
          <cell r="B100">
            <v>1255</v>
          </cell>
          <cell r="C100">
            <v>3700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1255</v>
          </cell>
          <cell r="B101">
            <v>1260</v>
          </cell>
          <cell r="C101">
            <v>3810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1260</v>
          </cell>
          <cell r="B102">
            <v>1265</v>
          </cell>
          <cell r="C102">
            <v>3910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1265</v>
          </cell>
          <cell r="B103">
            <v>1270</v>
          </cell>
          <cell r="C103">
            <v>4010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1270</v>
          </cell>
          <cell r="B104">
            <v>1275</v>
          </cell>
          <cell r="C104">
            <v>4120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1275</v>
          </cell>
          <cell r="B105">
            <v>1280</v>
          </cell>
          <cell r="C105">
            <v>4220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1280</v>
          </cell>
          <cell r="B106">
            <v>1285</v>
          </cell>
          <cell r="C106">
            <v>4320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1285</v>
          </cell>
          <cell r="B107">
            <v>1290</v>
          </cell>
          <cell r="C107">
            <v>4430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1290</v>
          </cell>
          <cell r="B108">
            <v>1295</v>
          </cell>
          <cell r="C108">
            <v>4530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1295</v>
          </cell>
          <cell r="B109">
            <v>1300</v>
          </cell>
          <cell r="C109">
            <v>4630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1300</v>
          </cell>
          <cell r="B110">
            <v>1305</v>
          </cell>
          <cell r="C110">
            <v>4740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1305</v>
          </cell>
          <cell r="B111">
            <v>1310</v>
          </cell>
          <cell r="C111">
            <v>4840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1310</v>
          </cell>
          <cell r="B112">
            <v>1315</v>
          </cell>
          <cell r="C112">
            <v>4940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1315</v>
          </cell>
          <cell r="B113">
            <v>1320</v>
          </cell>
          <cell r="C113">
            <v>5050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1320</v>
          </cell>
          <cell r="B114">
            <v>1325</v>
          </cell>
          <cell r="C114">
            <v>5150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1325</v>
          </cell>
          <cell r="B115">
            <v>1330</v>
          </cell>
          <cell r="C115">
            <v>5250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1330</v>
          </cell>
          <cell r="B116">
            <v>1335</v>
          </cell>
          <cell r="C116">
            <v>5360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1335</v>
          </cell>
          <cell r="B117">
            <v>1340</v>
          </cell>
          <cell r="C117">
            <v>5460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1340</v>
          </cell>
          <cell r="B118">
            <v>1345</v>
          </cell>
          <cell r="C118">
            <v>5560</v>
          </cell>
          <cell r="D118">
            <v>1060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1345</v>
          </cell>
          <cell r="B119">
            <v>1350</v>
          </cell>
          <cell r="C119">
            <v>5670</v>
          </cell>
          <cell r="D119">
            <v>1170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1350</v>
          </cell>
          <cell r="B120">
            <v>1355</v>
          </cell>
          <cell r="C120">
            <v>5770</v>
          </cell>
          <cell r="D120">
            <v>1270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1355</v>
          </cell>
          <cell r="B121">
            <v>1360</v>
          </cell>
          <cell r="C121">
            <v>5870</v>
          </cell>
          <cell r="D121">
            <v>1370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1360</v>
          </cell>
          <cell r="B122">
            <v>1365</v>
          </cell>
          <cell r="C122">
            <v>5980</v>
          </cell>
          <cell r="D122">
            <v>1480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1365</v>
          </cell>
          <cell r="B123">
            <v>1370</v>
          </cell>
          <cell r="C123">
            <v>6080</v>
          </cell>
          <cell r="D123">
            <v>1580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1370</v>
          </cell>
          <cell r="B124">
            <v>1375</v>
          </cell>
          <cell r="C124">
            <v>6180</v>
          </cell>
          <cell r="D124">
            <v>1680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1375</v>
          </cell>
          <cell r="B125">
            <v>1380</v>
          </cell>
          <cell r="C125">
            <v>6290</v>
          </cell>
          <cell r="D125">
            <v>1790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1380</v>
          </cell>
          <cell r="B126">
            <v>1385</v>
          </cell>
          <cell r="C126">
            <v>6390</v>
          </cell>
          <cell r="D126">
            <v>1890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1385</v>
          </cell>
          <cell r="B127">
            <v>1390</v>
          </cell>
          <cell r="C127">
            <v>6490</v>
          </cell>
          <cell r="D127">
            <v>1990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1390</v>
          </cell>
          <cell r="B128">
            <v>1395</v>
          </cell>
          <cell r="C128">
            <v>6600</v>
          </cell>
          <cell r="D128">
            <v>2100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1395</v>
          </cell>
          <cell r="B129">
            <v>1400</v>
          </cell>
          <cell r="C129">
            <v>6700</v>
          </cell>
          <cell r="D129">
            <v>2200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1400</v>
          </cell>
          <cell r="B130">
            <v>1405</v>
          </cell>
          <cell r="C130">
            <v>6800</v>
          </cell>
          <cell r="D130">
            <v>2300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1405</v>
          </cell>
          <cell r="B131">
            <v>1410</v>
          </cell>
          <cell r="C131">
            <v>6910</v>
          </cell>
          <cell r="D131">
            <v>2410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1410</v>
          </cell>
          <cell r="B132">
            <v>1415</v>
          </cell>
          <cell r="C132">
            <v>7010</v>
          </cell>
          <cell r="D132">
            <v>2510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1415</v>
          </cell>
          <cell r="B133">
            <v>1420</v>
          </cell>
          <cell r="C133">
            <v>7110</v>
          </cell>
          <cell r="D133">
            <v>2610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1420</v>
          </cell>
          <cell r="B134">
            <v>1425</v>
          </cell>
          <cell r="C134">
            <v>7210</v>
          </cell>
          <cell r="D134">
            <v>2710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1425</v>
          </cell>
          <cell r="B135">
            <v>1430</v>
          </cell>
          <cell r="C135">
            <v>7320</v>
          </cell>
          <cell r="D135">
            <v>2820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1430</v>
          </cell>
          <cell r="B136">
            <v>1435</v>
          </cell>
          <cell r="C136">
            <v>7420</v>
          </cell>
          <cell r="D136">
            <v>2920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1435</v>
          </cell>
          <cell r="B137">
            <v>1440</v>
          </cell>
          <cell r="C137">
            <v>7520</v>
          </cell>
          <cell r="D137">
            <v>3020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1440</v>
          </cell>
          <cell r="B138">
            <v>1445</v>
          </cell>
          <cell r="C138">
            <v>7630</v>
          </cell>
          <cell r="D138">
            <v>3130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1445</v>
          </cell>
          <cell r="B139">
            <v>1450</v>
          </cell>
          <cell r="C139">
            <v>7730</v>
          </cell>
          <cell r="D139">
            <v>3230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1450</v>
          </cell>
          <cell r="B140">
            <v>1455</v>
          </cell>
          <cell r="C140">
            <v>7830</v>
          </cell>
          <cell r="D140">
            <v>3330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1455</v>
          </cell>
          <cell r="B141">
            <v>1460</v>
          </cell>
          <cell r="C141">
            <v>7940</v>
          </cell>
          <cell r="D141">
            <v>3440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1460</v>
          </cell>
          <cell r="B142">
            <v>1465</v>
          </cell>
          <cell r="C142">
            <v>8040</v>
          </cell>
          <cell r="D142">
            <v>3540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1465</v>
          </cell>
          <cell r="B143">
            <v>1470</v>
          </cell>
          <cell r="C143">
            <v>8140</v>
          </cell>
          <cell r="D143">
            <v>3640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1470</v>
          </cell>
          <cell r="B144">
            <v>1475</v>
          </cell>
          <cell r="C144">
            <v>8250</v>
          </cell>
          <cell r="D144">
            <v>3750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1475</v>
          </cell>
          <cell r="B145">
            <v>1480</v>
          </cell>
          <cell r="C145">
            <v>8350</v>
          </cell>
          <cell r="D145">
            <v>3850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1480</v>
          </cell>
          <cell r="B146">
            <v>1485</v>
          </cell>
          <cell r="C146">
            <v>8450</v>
          </cell>
          <cell r="D146">
            <v>3950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1485</v>
          </cell>
          <cell r="B147">
            <v>1490</v>
          </cell>
          <cell r="C147">
            <v>8560</v>
          </cell>
          <cell r="D147">
            <v>4060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1490</v>
          </cell>
          <cell r="B148">
            <v>1495</v>
          </cell>
          <cell r="C148">
            <v>8660</v>
          </cell>
          <cell r="D148">
            <v>4160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1495</v>
          </cell>
          <cell r="B149">
            <v>1500</v>
          </cell>
          <cell r="C149">
            <v>8760</v>
          </cell>
          <cell r="D149">
            <v>4260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1500</v>
          </cell>
          <cell r="B150">
            <v>1510</v>
          </cell>
          <cell r="C150">
            <v>8920</v>
          </cell>
          <cell r="D150">
            <v>4420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1510</v>
          </cell>
          <cell r="B151">
            <v>1520</v>
          </cell>
          <cell r="C151">
            <v>9120</v>
          </cell>
          <cell r="D151">
            <v>4620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1520</v>
          </cell>
          <cell r="B152">
            <v>1530</v>
          </cell>
          <cell r="C152">
            <v>9330</v>
          </cell>
          <cell r="D152">
            <v>4830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>
            <v>1530</v>
          </cell>
          <cell r="B153">
            <v>1540</v>
          </cell>
          <cell r="C153">
            <v>9540</v>
          </cell>
          <cell r="D153">
            <v>5040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A154">
            <v>1540</v>
          </cell>
          <cell r="B154">
            <v>1550</v>
          </cell>
          <cell r="C154">
            <v>9740</v>
          </cell>
          <cell r="D154">
            <v>5240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A155">
            <v>1550</v>
          </cell>
          <cell r="B155">
            <v>1560</v>
          </cell>
          <cell r="C155">
            <v>9950</v>
          </cell>
          <cell r="D155">
            <v>5450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A156">
            <v>1560</v>
          </cell>
          <cell r="B156">
            <v>1570</v>
          </cell>
          <cell r="C156">
            <v>10160</v>
          </cell>
          <cell r="D156">
            <v>5660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A157">
            <v>1570</v>
          </cell>
          <cell r="B157">
            <v>1580</v>
          </cell>
          <cell r="C157">
            <v>10360</v>
          </cell>
          <cell r="D157">
            <v>5860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A158">
            <v>1580</v>
          </cell>
          <cell r="B158">
            <v>1590</v>
          </cell>
          <cell r="C158">
            <v>10570</v>
          </cell>
          <cell r="D158">
            <v>6070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A159">
            <v>1590</v>
          </cell>
          <cell r="B159">
            <v>1600</v>
          </cell>
          <cell r="C159">
            <v>10780</v>
          </cell>
          <cell r="D159">
            <v>6280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A160">
            <v>1600</v>
          </cell>
          <cell r="B160">
            <v>1610</v>
          </cell>
          <cell r="C160">
            <v>10980</v>
          </cell>
          <cell r="D160">
            <v>6480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A161">
            <v>1610</v>
          </cell>
          <cell r="B161">
            <v>1620</v>
          </cell>
          <cell r="C161">
            <v>11190</v>
          </cell>
          <cell r="D161">
            <v>6690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A162">
            <v>1620</v>
          </cell>
          <cell r="B162">
            <v>1630</v>
          </cell>
          <cell r="C162">
            <v>11400</v>
          </cell>
          <cell r="D162">
            <v>6900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A163">
            <v>1630</v>
          </cell>
          <cell r="B163">
            <v>1640</v>
          </cell>
          <cell r="C163">
            <v>11600</v>
          </cell>
          <cell r="D163">
            <v>7100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>
            <v>1640</v>
          </cell>
          <cell r="B164">
            <v>1650</v>
          </cell>
          <cell r="C164">
            <v>11810</v>
          </cell>
          <cell r="D164">
            <v>7310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A165">
            <v>1650</v>
          </cell>
          <cell r="B165">
            <v>1660</v>
          </cell>
          <cell r="C165">
            <v>12020</v>
          </cell>
          <cell r="D165">
            <v>7520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A166">
            <v>1660</v>
          </cell>
          <cell r="B166">
            <v>1670</v>
          </cell>
          <cell r="C166">
            <v>12220</v>
          </cell>
          <cell r="D166">
            <v>7720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A167">
            <v>1670</v>
          </cell>
          <cell r="B167">
            <v>1680</v>
          </cell>
          <cell r="C167">
            <v>12430</v>
          </cell>
          <cell r="D167">
            <v>7930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A168">
            <v>1680</v>
          </cell>
          <cell r="B168">
            <v>1690</v>
          </cell>
          <cell r="C168">
            <v>12640</v>
          </cell>
          <cell r="D168">
            <v>8140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A169">
            <v>1690</v>
          </cell>
          <cell r="B169">
            <v>1700</v>
          </cell>
          <cell r="C169">
            <v>12840</v>
          </cell>
          <cell r="D169">
            <v>8340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A170">
            <v>1700</v>
          </cell>
          <cell r="B170">
            <v>1710</v>
          </cell>
          <cell r="C170">
            <v>13050</v>
          </cell>
          <cell r="D170">
            <v>8550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A171">
            <v>1710</v>
          </cell>
          <cell r="B171">
            <v>1720</v>
          </cell>
          <cell r="C171">
            <v>13260</v>
          </cell>
          <cell r="D171">
            <v>8760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A172">
            <v>1720</v>
          </cell>
          <cell r="B172">
            <v>1730</v>
          </cell>
          <cell r="C172">
            <v>13460</v>
          </cell>
          <cell r="D172">
            <v>8960</v>
          </cell>
          <cell r="E172">
            <v>1040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A173">
            <v>1730</v>
          </cell>
          <cell r="B173">
            <v>1740</v>
          </cell>
          <cell r="C173">
            <v>13670</v>
          </cell>
          <cell r="D173">
            <v>9170</v>
          </cell>
          <cell r="E173">
            <v>1240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A174">
            <v>1740</v>
          </cell>
          <cell r="B174">
            <v>1750</v>
          </cell>
          <cell r="C174">
            <v>13880</v>
          </cell>
          <cell r="D174">
            <v>9380</v>
          </cell>
          <cell r="E174">
            <v>1440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A175">
            <v>1750</v>
          </cell>
          <cell r="B175">
            <v>1760</v>
          </cell>
          <cell r="C175">
            <v>14080</v>
          </cell>
          <cell r="D175">
            <v>9580</v>
          </cell>
          <cell r="E175">
            <v>1640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A176">
            <v>1760</v>
          </cell>
          <cell r="B176">
            <v>1770</v>
          </cell>
          <cell r="C176">
            <v>14290</v>
          </cell>
          <cell r="D176">
            <v>9790</v>
          </cell>
          <cell r="E176">
            <v>1830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>
            <v>1770</v>
          </cell>
          <cell r="B177">
            <v>1780</v>
          </cell>
          <cell r="C177">
            <v>14500</v>
          </cell>
          <cell r="D177">
            <v>10000</v>
          </cell>
          <cell r="E177">
            <v>2030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A178">
            <v>1780</v>
          </cell>
          <cell r="B178">
            <v>1790</v>
          </cell>
          <cell r="C178">
            <v>14700</v>
          </cell>
          <cell r="D178">
            <v>10200</v>
          </cell>
          <cell r="E178">
            <v>2230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>
            <v>1790</v>
          </cell>
          <cell r="B179">
            <v>1800</v>
          </cell>
          <cell r="C179">
            <v>14910</v>
          </cell>
          <cell r="D179">
            <v>10410</v>
          </cell>
          <cell r="E179">
            <v>2430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A180">
            <v>1800</v>
          </cell>
          <cell r="B180">
            <v>1810</v>
          </cell>
          <cell r="C180">
            <v>15110</v>
          </cell>
          <cell r="D180">
            <v>10610</v>
          </cell>
          <cell r="E180">
            <v>2630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A181">
            <v>1810</v>
          </cell>
          <cell r="B181">
            <v>1820</v>
          </cell>
          <cell r="C181">
            <v>15320</v>
          </cell>
          <cell r="D181">
            <v>10820</v>
          </cell>
          <cell r="E181">
            <v>2830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A182">
            <v>1820</v>
          </cell>
          <cell r="B182">
            <v>1830</v>
          </cell>
          <cell r="C182">
            <v>15530</v>
          </cell>
          <cell r="D182">
            <v>11030</v>
          </cell>
          <cell r="E182">
            <v>3020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A183">
            <v>1830</v>
          </cell>
          <cell r="B183">
            <v>1840</v>
          </cell>
          <cell r="C183">
            <v>15730</v>
          </cell>
          <cell r="D183">
            <v>11230</v>
          </cell>
          <cell r="E183">
            <v>3220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A184">
            <v>1840</v>
          </cell>
          <cell r="B184">
            <v>1850</v>
          </cell>
          <cell r="C184">
            <v>15940</v>
          </cell>
          <cell r="D184">
            <v>11440</v>
          </cell>
          <cell r="E184">
            <v>3420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A185">
            <v>1850</v>
          </cell>
          <cell r="B185">
            <v>1860</v>
          </cell>
          <cell r="C185">
            <v>16150</v>
          </cell>
          <cell r="D185">
            <v>11650</v>
          </cell>
          <cell r="E185">
            <v>3620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>
            <v>1860</v>
          </cell>
          <cell r="B186">
            <v>1870</v>
          </cell>
          <cell r="C186">
            <v>16350</v>
          </cell>
          <cell r="D186">
            <v>11850</v>
          </cell>
          <cell r="E186">
            <v>3820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A187">
            <v>1870</v>
          </cell>
          <cell r="B187">
            <v>1880</v>
          </cell>
          <cell r="C187">
            <v>16560</v>
          </cell>
          <cell r="D187">
            <v>12060</v>
          </cell>
          <cell r="E187">
            <v>4020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A188">
            <v>1880</v>
          </cell>
          <cell r="B188">
            <v>1890</v>
          </cell>
          <cell r="C188">
            <v>16770</v>
          </cell>
          <cell r="D188">
            <v>12270</v>
          </cell>
          <cell r="E188">
            <v>4220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A189">
            <v>1890</v>
          </cell>
          <cell r="B189">
            <v>1900</v>
          </cell>
          <cell r="C189">
            <v>16970</v>
          </cell>
          <cell r="D189">
            <v>12470</v>
          </cell>
          <cell r="E189">
            <v>4410</v>
          </cell>
          <cell r="F189">
            <v>1040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A190">
            <v>1900</v>
          </cell>
          <cell r="B190">
            <v>1910</v>
          </cell>
          <cell r="C190">
            <v>17180</v>
          </cell>
          <cell r="D190">
            <v>12680</v>
          </cell>
          <cell r="E190">
            <v>4610</v>
          </cell>
          <cell r="F190">
            <v>1240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A191">
            <v>1910</v>
          </cell>
          <cell r="B191">
            <v>1920</v>
          </cell>
          <cell r="C191">
            <v>17390</v>
          </cell>
          <cell r="D191">
            <v>12890</v>
          </cell>
          <cell r="E191">
            <v>4810</v>
          </cell>
          <cell r="F191">
            <v>1440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A192">
            <v>1920</v>
          </cell>
          <cell r="B192">
            <v>1930</v>
          </cell>
          <cell r="C192">
            <v>17590</v>
          </cell>
          <cell r="D192">
            <v>13090</v>
          </cell>
          <cell r="E192">
            <v>5010</v>
          </cell>
          <cell r="F192">
            <v>1630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A193">
            <v>1930</v>
          </cell>
          <cell r="B193">
            <v>1940</v>
          </cell>
          <cell r="C193">
            <v>17800</v>
          </cell>
          <cell r="D193">
            <v>13300</v>
          </cell>
          <cell r="E193">
            <v>5210</v>
          </cell>
          <cell r="F193">
            <v>1830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A194">
            <v>1940</v>
          </cell>
          <cell r="B194">
            <v>1950</v>
          </cell>
          <cell r="C194">
            <v>18010</v>
          </cell>
          <cell r="D194">
            <v>13510</v>
          </cell>
          <cell r="E194">
            <v>5410</v>
          </cell>
          <cell r="F194">
            <v>2030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A195">
            <v>1950</v>
          </cell>
          <cell r="B195">
            <v>1960</v>
          </cell>
          <cell r="C195">
            <v>18210</v>
          </cell>
          <cell r="D195">
            <v>13710</v>
          </cell>
          <cell r="E195">
            <v>5600</v>
          </cell>
          <cell r="F195">
            <v>2230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A196">
            <v>1960</v>
          </cell>
          <cell r="B196">
            <v>1970</v>
          </cell>
          <cell r="C196">
            <v>18420</v>
          </cell>
          <cell r="D196">
            <v>13920</v>
          </cell>
          <cell r="E196">
            <v>5800</v>
          </cell>
          <cell r="F196">
            <v>2430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A197">
            <v>1970</v>
          </cell>
          <cell r="B197">
            <v>1980</v>
          </cell>
          <cell r="C197">
            <v>18630</v>
          </cell>
          <cell r="D197">
            <v>14130</v>
          </cell>
          <cell r="E197">
            <v>6000</v>
          </cell>
          <cell r="F197">
            <v>2630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A198">
            <v>1980</v>
          </cell>
          <cell r="B198">
            <v>1990</v>
          </cell>
          <cell r="C198">
            <v>18880</v>
          </cell>
          <cell r="D198">
            <v>14330</v>
          </cell>
          <cell r="E198">
            <v>6200</v>
          </cell>
          <cell r="F198">
            <v>2820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A199">
            <v>1990</v>
          </cell>
          <cell r="B199">
            <v>2000</v>
          </cell>
          <cell r="C199">
            <v>19200</v>
          </cell>
          <cell r="D199">
            <v>14540</v>
          </cell>
          <cell r="E199">
            <v>6400</v>
          </cell>
          <cell r="F199">
            <v>3020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A200">
            <v>2000</v>
          </cell>
          <cell r="B200">
            <v>2010</v>
          </cell>
          <cell r="C200">
            <v>19520</v>
          </cell>
          <cell r="D200">
            <v>14750</v>
          </cell>
          <cell r="E200">
            <v>6600</v>
          </cell>
          <cell r="F200">
            <v>3220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A201">
            <v>2010</v>
          </cell>
          <cell r="B201">
            <v>2020</v>
          </cell>
          <cell r="C201">
            <v>19850</v>
          </cell>
          <cell r="D201">
            <v>14950</v>
          </cell>
          <cell r="E201">
            <v>6800</v>
          </cell>
          <cell r="F201">
            <v>3420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A202">
            <v>2020</v>
          </cell>
          <cell r="B202">
            <v>2030</v>
          </cell>
          <cell r="C202">
            <v>20170</v>
          </cell>
          <cell r="D202">
            <v>15160</v>
          </cell>
          <cell r="E202">
            <v>6990</v>
          </cell>
          <cell r="F202">
            <v>3620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A203">
            <v>2030</v>
          </cell>
          <cell r="B203">
            <v>2040</v>
          </cell>
          <cell r="C203">
            <v>20490</v>
          </cell>
          <cell r="D203">
            <v>15370</v>
          </cell>
          <cell r="E203">
            <v>7190</v>
          </cell>
          <cell r="F203">
            <v>3820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A204">
            <v>2040</v>
          </cell>
          <cell r="B204">
            <v>2050</v>
          </cell>
          <cell r="C204">
            <v>20810</v>
          </cell>
          <cell r="D204">
            <v>15570</v>
          </cell>
          <cell r="E204">
            <v>7390</v>
          </cell>
          <cell r="F204">
            <v>4020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A205">
            <v>2050</v>
          </cell>
          <cell r="B205">
            <v>2060</v>
          </cell>
          <cell r="C205">
            <v>21130</v>
          </cell>
          <cell r="D205">
            <v>15780</v>
          </cell>
          <cell r="E205">
            <v>7590</v>
          </cell>
          <cell r="F205">
            <v>4210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A206">
            <v>2060</v>
          </cell>
          <cell r="B206">
            <v>2070</v>
          </cell>
          <cell r="C206">
            <v>21450</v>
          </cell>
          <cell r="D206">
            <v>15990</v>
          </cell>
          <cell r="E206">
            <v>7790</v>
          </cell>
          <cell r="F206">
            <v>4410</v>
          </cell>
          <cell r="G206">
            <v>1040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A207">
            <v>2070</v>
          </cell>
          <cell r="B207">
            <v>2080</v>
          </cell>
          <cell r="C207">
            <v>21770</v>
          </cell>
          <cell r="D207">
            <v>16190</v>
          </cell>
          <cell r="E207">
            <v>7990</v>
          </cell>
          <cell r="F207">
            <v>4610</v>
          </cell>
          <cell r="G207">
            <v>1240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A208">
            <v>2080</v>
          </cell>
          <cell r="B208">
            <v>2090</v>
          </cell>
          <cell r="C208">
            <v>22090</v>
          </cell>
          <cell r="D208">
            <v>16400</v>
          </cell>
          <cell r="E208">
            <v>8180</v>
          </cell>
          <cell r="F208">
            <v>4810</v>
          </cell>
          <cell r="G208">
            <v>1430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A209">
            <v>2090</v>
          </cell>
          <cell r="B209">
            <v>2100</v>
          </cell>
          <cell r="C209">
            <v>22420</v>
          </cell>
          <cell r="D209">
            <v>16600</v>
          </cell>
          <cell r="E209">
            <v>8380</v>
          </cell>
          <cell r="F209">
            <v>5010</v>
          </cell>
          <cell r="G209">
            <v>1630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>
            <v>2100</v>
          </cell>
          <cell r="B210">
            <v>2110</v>
          </cell>
          <cell r="C210">
            <v>22740</v>
          </cell>
          <cell r="D210">
            <v>16810</v>
          </cell>
          <cell r="E210">
            <v>8580</v>
          </cell>
          <cell r="F210">
            <v>5210</v>
          </cell>
          <cell r="G210">
            <v>1830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>
            <v>2110</v>
          </cell>
          <cell r="B211">
            <v>2120</v>
          </cell>
          <cell r="C211">
            <v>23060</v>
          </cell>
          <cell r="D211">
            <v>17020</v>
          </cell>
          <cell r="E211">
            <v>8780</v>
          </cell>
          <cell r="F211">
            <v>5400</v>
          </cell>
          <cell r="G211">
            <v>2030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>
            <v>2120</v>
          </cell>
          <cell r="B212">
            <v>2130</v>
          </cell>
          <cell r="C212">
            <v>23380</v>
          </cell>
          <cell r="D212">
            <v>17220</v>
          </cell>
          <cell r="E212">
            <v>8980</v>
          </cell>
          <cell r="F212">
            <v>5600</v>
          </cell>
          <cell r="G212">
            <v>2230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A213">
            <v>2130</v>
          </cell>
          <cell r="B213">
            <v>2140</v>
          </cell>
          <cell r="C213">
            <v>23700</v>
          </cell>
          <cell r="D213">
            <v>17430</v>
          </cell>
          <cell r="E213">
            <v>9180</v>
          </cell>
          <cell r="F213">
            <v>5800</v>
          </cell>
          <cell r="G213">
            <v>2430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A214">
            <v>2140</v>
          </cell>
          <cell r="B214">
            <v>2150</v>
          </cell>
          <cell r="C214">
            <v>24020</v>
          </cell>
          <cell r="D214">
            <v>17640</v>
          </cell>
          <cell r="E214">
            <v>9380</v>
          </cell>
          <cell r="F214">
            <v>6000</v>
          </cell>
          <cell r="G214">
            <v>2630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A215">
            <v>2150</v>
          </cell>
          <cell r="B215">
            <v>2160</v>
          </cell>
          <cell r="C215">
            <v>24340</v>
          </cell>
          <cell r="D215">
            <v>17840</v>
          </cell>
          <cell r="E215">
            <v>9570</v>
          </cell>
          <cell r="F215">
            <v>6200</v>
          </cell>
          <cell r="G215">
            <v>2820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A216">
            <v>2160</v>
          </cell>
          <cell r="B216">
            <v>2170</v>
          </cell>
          <cell r="C216">
            <v>24660</v>
          </cell>
          <cell r="D216">
            <v>18050</v>
          </cell>
          <cell r="E216">
            <v>9770</v>
          </cell>
          <cell r="F216">
            <v>6400</v>
          </cell>
          <cell r="G216">
            <v>3020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A217">
            <v>2170</v>
          </cell>
          <cell r="B217">
            <v>2180</v>
          </cell>
          <cell r="C217">
            <v>24990</v>
          </cell>
          <cell r="D217">
            <v>18260</v>
          </cell>
          <cell r="E217">
            <v>9970</v>
          </cell>
          <cell r="F217">
            <v>6600</v>
          </cell>
          <cell r="G217">
            <v>3220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</row>
        <row r="218">
          <cell r="A218">
            <v>2180</v>
          </cell>
          <cell r="B218">
            <v>2190</v>
          </cell>
          <cell r="C218">
            <v>25310</v>
          </cell>
          <cell r="D218">
            <v>18460</v>
          </cell>
          <cell r="E218">
            <v>10170</v>
          </cell>
          <cell r="F218">
            <v>6790</v>
          </cell>
          <cell r="G218">
            <v>3420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</row>
        <row r="219">
          <cell r="A219">
            <v>2190</v>
          </cell>
          <cell r="B219">
            <v>2200</v>
          </cell>
          <cell r="C219">
            <v>25630</v>
          </cell>
          <cell r="D219">
            <v>18670</v>
          </cell>
          <cell r="E219">
            <v>10370</v>
          </cell>
          <cell r="F219">
            <v>6990</v>
          </cell>
          <cell r="G219">
            <v>3620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A220">
            <v>2200</v>
          </cell>
          <cell r="B220">
            <v>2210</v>
          </cell>
          <cell r="C220">
            <v>25950</v>
          </cell>
          <cell r="D220">
            <v>18950</v>
          </cell>
          <cell r="E220">
            <v>10570</v>
          </cell>
          <cell r="F220">
            <v>7190</v>
          </cell>
          <cell r="G220">
            <v>3820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A221">
            <v>2210</v>
          </cell>
          <cell r="B221">
            <v>2220</v>
          </cell>
          <cell r="C221">
            <v>26270</v>
          </cell>
          <cell r="D221">
            <v>19270</v>
          </cell>
          <cell r="E221">
            <v>10760</v>
          </cell>
          <cell r="F221">
            <v>7390</v>
          </cell>
          <cell r="G221">
            <v>4010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A222">
            <v>2220</v>
          </cell>
          <cell r="B222">
            <v>2230</v>
          </cell>
          <cell r="C222">
            <v>26590</v>
          </cell>
          <cell r="D222">
            <v>19590</v>
          </cell>
          <cell r="E222">
            <v>10960</v>
          </cell>
          <cell r="F222">
            <v>7590</v>
          </cell>
          <cell r="G222">
            <v>4210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A223">
            <v>2230</v>
          </cell>
          <cell r="B223">
            <v>2240</v>
          </cell>
          <cell r="C223">
            <v>26910</v>
          </cell>
          <cell r="D223">
            <v>19910</v>
          </cell>
          <cell r="E223">
            <v>11160</v>
          </cell>
          <cell r="F223">
            <v>7790</v>
          </cell>
          <cell r="G223">
            <v>4410</v>
          </cell>
          <cell r="H223">
            <v>1040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A224">
            <v>2240</v>
          </cell>
          <cell r="B224">
            <v>2250</v>
          </cell>
          <cell r="C224">
            <v>27240</v>
          </cell>
          <cell r="D224">
            <v>20240</v>
          </cell>
          <cell r="E224">
            <v>11360</v>
          </cell>
          <cell r="F224">
            <v>7980</v>
          </cell>
          <cell r="G224">
            <v>4610</v>
          </cell>
          <cell r="H224">
            <v>1230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A225">
            <v>2250</v>
          </cell>
          <cell r="B225">
            <v>2260</v>
          </cell>
          <cell r="C225">
            <v>27560</v>
          </cell>
          <cell r="D225">
            <v>20560</v>
          </cell>
          <cell r="E225">
            <v>11560</v>
          </cell>
          <cell r="F225">
            <v>8180</v>
          </cell>
          <cell r="G225">
            <v>4810</v>
          </cell>
          <cell r="H225">
            <v>1430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A226">
            <v>2260</v>
          </cell>
          <cell r="B226">
            <v>2270</v>
          </cell>
          <cell r="C226">
            <v>27880</v>
          </cell>
          <cell r="D226">
            <v>20880</v>
          </cell>
          <cell r="E226">
            <v>11760</v>
          </cell>
          <cell r="F226">
            <v>8380</v>
          </cell>
          <cell r="G226">
            <v>5010</v>
          </cell>
          <cell r="H226">
            <v>1630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A227">
            <v>2270</v>
          </cell>
          <cell r="B227">
            <v>2280</v>
          </cell>
          <cell r="C227">
            <v>28200</v>
          </cell>
          <cell r="D227">
            <v>21200</v>
          </cell>
          <cell r="E227">
            <v>11960</v>
          </cell>
          <cell r="F227">
            <v>8580</v>
          </cell>
          <cell r="G227">
            <v>5210</v>
          </cell>
          <cell r="H227">
            <v>1830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</row>
        <row r="228">
          <cell r="A228">
            <v>2280</v>
          </cell>
          <cell r="B228">
            <v>2290</v>
          </cell>
          <cell r="C228">
            <v>28520</v>
          </cell>
          <cell r="D228">
            <v>21520</v>
          </cell>
          <cell r="E228">
            <v>12150</v>
          </cell>
          <cell r="F228">
            <v>8780</v>
          </cell>
          <cell r="G228">
            <v>5400</v>
          </cell>
          <cell r="H228">
            <v>2030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A229">
            <v>2290</v>
          </cell>
          <cell r="B229">
            <v>2300</v>
          </cell>
          <cell r="C229">
            <v>28840</v>
          </cell>
          <cell r="D229">
            <v>21840</v>
          </cell>
          <cell r="E229">
            <v>12350</v>
          </cell>
          <cell r="F229">
            <v>8980</v>
          </cell>
          <cell r="G229">
            <v>5600</v>
          </cell>
          <cell r="H229">
            <v>2230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A230">
            <v>2300</v>
          </cell>
          <cell r="B230">
            <v>2310</v>
          </cell>
          <cell r="C230">
            <v>29160</v>
          </cell>
          <cell r="D230">
            <v>22160</v>
          </cell>
          <cell r="E230">
            <v>12550</v>
          </cell>
          <cell r="F230">
            <v>9180</v>
          </cell>
          <cell r="G230">
            <v>5800</v>
          </cell>
          <cell r="H230">
            <v>2430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>
            <v>2310</v>
          </cell>
          <cell r="B231">
            <v>2320</v>
          </cell>
          <cell r="C231">
            <v>29480</v>
          </cell>
          <cell r="D231">
            <v>22480</v>
          </cell>
          <cell r="E231">
            <v>12750</v>
          </cell>
          <cell r="F231">
            <v>9370</v>
          </cell>
          <cell r="G231">
            <v>6000</v>
          </cell>
          <cell r="H231">
            <v>2620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A232">
            <v>2320</v>
          </cell>
          <cell r="B232">
            <v>2330</v>
          </cell>
          <cell r="C232">
            <v>29810</v>
          </cell>
          <cell r="D232">
            <v>22810</v>
          </cell>
          <cell r="E232">
            <v>12950</v>
          </cell>
          <cell r="F232">
            <v>9570</v>
          </cell>
          <cell r="G232">
            <v>6200</v>
          </cell>
          <cell r="H232">
            <v>2820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A233">
            <v>2330</v>
          </cell>
          <cell r="B233">
            <v>2340</v>
          </cell>
          <cell r="C233">
            <v>30130</v>
          </cell>
          <cell r="D233">
            <v>23130</v>
          </cell>
          <cell r="E233">
            <v>13150</v>
          </cell>
          <cell r="F233">
            <v>9770</v>
          </cell>
          <cell r="G233">
            <v>6400</v>
          </cell>
          <cell r="H233">
            <v>3020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A234">
            <v>2340</v>
          </cell>
          <cell r="B234">
            <v>2350</v>
          </cell>
          <cell r="C234">
            <v>30450</v>
          </cell>
          <cell r="D234">
            <v>23450</v>
          </cell>
          <cell r="E234">
            <v>13340</v>
          </cell>
          <cell r="F234">
            <v>9970</v>
          </cell>
          <cell r="G234">
            <v>6590</v>
          </cell>
          <cell r="H234">
            <v>3220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A235">
            <v>2350</v>
          </cell>
          <cell r="B235">
            <v>2360</v>
          </cell>
          <cell r="C235">
            <v>30770</v>
          </cell>
          <cell r="D235">
            <v>23770</v>
          </cell>
          <cell r="E235">
            <v>13540</v>
          </cell>
          <cell r="F235">
            <v>10170</v>
          </cell>
          <cell r="G235">
            <v>6790</v>
          </cell>
          <cell r="H235">
            <v>3420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A236">
            <v>2360</v>
          </cell>
          <cell r="B236">
            <v>2370</v>
          </cell>
          <cell r="C236">
            <v>31090</v>
          </cell>
          <cell r="D236">
            <v>24090</v>
          </cell>
          <cell r="E236">
            <v>13740</v>
          </cell>
          <cell r="F236">
            <v>10370</v>
          </cell>
          <cell r="G236">
            <v>6990</v>
          </cell>
          <cell r="H236">
            <v>3620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A237">
            <v>2370</v>
          </cell>
          <cell r="B237">
            <v>2380</v>
          </cell>
          <cell r="C237">
            <v>31410</v>
          </cell>
          <cell r="D237">
            <v>24410</v>
          </cell>
          <cell r="E237">
            <v>13940</v>
          </cell>
          <cell r="F237">
            <v>10560</v>
          </cell>
          <cell r="G237">
            <v>7190</v>
          </cell>
          <cell r="H237">
            <v>3810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A238">
            <v>2380</v>
          </cell>
          <cell r="B238">
            <v>2390</v>
          </cell>
          <cell r="C238">
            <v>31970</v>
          </cell>
          <cell r="D238">
            <v>24730</v>
          </cell>
          <cell r="E238">
            <v>14140</v>
          </cell>
          <cell r="F238">
            <v>10760</v>
          </cell>
          <cell r="G238">
            <v>7390</v>
          </cell>
          <cell r="H238">
            <v>4010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A239">
            <v>2390</v>
          </cell>
          <cell r="B239">
            <v>2400</v>
          </cell>
          <cell r="C239">
            <v>32770</v>
          </cell>
          <cell r="D239">
            <v>25050</v>
          </cell>
          <cell r="E239">
            <v>14340</v>
          </cell>
          <cell r="F239">
            <v>10960</v>
          </cell>
          <cell r="G239">
            <v>7590</v>
          </cell>
          <cell r="H239">
            <v>4210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A240">
            <v>2400</v>
          </cell>
          <cell r="B240">
            <v>2410</v>
          </cell>
          <cell r="C240">
            <v>33570</v>
          </cell>
          <cell r="D240">
            <v>25380</v>
          </cell>
          <cell r="E240">
            <v>14530</v>
          </cell>
          <cell r="F240">
            <v>11160</v>
          </cell>
          <cell r="G240">
            <v>7780</v>
          </cell>
          <cell r="H240">
            <v>4410</v>
          </cell>
          <cell r="I240">
            <v>1030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A241">
            <v>2410</v>
          </cell>
          <cell r="B241">
            <v>2420</v>
          </cell>
          <cell r="C241">
            <v>34380</v>
          </cell>
          <cell r="D241">
            <v>25700</v>
          </cell>
          <cell r="E241">
            <v>14730</v>
          </cell>
          <cell r="F241">
            <v>11360</v>
          </cell>
          <cell r="G241">
            <v>7980</v>
          </cell>
          <cell r="H241">
            <v>4610</v>
          </cell>
          <cell r="I241">
            <v>1230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A242">
            <v>2420</v>
          </cell>
          <cell r="B242">
            <v>2430</v>
          </cell>
          <cell r="C242">
            <v>35180</v>
          </cell>
          <cell r="D242">
            <v>26020</v>
          </cell>
          <cell r="E242">
            <v>14930</v>
          </cell>
          <cell r="F242">
            <v>11560</v>
          </cell>
          <cell r="G242">
            <v>8180</v>
          </cell>
          <cell r="H242">
            <v>4810</v>
          </cell>
          <cell r="I242">
            <v>1430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A243">
            <v>2430</v>
          </cell>
          <cell r="B243">
            <v>2440</v>
          </cell>
          <cell r="C243">
            <v>35980</v>
          </cell>
          <cell r="D243">
            <v>26340</v>
          </cell>
          <cell r="E243">
            <v>15130</v>
          </cell>
          <cell r="F243">
            <v>11760</v>
          </cell>
          <cell r="G243">
            <v>8380</v>
          </cell>
          <cell r="H243">
            <v>5010</v>
          </cell>
          <cell r="I243">
            <v>1630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A244">
            <v>2440</v>
          </cell>
          <cell r="B244">
            <v>2450</v>
          </cell>
          <cell r="C244">
            <v>36790</v>
          </cell>
          <cell r="D244">
            <v>26660</v>
          </cell>
          <cell r="E244">
            <v>15330</v>
          </cell>
          <cell r="F244">
            <v>11950</v>
          </cell>
          <cell r="G244">
            <v>8580</v>
          </cell>
          <cell r="H244">
            <v>5200</v>
          </cell>
          <cell r="I244">
            <v>1830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A245">
            <v>2450</v>
          </cell>
          <cell r="B245">
            <v>2460</v>
          </cell>
          <cell r="C245">
            <v>37590</v>
          </cell>
          <cell r="D245">
            <v>26980</v>
          </cell>
          <cell r="E245">
            <v>15530</v>
          </cell>
          <cell r="F245">
            <v>12150</v>
          </cell>
          <cell r="G245">
            <v>8780</v>
          </cell>
          <cell r="H245">
            <v>5400</v>
          </cell>
          <cell r="I245">
            <v>2030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A246">
            <v>2460</v>
          </cell>
          <cell r="B246">
            <v>2470</v>
          </cell>
          <cell r="C246">
            <v>38390</v>
          </cell>
          <cell r="D246">
            <v>27300</v>
          </cell>
          <cell r="E246">
            <v>15730</v>
          </cell>
          <cell r="F246">
            <v>12350</v>
          </cell>
          <cell r="G246">
            <v>8980</v>
          </cell>
          <cell r="H246">
            <v>5600</v>
          </cell>
          <cell r="I246">
            <v>2230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A247">
            <v>2470</v>
          </cell>
          <cell r="B247">
            <v>2480</v>
          </cell>
          <cell r="C247">
            <v>39200</v>
          </cell>
          <cell r="D247">
            <v>27630</v>
          </cell>
          <cell r="E247">
            <v>15920</v>
          </cell>
          <cell r="F247">
            <v>12550</v>
          </cell>
          <cell r="G247">
            <v>9170</v>
          </cell>
          <cell r="H247">
            <v>5800</v>
          </cell>
          <cell r="I247">
            <v>2420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A248">
            <v>2480</v>
          </cell>
          <cell r="B248">
            <v>2490</v>
          </cell>
          <cell r="C248">
            <v>40000</v>
          </cell>
          <cell r="D248">
            <v>27950</v>
          </cell>
          <cell r="E248">
            <v>16120</v>
          </cell>
          <cell r="F248">
            <v>12750</v>
          </cell>
          <cell r="G248">
            <v>9370</v>
          </cell>
          <cell r="H248">
            <v>6000</v>
          </cell>
          <cell r="I248">
            <v>2620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A249">
            <v>2490</v>
          </cell>
          <cell r="B249">
            <v>2500</v>
          </cell>
          <cell r="C249">
            <v>40800</v>
          </cell>
          <cell r="D249">
            <v>28270</v>
          </cell>
          <cell r="E249">
            <v>16320</v>
          </cell>
          <cell r="F249">
            <v>12950</v>
          </cell>
          <cell r="G249">
            <v>9570</v>
          </cell>
          <cell r="H249">
            <v>6200</v>
          </cell>
          <cell r="I249">
            <v>2820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A250">
            <v>2500</v>
          </cell>
          <cell r="B250">
            <v>2510</v>
          </cell>
          <cell r="C250">
            <v>41630</v>
          </cell>
          <cell r="D250">
            <v>28600</v>
          </cell>
          <cell r="E250">
            <v>16530</v>
          </cell>
          <cell r="F250">
            <v>13150</v>
          </cell>
          <cell r="G250">
            <v>9780</v>
          </cell>
          <cell r="H250">
            <v>6400</v>
          </cell>
          <cell r="I250">
            <v>3030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A251">
            <v>2510</v>
          </cell>
          <cell r="B251">
            <v>2520</v>
          </cell>
          <cell r="C251">
            <v>42490</v>
          </cell>
          <cell r="D251">
            <v>28940</v>
          </cell>
          <cell r="E251">
            <v>16740</v>
          </cell>
          <cell r="F251">
            <v>13360</v>
          </cell>
          <cell r="G251">
            <v>9990</v>
          </cell>
          <cell r="H251">
            <v>6610</v>
          </cell>
          <cell r="I251">
            <v>3240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A252">
            <v>2520</v>
          </cell>
          <cell r="B252">
            <v>2530</v>
          </cell>
          <cell r="C252">
            <v>43340</v>
          </cell>
          <cell r="D252">
            <v>29280</v>
          </cell>
          <cell r="E252">
            <v>16950</v>
          </cell>
          <cell r="F252">
            <v>13580</v>
          </cell>
          <cell r="G252">
            <v>10200</v>
          </cell>
          <cell r="H252">
            <v>6830</v>
          </cell>
          <cell r="I252">
            <v>3450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A253">
            <v>2530</v>
          </cell>
          <cell r="B253">
            <v>2540</v>
          </cell>
          <cell r="C253">
            <v>44200</v>
          </cell>
          <cell r="D253">
            <v>29630</v>
          </cell>
          <cell r="E253">
            <v>17160</v>
          </cell>
          <cell r="F253">
            <v>13790</v>
          </cell>
          <cell r="G253">
            <v>10410</v>
          </cell>
          <cell r="H253">
            <v>7040</v>
          </cell>
          <cell r="I253">
            <v>3660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A254">
            <v>2540</v>
          </cell>
          <cell r="B254">
            <v>2550</v>
          </cell>
          <cell r="C254">
            <v>45050</v>
          </cell>
          <cell r="D254">
            <v>29970</v>
          </cell>
          <cell r="E254">
            <v>17370</v>
          </cell>
          <cell r="F254">
            <v>14000</v>
          </cell>
          <cell r="G254">
            <v>10620</v>
          </cell>
          <cell r="H254">
            <v>7250</v>
          </cell>
          <cell r="I254">
            <v>3870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</row>
        <row r="255">
          <cell r="A255">
            <v>2550</v>
          </cell>
          <cell r="B255">
            <v>2560</v>
          </cell>
          <cell r="C255">
            <v>45910</v>
          </cell>
          <cell r="D255">
            <v>30310</v>
          </cell>
          <cell r="E255">
            <v>17590</v>
          </cell>
          <cell r="F255">
            <v>14210</v>
          </cell>
          <cell r="G255">
            <v>10840</v>
          </cell>
          <cell r="H255">
            <v>7460</v>
          </cell>
          <cell r="I255">
            <v>4090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A256">
            <v>2560</v>
          </cell>
          <cell r="B256">
            <v>2570</v>
          </cell>
          <cell r="C256">
            <v>46770</v>
          </cell>
          <cell r="D256">
            <v>30650</v>
          </cell>
          <cell r="E256">
            <v>17800</v>
          </cell>
          <cell r="F256">
            <v>14420</v>
          </cell>
          <cell r="G256">
            <v>11050</v>
          </cell>
          <cell r="H256">
            <v>7670</v>
          </cell>
          <cell r="I256">
            <v>4300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</row>
        <row r="257">
          <cell r="A257">
            <v>2570</v>
          </cell>
          <cell r="B257">
            <v>2580</v>
          </cell>
          <cell r="C257">
            <v>47620</v>
          </cell>
          <cell r="D257">
            <v>31000</v>
          </cell>
          <cell r="E257">
            <v>18010</v>
          </cell>
          <cell r="F257">
            <v>14630</v>
          </cell>
          <cell r="G257">
            <v>11260</v>
          </cell>
          <cell r="H257">
            <v>7880</v>
          </cell>
          <cell r="I257">
            <v>4510</v>
          </cell>
          <cell r="J257">
            <v>1130</v>
          </cell>
          <cell r="K257">
            <v>0</v>
          </cell>
          <cell r="L257">
            <v>0</v>
          </cell>
          <cell r="M257">
            <v>0</v>
          </cell>
        </row>
        <row r="258">
          <cell r="A258">
            <v>2580</v>
          </cell>
          <cell r="B258">
            <v>2590</v>
          </cell>
          <cell r="C258">
            <v>48480</v>
          </cell>
          <cell r="D258">
            <v>31340</v>
          </cell>
          <cell r="E258">
            <v>18220</v>
          </cell>
          <cell r="F258">
            <v>14850</v>
          </cell>
          <cell r="G258">
            <v>11470</v>
          </cell>
          <cell r="H258">
            <v>8100</v>
          </cell>
          <cell r="I258">
            <v>4720</v>
          </cell>
          <cell r="J258">
            <v>1350</v>
          </cell>
          <cell r="K258">
            <v>0</v>
          </cell>
          <cell r="L258">
            <v>0</v>
          </cell>
          <cell r="M258">
            <v>0</v>
          </cell>
        </row>
        <row r="259">
          <cell r="A259">
            <v>2590</v>
          </cell>
          <cell r="B259">
            <v>2600</v>
          </cell>
          <cell r="C259">
            <v>49330</v>
          </cell>
          <cell r="D259">
            <v>31830</v>
          </cell>
          <cell r="E259">
            <v>18430</v>
          </cell>
          <cell r="F259">
            <v>15060</v>
          </cell>
          <cell r="G259">
            <v>11680</v>
          </cell>
          <cell r="H259">
            <v>8310</v>
          </cell>
          <cell r="I259">
            <v>4930</v>
          </cell>
          <cell r="J259">
            <v>1560</v>
          </cell>
          <cell r="K259">
            <v>0</v>
          </cell>
          <cell r="L259">
            <v>0</v>
          </cell>
          <cell r="M259">
            <v>0</v>
          </cell>
        </row>
        <row r="260">
          <cell r="A260">
            <v>2600</v>
          </cell>
          <cell r="B260">
            <v>2610</v>
          </cell>
          <cell r="C260">
            <v>50190</v>
          </cell>
          <cell r="D260">
            <v>32690</v>
          </cell>
          <cell r="E260">
            <v>18650</v>
          </cell>
          <cell r="F260">
            <v>15270</v>
          </cell>
          <cell r="G260">
            <v>11900</v>
          </cell>
          <cell r="H260">
            <v>8520</v>
          </cell>
          <cell r="I260">
            <v>5150</v>
          </cell>
          <cell r="J260">
            <v>1770</v>
          </cell>
          <cell r="K260">
            <v>0</v>
          </cell>
          <cell r="L260">
            <v>0</v>
          </cell>
          <cell r="M260">
            <v>0</v>
          </cell>
        </row>
        <row r="261">
          <cell r="A261">
            <v>2610</v>
          </cell>
          <cell r="B261">
            <v>2620</v>
          </cell>
          <cell r="C261">
            <v>51040</v>
          </cell>
          <cell r="D261">
            <v>33540</v>
          </cell>
          <cell r="E261">
            <v>18920</v>
          </cell>
          <cell r="F261">
            <v>15480</v>
          </cell>
          <cell r="G261">
            <v>12110</v>
          </cell>
          <cell r="H261">
            <v>8730</v>
          </cell>
          <cell r="I261">
            <v>5360</v>
          </cell>
          <cell r="J261">
            <v>1980</v>
          </cell>
          <cell r="K261">
            <v>0</v>
          </cell>
          <cell r="L261">
            <v>0</v>
          </cell>
          <cell r="M261">
            <v>0</v>
          </cell>
        </row>
        <row r="262">
          <cell r="A262">
            <v>2620</v>
          </cell>
          <cell r="B262">
            <v>2630</v>
          </cell>
          <cell r="C262">
            <v>51900</v>
          </cell>
          <cell r="D262">
            <v>34400</v>
          </cell>
          <cell r="E262">
            <v>19250</v>
          </cell>
          <cell r="F262">
            <v>15690</v>
          </cell>
          <cell r="G262">
            <v>12320</v>
          </cell>
          <cell r="H262">
            <v>8940</v>
          </cell>
          <cell r="I262">
            <v>5570</v>
          </cell>
          <cell r="J262">
            <v>2190</v>
          </cell>
          <cell r="K262">
            <v>0</v>
          </cell>
          <cell r="L262">
            <v>0</v>
          </cell>
          <cell r="M262">
            <v>0</v>
          </cell>
        </row>
        <row r="263">
          <cell r="A263">
            <v>2630</v>
          </cell>
          <cell r="B263">
            <v>2640</v>
          </cell>
          <cell r="C263">
            <v>52760</v>
          </cell>
          <cell r="D263">
            <v>35260</v>
          </cell>
          <cell r="E263">
            <v>19580</v>
          </cell>
          <cell r="F263">
            <v>15910</v>
          </cell>
          <cell r="G263">
            <v>12530</v>
          </cell>
          <cell r="H263">
            <v>9160</v>
          </cell>
          <cell r="I263">
            <v>5780</v>
          </cell>
          <cell r="J263">
            <v>2410</v>
          </cell>
          <cell r="K263">
            <v>0</v>
          </cell>
          <cell r="L263">
            <v>0</v>
          </cell>
          <cell r="M263">
            <v>0</v>
          </cell>
        </row>
        <row r="264">
          <cell r="A264">
            <v>2640</v>
          </cell>
          <cell r="B264">
            <v>2650</v>
          </cell>
          <cell r="C264">
            <v>53610</v>
          </cell>
          <cell r="D264">
            <v>36110</v>
          </cell>
          <cell r="E264">
            <v>19910</v>
          </cell>
          <cell r="F264">
            <v>16120</v>
          </cell>
          <cell r="G264">
            <v>12740</v>
          </cell>
          <cell r="H264">
            <v>9370</v>
          </cell>
          <cell r="I264">
            <v>5990</v>
          </cell>
          <cell r="J264">
            <v>2620</v>
          </cell>
          <cell r="K264">
            <v>0</v>
          </cell>
          <cell r="L264">
            <v>0</v>
          </cell>
          <cell r="M264">
            <v>0</v>
          </cell>
        </row>
        <row r="265">
          <cell r="A265">
            <v>2650</v>
          </cell>
          <cell r="B265">
            <v>2660</v>
          </cell>
          <cell r="C265">
            <v>54470</v>
          </cell>
          <cell r="D265">
            <v>36970</v>
          </cell>
          <cell r="E265">
            <v>20240</v>
          </cell>
          <cell r="F265">
            <v>16330</v>
          </cell>
          <cell r="G265">
            <v>12960</v>
          </cell>
          <cell r="H265">
            <v>9580</v>
          </cell>
          <cell r="I265">
            <v>6210</v>
          </cell>
          <cell r="J265">
            <v>2830</v>
          </cell>
          <cell r="K265">
            <v>0</v>
          </cell>
          <cell r="L265">
            <v>0</v>
          </cell>
          <cell r="M265">
            <v>0</v>
          </cell>
        </row>
        <row r="266">
          <cell r="A266">
            <v>2660</v>
          </cell>
          <cell r="B266">
            <v>2670</v>
          </cell>
          <cell r="C266">
            <v>55320</v>
          </cell>
          <cell r="D266">
            <v>37820</v>
          </cell>
          <cell r="E266">
            <v>20570</v>
          </cell>
          <cell r="F266">
            <v>16540</v>
          </cell>
          <cell r="G266">
            <v>13170</v>
          </cell>
          <cell r="H266">
            <v>9790</v>
          </cell>
          <cell r="I266">
            <v>6420</v>
          </cell>
          <cell r="J266">
            <v>3040</v>
          </cell>
          <cell r="K266">
            <v>0</v>
          </cell>
          <cell r="L266">
            <v>0</v>
          </cell>
          <cell r="M266">
            <v>0</v>
          </cell>
        </row>
        <row r="267">
          <cell r="A267">
            <v>2670</v>
          </cell>
          <cell r="B267">
            <v>2680</v>
          </cell>
          <cell r="C267">
            <v>56180</v>
          </cell>
          <cell r="D267">
            <v>38680</v>
          </cell>
          <cell r="E267">
            <v>20900</v>
          </cell>
          <cell r="F267">
            <v>16750</v>
          </cell>
          <cell r="G267">
            <v>13380</v>
          </cell>
          <cell r="H267">
            <v>10000</v>
          </cell>
          <cell r="I267">
            <v>6630</v>
          </cell>
          <cell r="J267">
            <v>3250</v>
          </cell>
          <cell r="K267">
            <v>0</v>
          </cell>
          <cell r="L267">
            <v>0</v>
          </cell>
          <cell r="M267">
            <v>0</v>
          </cell>
        </row>
        <row r="268">
          <cell r="A268">
            <v>2680</v>
          </cell>
          <cell r="B268">
            <v>2690</v>
          </cell>
          <cell r="C268">
            <v>57040</v>
          </cell>
          <cell r="D268">
            <v>39540</v>
          </cell>
          <cell r="E268">
            <v>21230</v>
          </cell>
          <cell r="F268">
            <v>16970</v>
          </cell>
          <cell r="G268">
            <v>13590</v>
          </cell>
          <cell r="H268">
            <v>10220</v>
          </cell>
          <cell r="I268">
            <v>6840</v>
          </cell>
          <cell r="J268">
            <v>3470</v>
          </cell>
          <cell r="K268">
            <v>0</v>
          </cell>
          <cell r="L268">
            <v>0</v>
          </cell>
          <cell r="M268">
            <v>0</v>
          </cell>
        </row>
        <row r="269">
          <cell r="A269">
            <v>2690</v>
          </cell>
          <cell r="B269">
            <v>2700</v>
          </cell>
          <cell r="C269">
            <v>57890</v>
          </cell>
          <cell r="D269">
            <v>40390</v>
          </cell>
          <cell r="E269">
            <v>21560</v>
          </cell>
          <cell r="F269">
            <v>17180</v>
          </cell>
          <cell r="G269">
            <v>13800</v>
          </cell>
          <cell r="H269">
            <v>10430</v>
          </cell>
          <cell r="I269">
            <v>7050</v>
          </cell>
          <cell r="J269">
            <v>3680</v>
          </cell>
          <cell r="K269">
            <v>0</v>
          </cell>
          <cell r="L269">
            <v>0</v>
          </cell>
          <cell r="M269">
            <v>0</v>
          </cell>
        </row>
        <row r="270">
          <cell r="A270">
            <v>2700</v>
          </cell>
          <cell r="B270">
            <v>2710</v>
          </cell>
          <cell r="C270">
            <v>58750</v>
          </cell>
          <cell r="D270">
            <v>41250</v>
          </cell>
          <cell r="E270">
            <v>21890</v>
          </cell>
          <cell r="F270">
            <v>17390</v>
          </cell>
          <cell r="G270">
            <v>14020</v>
          </cell>
          <cell r="H270">
            <v>10640</v>
          </cell>
          <cell r="I270">
            <v>7270</v>
          </cell>
          <cell r="J270">
            <v>3890</v>
          </cell>
          <cell r="K270">
            <v>0</v>
          </cell>
          <cell r="L270">
            <v>0</v>
          </cell>
          <cell r="M270">
            <v>0</v>
          </cell>
        </row>
        <row r="271">
          <cell r="A271">
            <v>2710</v>
          </cell>
          <cell r="B271">
            <v>2720</v>
          </cell>
          <cell r="C271">
            <v>59600</v>
          </cell>
          <cell r="D271">
            <v>42100</v>
          </cell>
          <cell r="E271">
            <v>22220</v>
          </cell>
          <cell r="F271">
            <v>17600</v>
          </cell>
          <cell r="G271">
            <v>14230</v>
          </cell>
          <cell r="H271">
            <v>10850</v>
          </cell>
          <cell r="I271">
            <v>7480</v>
          </cell>
          <cell r="J271">
            <v>4100</v>
          </cell>
          <cell r="K271">
            <v>0</v>
          </cell>
          <cell r="L271">
            <v>0</v>
          </cell>
          <cell r="M271">
            <v>0</v>
          </cell>
        </row>
        <row r="272">
          <cell r="A272">
            <v>2720</v>
          </cell>
          <cell r="B272">
            <v>2730</v>
          </cell>
          <cell r="C272">
            <v>60460</v>
          </cell>
          <cell r="D272">
            <v>42960</v>
          </cell>
          <cell r="E272">
            <v>22550</v>
          </cell>
          <cell r="F272">
            <v>17810</v>
          </cell>
          <cell r="G272">
            <v>14440</v>
          </cell>
          <cell r="H272">
            <v>11060</v>
          </cell>
          <cell r="I272">
            <v>7690</v>
          </cell>
          <cell r="J272">
            <v>4310</v>
          </cell>
          <cell r="K272">
            <v>0</v>
          </cell>
          <cell r="L272">
            <v>0</v>
          </cell>
          <cell r="M272">
            <v>0</v>
          </cell>
        </row>
        <row r="273">
          <cell r="A273">
            <v>2730</v>
          </cell>
          <cell r="B273">
            <v>2740</v>
          </cell>
          <cell r="C273">
            <v>61310</v>
          </cell>
          <cell r="D273">
            <v>43810</v>
          </cell>
          <cell r="E273">
            <v>22880</v>
          </cell>
          <cell r="F273">
            <v>18030</v>
          </cell>
          <cell r="G273">
            <v>14650</v>
          </cell>
          <cell r="H273">
            <v>11280</v>
          </cell>
          <cell r="I273">
            <v>7900</v>
          </cell>
          <cell r="J273">
            <v>4530</v>
          </cell>
          <cell r="K273">
            <v>1150</v>
          </cell>
          <cell r="L273">
            <v>0</v>
          </cell>
          <cell r="M273">
            <v>0</v>
          </cell>
        </row>
        <row r="274">
          <cell r="A274">
            <v>2740</v>
          </cell>
          <cell r="B274">
            <v>2750</v>
          </cell>
          <cell r="C274">
            <v>62170</v>
          </cell>
          <cell r="D274">
            <v>44670</v>
          </cell>
          <cell r="E274">
            <v>23210</v>
          </cell>
          <cell r="F274">
            <v>18240</v>
          </cell>
          <cell r="G274">
            <v>14860</v>
          </cell>
          <cell r="H274">
            <v>11490</v>
          </cell>
          <cell r="I274">
            <v>8110</v>
          </cell>
          <cell r="J274">
            <v>4740</v>
          </cell>
          <cell r="K274">
            <v>1360</v>
          </cell>
          <cell r="L274">
            <v>0</v>
          </cell>
          <cell r="M274">
            <v>0</v>
          </cell>
        </row>
        <row r="275">
          <cell r="A275">
            <v>2750</v>
          </cell>
          <cell r="B275">
            <v>2760</v>
          </cell>
          <cell r="C275">
            <v>63030</v>
          </cell>
          <cell r="D275">
            <v>45530</v>
          </cell>
          <cell r="E275">
            <v>23540</v>
          </cell>
          <cell r="F275">
            <v>18450</v>
          </cell>
          <cell r="G275">
            <v>15070</v>
          </cell>
          <cell r="H275">
            <v>11700</v>
          </cell>
          <cell r="I275">
            <v>8320</v>
          </cell>
          <cell r="J275">
            <v>4950</v>
          </cell>
          <cell r="K275">
            <v>1570</v>
          </cell>
          <cell r="L275">
            <v>0</v>
          </cell>
          <cell r="M275">
            <v>0</v>
          </cell>
        </row>
        <row r="276">
          <cell r="A276">
            <v>2760</v>
          </cell>
          <cell r="B276">
            <v>2770</v>
          </cell>
          <cell r="C276">
            <v>63880</v>
          </cell>
          <cell r="D276">
            <v>46380</v>
          </cell>
          <cell r="E276">
            <v>23870</v>
          </cell>
          <cell r="F276">
            <v>18660</v>
          </cell>
          <cell r="G276">
            <v>15290</v>
          </cell>
          <cell r="H276">
            <v>11910</v>
          </cell>
          <cell r="I276">
            <v>8540</v>
          </cell>
          <cell r="J276">
            <v>5160</v>
          </cell>
          <cell r="K276">
            <v>1790</v>
          </cell>
          <cell r="L276">
            <v>0</v>
          </cell>
          <cell r="M276">
            <v>0</v>
          </cell>
        </row>
        <row r="277">
          <cell r="A277">
            <v>2770</v>
          </cell>
          <cell r="B277">
            <v>2780</v>
          </cell>
          <cell r="C277">
            <v>64740</v>
          </cell>
          <cell r="D277">
            <v>47240</v>
          </cell>
          <cell r="E277">
            <v>24200</v>
          </cell>
          <cell r="F277">
            <v>18950</v>
          </cell>
          <cell r="G277">
            <v>15500</v>
          </cell>
          <cell r="H277">
            <v>12120</v>
          </cell>
          <cell r="I277">
            <v>8750</v>
          </cell>
          <cell r="J277">
            <v>5370</v>
          </cell>
          <cell r="K277">
            <v>2000</v>
          </cell>
          <cell r="L277">
            <v>0</v>
          </cell>
          <cell r="M277">
            <v>0</v>
          </cell>
        </row>
        <row r="278">
          <cell r="A278">
            <v>2780</v>
          </cell>
          <cell r="B278">
            <v>2790</v>
          </cell>
          <cell r="C278">
            <v>65590</v>
          </cell>
          <cell r="D278">
            <v>48090</v>
          </cell>
          <cell r="E278">
            <v>24520</v>
          </cell>
          <cell r="F278">
            <v>19270</v>
          </cell>
          <cell r="G278">
            <v>15710</v>
          </cell>
          <cell r="H278">
            <v>12340</v>
          </cell>
          <cell r="I278">
            <v>8960</v>
          </cell>
          <cell r="J278">
            <v>5590</v>
          </cell>
          <cell r="K278">
            <v>2210</v>
          </cell>
          <cell r="L278">
            <v>0</v>
          </cell>
          <cell r="M278">
            <v>0</v>
          </cell>
        </row>
        <row r="279">
          <cell r="A279">
            <v>2790</v>
          </cell>
          <cell r="B279">
            <v>2800</v>
          </cell>
          <cell r="C279">
            <v>66450</v>
          </cell>
          <cell r="D279">
            <v>48950</v>
          </cell>
          <cell r="E279">
            <v>24850</v>
          </cell>
          <cell r="F279">
            <v>19600</v>
          </cell>
          <cell r="G279">
            <v>15920</v>
          </cell>
          <cell r="H279">
            <v>12550</v>
          </cell>
          <cell r="I279">
            <v>9170</v>
          </cell>
          <cell r="J279">
            <v>5800</v>
          </cell>
          <cell r="K279">
            <v>2420</v>
          </cell>
          <cell r="L279">
            <v>0</v>
          </cell>
          <cell r="M279">
            <v>0</v>
          </cell>
        </row>
        <row r="280">
          <cell r="A280">
            <v>2800</v>
          </cell>
          <cell r="B280">
            <v>2810</v>
          </cell>
          <cell r="C280">
            <v>67300</v>
          </cell>
          <cell r="D280">
            <v>49800</v>
          </cell>
          <cell r="E280">
            <v>25180</v>
          </cell>
          <cell r="F280">
            <v>19930</v>
          </cell>
          <cell r="G280">
            <v>16130</v>
          </cell>
          <cell r="H280">
            <v>12760</v>
          </cell>
          <cell r="I280">
            <v>9380</v>
          </cell>
          <cell r="J280">
            <v>6010</v>
          </cell>
          <cell r="K280">
            <v>2630</v>
          </cell>
          <cell r="L280">
            <v>0</v>
          </cell>
          <cell r="M280">
            <v>0</v>
          </cell>
        </row>
        <row r="281">
          <cell r="A281">
            <v>2810</v>
          </cell>
          <cell r="B281">
            <v>2820</v>
          </cell>
          <cell r="C281">
            <v>68160</v>
          </cell>
          <cell r="D281">
            <v>50660</v>
          </cell>
          <cell r="E281">
            <v>25510</v>
          </cell>
          <cell r="F281">
            <v>20260</v>
          </cell>
          <cell r="G281">
            <v>16350</v>
          </cell>
          <cell r="H281">
            <v>12970</v>
          </cell>
          <cell r="I281">
            <v>9600</v>
          </cell>
          <cell r="J281">
            <v>6220</v>
          </cell>
          <cell r="K281">
            <v>2850</v>
          </cell>
          <cell r="L281">
            <v>0</v>
          </cell>
          <cell r="M281">
            <v>0</v>
          </cell>
        </row>
        <row r="282">
          <cell r="A282">
            <v>2820</v>
          </cell>
          <cell r="B282">
            <v>2830</v>
          </cell>
          <cell r="C282">
            <v>69020</v>
          </cell>
          <cell r="D282">
            <v>51520</v>
          </cell>
          <cell r="E282">
            <v>25840</v>
          </cell>
          <cell r="F282">
            <v>20590</v>
          </cell>
          <cell r="G282">
            <v>16560</v>
          </cell>
          <cell r="H282">
            <v>13180</v>
          </cell>
          <cell r="I282">
            <v>9810</v>
          </cell>
          <cell r="J282">
            <v>6430</v>
          </cell>
          <cell r="K282">
            <v>3060</v>
          </cell>
          <cell r="L282">
            <v>0</v>
          </cell>
          <cell r="M282">
            <v>0</v>
          </cell>
        </row>
        <row r="283">
          <cell r="A283">
            <v>2830</v>
          </cell>
          <cell r="B283">
            <v>2840</v>
          </cell>
          <cell r="C283">
            <v>69870</v>
          </cell>
          <cell r="D283">
            <v>52370</v>
          </cell>
          <cell r="E283">
            <v>26170</v>
          </cell>
          <cell r="F283">
            <v>20920</v>
          </cell>
          <cell r="G283">
            <v>16770</v>
          </cell>
          <cell r="H283">
            <v>13400</v>
          </cell>
          <cell r="I283">
            <v>10020</v>
          </cell>
          <cell r="J283">
            <v>6650</v>
          </cell>
          <cell r="K283">
            <v>3270</v>
          </cell>
          <cell r="L283">
            <v>0</v>
          </cell>
          <cell r="M283">
            <v>0</v>
          </cell>
        </row>
        <row r="284">
          <cell r="A284">
            <v>2840</v>
          </cell>
          <cell r="B284">
            <v>2850</v>
          </cell>
          <cell r="C284">
            <v>70730</v>
          </cell>
          <cell r="D284">
            <v>53230</v>
          </cell>
          <cell r="E284">
            <v>26500</v>
          </cell>
          <cell r="F284">
            <v>21250</v>
          </cell>
          <cell r="G284">
            <v>16980</v>
          </cell>
          <cell r="H284">
            <v>13610</v>
          </cell>
          <cell r="I284">
            <v>10230</v>
          </cell>
          <cell r="J284">
            <v>6860</v>
          </cell>
          <cell r="K284">
            <v>3480</v>
          </cell>
          <cell r="L284">
            <v>0</v>
          </cell>
          <cell r="M284">
            <v>0</v>
          </cell>
        </row>
        <row r="285">
          <cell r="A285">
            <v>2850</v>
          </cell>
          <cell r="B285">
            <v>2860</v>
          </cell>
          <cell r="C285">
            <v>71580</v>
          </cell>
          <cell r="D285">
            <v>54080</v>
          </cell>
          <cell r="E285">
            <v>26830</v>
          </cell>
          <cell r="F285">
            <v>21580</v>
          </cell>
          <cell r="G285">
            <v>17190</v>
          </cell>
          <cell r="H285">
            <v>13820</v>
          </cell>
          <cell r="I285">
            <v>10440</v>
          </cell>
          <cell r="J285">
            <v>7070</v>
          </cell>
          <cell r="K285">
            <v>3690</v>
          </cell>
          <cell r="L285">
            <v>0</v>
          </cell>
          <cell r="M285">
            <v>0</v>
          </cell>
        </row>
        <row r="286">
          <cell r="A286">
            <v>2860</v>
          </cell>
          <cell r="B286">
            <v>2870</v>
          </cell>
          <cell r="C286">
            <v>72440</v>
          </cell>
          <cell r="D286">
            <v>54940</v>
          </cell>
          <cell r="E286">
            <v>27160</v>
          </cell>
          <cell r="F286">
            <v>21910</v>
          </cell>
          <cell r="G286">
            <v>17410</v>
          </cell>
          <cell r="H286">
            <v>14030</v>
          </cell>
          <cell r="I286">
            <v>10660</v>
          </cell>
          <cell r="J286">
            <v>7280</v>
          </cell>
          <cell r="K286">
            <v>3910</v>
          </cell>
          <cell r="L286">
            <v>0</v>
          </cell>
          <cell r="M286">
            <v>0</v>
          </cell>
        </row>
        <row r="287">
          <cell r="A287">
            <v>2870</v>
          </cell>
          <cell r="B287">
            <v>2880</v>
          </cell>
          <cell r="C287">
            <v>73290</v>
          </cell>
          <cell r="D287">
            <v>55790</v>
          </cell>
          <cell r="E287">
            <v>27490</v>
          </cell>
          <cell r="F287">
            <v>22240</v>
          </cell>
          <cell r="G287">
            <v>17620</v>
          </cell>
          <cell r="H287">
            <v>14240</v>
          </cell>
          <cell r="I287">
            <v>10870</v>
          </cell>
          <cell r="J287">
            <v>7490</v>
          </cell>
          <cell r="K287">
            <v>4120</v>
          </cell>
          <cell r="L287">
            <v>0</v>
          </cell>
          <cell r="M287">
            <v>0</v>
          </cell>
        </row>
        <row r="288">
          <cell r="A288">
            <v>2880</v>
          </cell>
          <cell r="B288">
            <v>2890</v>
          </cell>
          <cell r="C288">
            <v>74150</v>
          </cell>
          <cell r="D288">
            <v>56650</v>
          </cell>
          <cell r="E288">
            <v>27820</v>
          </cell>
          <cell r="F288">
            <v>22570</v>
          </cell>
          <cell r="G288">
            <v>17830</v>
          </cell>
          <cell r="H288">
            <v>14460</v>
          </cell>
          <cell r="I288">
            <v>11080</v>
          </cell>
          <cell r="J288">
            <v>7710</v>
          </cell>
          <cell r="K288">
            <v>4330</v>
          </cell>
          <cell r="L288">
            <v>0</v>
          </cell>
          <cell r="M288">
            <v>0</v>
          </cell>
        </row>
        <row r="289">
          <cell r="A289">
            <v>2890</v>
          </cell>
          <cell r="B289">
            <v>2900</v>
          </cell>
          <cell r="C289">
            <v>75010</v>
          </cell>
          <cell r="D289">
            <v>57510</v>
          </cell>
          <cell r="E289">
            <v>28150</v>
          </cell>
          <cell r="F289">
            <v>22900</v>
          </cell>
          <cell r="G289">
            <v>18040</v>
          </cell>
          <cell r="H289">
            <v>14670</v>
          </cell>
          <cell r="I289">
            <v>11290</v>
          </cell>
          <cell r="J289">
            <v>7920</v>
          </cell>
          <cell r="K289">
            <v>4540</v>
          </cell>
          <cell r="L289">
            <v>1170</v>
          </cell>
          <cell r="M289">
            <v>0</v>
          </cell>
        </row>
        <row r="290">
          <cell r="A290">
            <v>2900</v>
          </cell>
          <cell r="B290">
            <v>2910</v>
          </cell>
          <cell r="C290">
            <v>75860</v>
          </cell>
          <cell r="D290">
            <v>58360</v>
          </cell>
          <cell r="E290">
            <v>28480</v>
          </cell>
          <cell r="F290">
            <v>23230</v>
          </cell>
          <cell r="G290">
            <v>18250</v>
          </cell>
          <cell r="H290">
            <v>14880</v>
          </cell>
          <cell r="I290">
            <v>11500</v>
          </cell>
          <cell r="J290">
            <v>8130</v>
          </cell>
          <cell r="K290">
            <v>4750</v>
          </cell>
          <cell r="L290">
            <v>1380</v>
          </cell>
          <cell r="M290">
            <v>0</v>
          </cell>
        </row>
        <row r="291">
          <cell r="A291">
            <v>2910</v>
          </cell>
          <cell r="B291">
            <v>2920</v>
          </cell>
          <cell r="C291">
            <v>76720</v>
          </cell>
          <cell r="D291">
            <v>59220</v>
          </cell>
          <cell r="E291">
            <v>28810</v>
          </cell>
          <cell r="F291">
            <v>23560</v>
          </cell>
          <cell r="G291">
            <v>18470</v>
          </cell>
          <cell r="H291">
            <v>15090</v>
          </cell>
          <cell r="I291">
            <v>11720</v>
          </cell>
          <cell r="J291">
            <v>8340</v>
          </cell>
          <cell r="K291">
            <v>4970</v>
          </cell>
          <cell r="L291">
            <v>1590</v>
          </cell>
          <cell r="M291">
            <v>0</v>
          </cell>
        </row>
        <row r="292">
          <cell r="A292">
            <v>2920</v>
          </cell>
          <cell r="B292">
            <v>2930</v>
          </cell>
          <cell r="C292">
            <v>77570</v>
          </cell>
          <cell r="D292">
            <v>60070</v>
          </cell>
          <cell r="E292">
            <v>29140</v>
          </cell>
          <cell r="F292">
            <v>23890</v>
          </cell>
          <cell r="G292">
            <v>18680</v>
          </cell>
          <cell r="H292">
            <v>15300</v>
          </cell>
          <cell r="I292">
            <v>11930</v>
          </cell>
          <cell r="J292">
            <v>8550</v>
          </cell>
          <cell r="K292">
            <v>5180</v>
          </cell>
          <cell r="L292">
            <v>1800</v>
          </cell>
          <cell r="M292">
            <v>0</v>
          </cell>
        </row>
        <row r="293">
          <cell r="A293">
            <v>2930</v>
          </cell>
          <cell r="B293">
            <v>2940</v>
          </cell>
          <cell r="C293">
            <v>78430</v>
          </cell>
          <cell r="D293">
            <v>60930</v>
          </cell>
          <cell r="E293">
            <v>29470</v>
          </cell>
          <cell r="F293">
            <v>24220</v>
          </cell>
          <cell r="G293">
            <v>18970</v>
          </cell>
          <cell r="H293">
            <v>15510</v>
          </cell>
          <cell r="I293">
            <v>12140</v>
          </cell>
          <cell r="J293">
            <v>8760</v>
          </cell>
          <cell r="K293">
            <v>5390</v>
          </cell>
          <cell r="L293">
            <v>2010</v>
          </cell>
          <cell r="M293">
            <v>0</v>
          </cell>
        </row>
        <row r="294">
          <cell r="A294">
            <v>2940</v>
          </cell>
          <cell r="B294">
            <v>2950</v>
          </cell>
          <cell r="C294">
            <v>79280</v>
          </cell>
          <cell r="D294">
            <v>61780</v>
          </cell>
          <cell r="E294">
            <v>29800</v>
          </cell>
          <cell r="F294">
            <v>24550</v>
          </cell>
          <cell r="G294">
            <v>19300</v>
          </cell>
          <cell r="H294">
            <v>15730</v>
          </cell>
          <cell r="I294">
            <v>12350</v>
          </cell>
          <cell r="J294">
            <v>8980</v>
          </cell>
          <cell r="K294">
            <v>5600</v>
          </cell>
          <cell r="L294">
            <v>2230</v>
          </cell>
          <cell r="M294">
            <v>0</v>
          </cell>
        </row>
        <row r="295">
          <cell r="A295">
            <v>2950</v>
          </cell>
          <cell r="B295">
            <v>2960</v>
          </cell>
          <cell r="C295">
            <v>80140</v>
          </cell>
          <cell r="D295">
            <v>62640</v>
          </cell>
          <cell r="E295">
            <v>30130</v>
          </cell>
          <cell r="F295">
            <v>24880</v>
          </cell>
          <cell r="G295">
            <v>19630</v>
          </cell>
          <cell r="H295">
            <v>15940</v>
          </cell>
          <cell r="I295">
            <v>12560</v>
          </cell>
          <cell r="J295">
            <v>9190</v>
          </cell>
          <cell r="K295">
            <v>5810</v>
          </cell>
          <cell r="L295">
            <v>2440</v>
          </cell>
          <cell r="M295">
            <v>0</v>
          </cell>
        </row>
        <row r="296">
          <cell r="A296">
            <v>2960</v>
          </cell>
          <cell r="B296">
            <v>2970</v>
          </cell>
          <cell r="C296">
            <v>81000</v>
          </cell>
          <cell r="D296">
            <v>63500</v>
          </cell>
          <cell r="E296">
            <v>30460</v>
          </cell>
          <cell r="F296">
            <v>25210</v>
          </cell>
          <cell r="G296">
            <v>19960</v>
          </cell>
          <cell r="H296">
            <v>16150</v>
          </cell>
          <cell r="I296">
            <v>12780</v>
          </cell>
          <cell r="J296">
            <v>9400</v>
          </cell>
          <cell r="K296">
            <v>6030</v>
          </cell>
          <cell r="L296">
            <v>2650</v>
          </cell>
          <cell r="M296">
            <v>0</v>
          </cell>
        </row>
        <row r="297">
          <cell r="A297">
            <v>2970</v>
          </cell>
          <cell r="B297">
            <v>2980</v>
          </cell>
          <cell r="C297">
            <v>81850</v>
          </cell>
          <cell r="D297">
            <v>64350</v>
          </cell>
          <cell r="E297">
            <v>30790</v>
          </cell>
          <cell r="F297">
            <v>25540</v>
          </cell>
          <cell r="G297">
            <v>20290</v>
          </cell>
          <cell r="H297">
            <v>16360</v>
          </cell>
          <cell r="I297">
            <v>12990</v>
          </cell>
          <cell r="J297">
            <v>9610</v>
          </cell>
          <cell r="K297">
            <v>6240</v>
          </cell>
          <cell r="L297">
            <v>2860</v>
          </cell>
          <cell r="M297">
            <v>0</v>
          </cell>
        </row>
        <row r="298">
          <cell r="A298">
            <v>2980</v>
          </cell>
          <cell r="B298">
            <v>2990</v>
          </cell>
          <cell r="C298">
            <v>82710</v>
          </cell>
          <cell r="D298">
            <v>65210</v>
          </cell>
          <cell r="E298">
            <v>31120</v>
          </cell>
          <cell r="F298">
            <v>25870</v>
          </cell>
          <cell r="G298">
            <v>20620</v>
          </cell>
          <cell r="H298">
            <v>16570</v>
          </cell>
          <cell r="I298">
            <v>13200</v>
          </cell>
          <cell r="J298">
            <v>9820</v>
          </cell>
          <cell r="K298">
            <v>6450</v>
          </cell>
          <cell r="L298">
            <v>3070</v>
          </cell>
          <cell r="M298">
            <v>0</v>
          </cell>
        </row>
        <row r="299">
          <cell r="A299">
            <v>2990</v>
          </cell>
          <cell r="B299">
            <v>3000</v>
          </cell>
          <cell r="C299">
            <v>83560</v>
          </cell>
          <cell r="D299">
            <v>66060</v>
          </cell>
          <cell r="E299">
            <v>31450</v>
          </cell>
          <cell r="F299">
            <v>26200</v>
          </cell>
          <cell r="G299">
            <v>20950</v>
          </cell>
          <cell r="H299">
            <v>16790</v>
          </cell>
          <cell r="I299">
            <v>13410</v>
          </cell>
          <cell r="J299">
            <v>10040</v>
          </cell>
          <cell r="K299">
            <v>6660</v>
          </cell>
          <cell r="L299">
            <v>3290</v>
          </cell>
          <cell r="M299">
            <v>0</v>
          </cell>
        </row>
        <row r="300">
          <cell r="A300">
            <v>3000</v>
          </cell>
          <cell r="B300">
            <v>3020</v>
          </cell>
          <cell r="C300">
            <v>84850</v>
          </cell>
          <cell r="D300">
            <v>67350</v>
          </cell>
          <cell r="E300">
            <v>32490</v>
          </cell>
          <cell r="F300">
            <v>26690</v>
          </cell>
          <cell r="G300">
            <v>21440</v>
          </cell>
          <cell r="H300">
            <v>17100</v>
          </cell>
          <cell r="I300">
            <v>13730</v>
          </cell>
          <cell r="J300">
            <v>10350</v>
          </cell>
          <cell r="K300">
            <v>6980</v>
          </cell>
          <cell r="L300">
            <v>3600</v>
          </cell>
          <cell r="M300">
            <v>0</v>
          </cell>
        </row>
        <row r="301">
          <cell r="A301">
            <v>3020</v>
          </cell>
          <cell r="B301">
            <v>3040</v>
          </cell>
          <cell r="C301">
            <v>86560</v>
          </cell>
          <cell r="D301">
            <v>69060</v>
          </cell>
          <cell r="E301">
            <v>34140</v>
          </cell>
          <cell r="F301">
            <v>27350</v>
          </cell>
          <cell r="G301">
            <v>22100</v>
          </cell>
          <cell r="H301">
            <v>17530</v>
          </cell>
          <cell r="I301">
            <v>14150</v>
          </cell>
          <cell r="J301">
            <v>10780</v>
          </cell>
          <cell r="K301">
            <v>7400</v>
          </cell>
          <cell r="L301">
            <v>4030</v>
          </cell>
          <cell r="M301">
            <v>0</v>
          </cell>
        </row>
        <row r="302">
          <cell r="A302">
            <v>3040</v>
          </cell>
          <cell r="B302">
            <v>3060</v>
          </cell>
          <cell r="C302">
            <v>88270</v>
          </cell>
          <cell r="D302">
            <v>70770</v>
          </cell>
          <cell r="E302">
            <v>35790</v>
          </cell>
          <cell r="F302">
            <v>28010</v>
          </cell>
          <cell r="G302">
            <v>22760</v>
          </cell>
          <cell r="H302">
            <v>17950</v>
          </cell>
          <cell r="I302">
            <v>14580</v>
          </cell>
          <cell r="J302">
            <v>11200</v>
          </cell>
          <cell r="K302">
            <v>7830</v>
          </cell>
          <cell r="L302">
            <v>4450</v>
          </cell>
          <cell r="M302">
            <v>1080</v>
          </cell>
        </row>
        <row r="303">
          <cell r="A303">
            <v>3060</v>
          </cell>
          <cell r="B303">
            <v>3080</v>
          </cell>
          <cell r="C303">
            <v>89980</v>
          </cell>
          <cell r="D303">
            <v>72480</v>
          </cell>
          <cell r="E303">
            <v>37440</v>
          </cell>
          <cell r="F303">
            <v>28670</v>
          </cell>
          <cell r="G303">
            <v>23420</v>
          </cell>
          <cell r="H303">
            <v>18380</v>
          </cell>
          <cell r="I303">
            <v>15000</v>
          </cell>
          <cell r="J303">
            <v>11630</v>
          </cell>
          <cell r="K303">
            <v>8250</v>
          </cell>
          <cell r="L303">
            <v>4880</v>
          </cell>
          <cell r="M303">
            <v>1500</v>
          </cell>
        </row>
        <row r="304">
          <cell r="A304">
            <v>3080</v>
          </cell>
          <cell r="B304">
            <v>3100</v>
          </cell>
          <cell r="C304">
            <v>91690</v>
          </cell>
          <cell r="D304">
            <v>74190</v>
          </cell>
          <cell r="E304">
            <v>39080</v>
          </cell>
          <cell r="F304">
            <v>29330</v>
          </cell>
          <cell r="G304">
            <v>24080</v>
          </cell>
          <cell r="H304">
            <v>18830</v>
          </cell>
          <cell r="I304">
            <v>15430</v>
          </cell>
          <cell r="J304">
            <v>12050</v>
          </cell>
          <cell r="K304">
            <v>8680</v>
          </cell>
          <cell r="L304">
            <v>5300</v>
          </cell>
          <cell r="M304">
            <v>1930</v>
          </cell>
        </row>
        <row r="305">
          <cell r="A305">
            <v>3100</v>
          </cell>
          <cell r="B305">
            <v>3120</v>
          </cell>
          <cell r="C305">
            <v>93400</v>
          </cell>
          <cell r="D305">
            <v>75900</v>
          </cell>
          <cell r="E305">
            <v>40730</v>
          </cell>
          <cell r="F305">
            <v>29990</v>
          </cell>
          <cell r="G305">
            <v>24740</v>
          </cell>
          <cell r="H305">
            <v>19490</v>
          </cell>
          <cell r="I305">
            <v>15850</v>
          </cell>
          <cell r="J305">
            <v>12470</v>
          </cell>
          <cell r="K305">
            <v>9100</v>
          </cell>
          <cell r="L305">
            <v>5720</v>
          </cell>
          <cell r="M305">
            <v>2350</v>
          </cell>
        </row>
        <row r="306">
          <cell r="A306">
            <v>3120</v>
          </cell>
          <cell r="B306">
            <v>3140</v>
          </cell>
          <cell r="C306">
            <v>95760</v>
          </cell>
          <cell r="D306">
            <v>77620</v>
          </cell>
          <cell r="E306">
            <v>42380</v>
          </cell>
          <cell r="F306">
            <v>30650</v>
          </cell>
          <cell r="G306">
            <v>25400</v>
          </cell>
          <cell r="H306">
            <v>20150</v>
          </cell>
          <cell r="I306">
            <v>16270</v>
          </cell>
          <cell r="J306">
            <v>12900</v>
          </cell>
          <cell r="K306">
            <v>9520</v>
          </cell>
          <cell r="L306">
            <v>6150</v>
          </cell>
          <cell r="M306">
            <v>2770</v>
          </cell>
        </row>
        <row r="307">
          <cell r="A307">
            <v>3140</v>
          </cell>
          <cell r="B307">
            <v>3160</v>
          </cell>
          <cell r="C307">
            <v>98210</v>
          </cell>
          <cell r="D307">
            <v>79330</v>
          </cell>
          <cell r="E307">
            <v>44030</v>
          </cell>
          <cell r="F307">
            <v>31310</v>
          </cell>
          <cell r="G307">
            <v>26060</v>
          </cell>
          <cell r="H307">
            <v>20810</v>
          </cell>
          <cell r="I307">
            <v>16700</v>
          </cell>
          <cell r="J307">
            <v>13320</v>
          </cell>
          <cell r="K307">
            <v>9950</v>
          </cell>
          <cell r="L307">
            <v>6570</v>
          </cell>
          <cell r="M307">
            <v>3200</v>
          </cell>
        </row>
        <row r="308">
          <cell r="A308">
            <v>3160</v>
          </cell>
          <cell r="B308">
            <v>3180</v>
          </cell>
          <cell r="C308">
            <v>100650</v>
          </cell>
          <cell r="D308">
            <v>81040</v>
          </cell>
          <cell r="E308">
            <v>45680</v>
          </cell>
          <cell r="F308">
            <v>32550</v>
          </cell>
          <cell r="G308">
            <v>26720</v>
          </cell>
          <cell r="H308">
            <v>21470</v>
          </cell>
          <cell r="I308">
            <v>17120</v>
          </cell>
          <cell r="J308">
            <v>13750</v>
          </cell>
          <cell r="K308">
            <v>10370</v>
          </cell>
          <cell r="L308">
            <v>7000</v>
          </cell>
          <cell r="M308">
            <v>3620</v>
          </cell>
        </row>
        <row r="309">
          <cell r="A309">
            <v>3180</v>
          </cell>
          <cell r="B309">
            <v>3200</v>
          </cell>
          <cell r="C309">
            <v>103100</v>
          </cell>
          <cell r="D309">
            <v>82750</v>
          </cell>
          <cell r="E309">
            <v>47330</v>
          </cell>
          <cell r="F309">
            <v>34200</v>
          </cell>
          <cell r="G309">
            <v>27380</v>
          </cell>
          <cell r="H309">
            <v>22130</v>
          </cell>
          <cell r="I309">
            <v>17540</v>
          </cell>
          <cell r="J309">
            <v>14170</v>
          </cell>
          <cell r="K309">
            <v>10790</v>
          </cell>
          <cell r="L309">
            <v>7420</v>
          </cell>
          <cell r="M309">
            <v>4040</v>
          </cell>
        </row>
        <row r="310">
          <cell r="A310">
            <v>3200</v>
          </cell>
          <cell r="B310">
            <v>3220</v>
          </cell>
          <cell r="C310">
            <v>105540</v>
          </cell>
          <cell r="D310">
            <v>84460</v>
          </cell>
          <cell r="E310">
            <v>48980</v>
          </cell>
          <cell r="F310">
            <v>35850</v>
          </cell>
          <cell r="G310">
            <v>28040</v>
          </cell>
          <cell r="H310">
            <v>22790</v>
          </cell>
          <cell r="I310">
            <v>17970</v>
          </cell>
          <cell r="J310">
            <v>14590</v>
          </cell>
          <cell r="K310">
            <v>11220</v>
          </cell>
          <cell r="L310">
            <v>7840</v>
          </cell>
          <cell r="M310">
            <v>4470</v>
          </cell>
        </row>
        <row r="311">
          <cell r="A311">
            <v>3220</v>
          </cell>
          <cell r="B311">
            <v>3240</v>
          </cell>
          <cell r="C311">
            <v>107990</v>
          </cell>
          <cell r="D311">
            <v>86170</v>
          </cell>
          <cell r="E311">
            <v>50620</v>
          </cell>
          <cell r="F311">
            <v>37500</v>
          </cell>
          <cell r="G311">
            <v>28700</v>
          </cell>
          <cell r="H311">
            <v>23450</v>
          </cell>
          <cell r="I311">
            <v>18390</v>
          </cell>
          <cell r="J311">
            <v>15020</v>
          </cell>
          <cell r="K311">
            <v>11640</v>
          </cell>
          <cell r="L311">
            <v>8270</v>
          </cell>
          <cell r="M311">
            <v>4890</v>
          </cell>
        </row>
        <row r="312">
          <cell r="A312">
            <v>3240</v>
          </cell>
          <cell r="B312">
            <v>3260</v>
          </cell>
          <cell r="C312">
            <v>110430</v>
          </cell>
          <cell r="D312">
            <v>87880</v>
          </cell>
          <cell r="E312">
            <v>52270</v>
          </cell>
          <cell r="F312">
            <v>39150</v>
          </cell>
          <cell r="G312">
            <v>29360</v>
          </cell>
          <cell r="H312">
            <v>24110</v>
          </cell>
          <cell r="I312">
            <v>18860</v>
          </cell>
          <cell r="J312">
            <v>15440</v>
          </cell>
          <cell r="K312">
            <v>12070</v>
          </cell>
          <cell r="L312">
            <v>8690</v>
          </cell>
          <cell r="M312">
            <v>5320</v>
          </cell>
        </row>
        <row r="313">
          <cell r="A313">
            <v>3260</v>
          </cell>
          <cell r="B313">
            <v>3280</v>
          </cell>
          <cell r="C313">
            <v>112880</v>
          </cell>
          <cell r="D313">
            <v>89600</v>
          </cell>
          <cell r="E313">
            <v>53920</v>
          </cell>
          <cell r="F313">
            <v>40800</v>
          </cell>
          <cell r="G313">
            <v>30020</v>
          </cell>
          <cell r="H313">
            <v>24770</v>
          </cell>
          <cell r="I313">
            <v>19520</v>
          </cell>
          <cell r="J313">
            <v>15870</v>
          </cell>
          <cell r="K313">
            <v>12490</v>
          </cell>
          <cell r="L313">
            <v>9120</v>
          </cell>
          <cell r="M313">
            <v>5740</v>
          </cell>
        </row>
        <row r="314">
          <cell r="A314">
            <v>3280</v>
          </cell>
          <cell r="B314">
            <v>3300</v>
          </cell>
          <cell r="C314">
            <v>115320</v>
          </cell>
          <cell r="D314">
            <v>91310</v>
          </cell>
          <cell r="E314">
            <v>55570</v>
          </cell>
          <cell r="F314">
            <v>42440</v>
          </cell>
          <cell r="G314">
            <v>30670</v>
          </cell>
          <cell r="H314">
            <v>25420</v>
          </cell>
          <cell r="I314">
            <v>20170</v>
          </cell>
          <cell r="J314">
            <v>16290</v>
          </cell>
          <cell r="K314">
            <v>12910</v>
          </cell>
          <cell r="L314">
            <v>9540</v>
          </cell>
          <cell r="M314">
            <v>6160</v>
          </cell>
        </row>
        <row r="315">
          <cell r="A315">
            <v>3300</v>
          </cell>
          <cell r="B315">
            <v>3320</v>
          </cell>
          <cell r="C315">
            <v>117770</v>
          </cell>
          <cell r="D315">
            <v>93020</v>
          </cell>
          <cell r="E315">
            <v>57220</v>
          </cell>
          <cell r="F315">
            <v>44090</v>
          </cell>
          <cell r="G315">
            <v>31330</v>
          </cell>
          <cell r="H315">
            <v>26080</v>
          </cell>
          <cell r="I315">
            <v>20830</v>
          </cell>
          <cell r="J315">
            <v>16710</v>
          </cell>
          <cell r="K315">
            <v>13340</v>
          </cell>
          <cell r="L315">
            <v>9960</v>
          </cell>
          <cell r="M315">
            <v>6590</v>
          </cell>
        </row>
        <row r="316">
          <cell r="A316">
            <v>3320</v>
          </cell>
          <cell r="B316">
            <v>3340</v>
          </cell>
          <cell r="C316">
            <v>120210</v>
          </cell>
          <cell r="D316">
            <v>95210</v>
          </cell>
          <cell r="E316">
            <v>58870</v>
          </cell>
          <cell r="F316">
            <v>45740</v>
          </cell>
          <cell r="G316">
            <v>32620</v>
          </cell>
          <cell r="H316">
            <v>26740</v>
          </cell>
          <cell r="I316">
            <v>21490</v>
          </cell>
          <cell r="J316">
            <v>17140</v>
          </cell>
          <cell r="K316">
            <v>13760</v>
          </cell>
          <cell r="L316">
            <v>10390</v>
          </cell>
          <cell r="M316">
            <v>7010</v>
          </cell>
        </row>
        <row r="317">
          <cell r="A317">
            <v>3340</v>
          </cell>
          <cell r="B317">
            <v>3360</v>
          </cell>
          <cell r="C317">
            <v>122660</v>
          </cell>
          <cell r="D317">
            <v>97660</v>
          </cell>
          <cell r="E317">
            <v>60440</v>
          </cell>
          <cell r="F317">
            <v>47320</v>
          </cell>
          <cell r="G317">
            <v>34190</v>
          </cell>
          <cell r="H317">
            <v>27370</v>
          </cell>
          <cell r="I317">
            <v>22120</v>
          </cell>
          <cell r="J317">
            <v>17540</v>
          </cell>
          <cell r="K317">
            <v>14170</v>
          </cell>
          <cell r="L317">
            <v>10790</v>
          </cell>
          <cell r="M317">
            <v>7420</v>
          </cell>
        </row>
        <row r="318">
          <cell r="A318">
            <v>3360</v>
          </cell>
          <cell r="B318">
            <v>3380</v>
          </cell>
          <cell r="C318">
            <v>125100</v>
          </cell>
          <cell r="D318">
            <v>100100</v>
          </cell>
          <cell r="E318">
            <v>62010</v>
          </cell>
          <cell r="F318">
            <v>48880</v>
          </cell>
          <cell r="G318">
            <v>35760</v>
          </cell>
          <cell r="H318">
            <v>28000</v>
          </cell>
          <cell r="I318">
            <v>22750</v>
          </cell>
          <cell r="J318">
            <v>17950</v>
          </cell>
          <cell r="K318">
            <v>14570</v>
          </cell>
          <cell r="L318">
            <v>11200</v>
          </cell>
          <cell r="M318">
            <v>7820</v>
          </cell>
        </row>
        <row r="319">
          <cell r="A319">
            <v>3380</v>
          </cell>
          <cell r="B319">
            <v>3400</v>
          </cell>
          <cell r="C319">
            <v>127550</v>
          </cell>
          <cell r="D319">
            <v>102550</v>
          </cell>
          <cell r="E319">
            <v>63570</v>
          </cell>
          <cell r="F319">
            <v>50450</v>
          </cell>
          <cell r="G319">
            <v>37320</v>
          </cell>
          <cell r="H319">
            <v>28630</v>
          </cell>
          <cell r="I319">
            <v>23380</v>
          </cell>
          <cell r="J319">
            <v>18350</v>
          </cell>
          <cell r="K319">
            <v>14970</v>
          </cell>
          <cell r="L319">
            <v>11600</v>
          </cell>
          <cell r="M319">
            <v>8220</v>
          </cell>
        </row>
        <row r="320">
          <cell r="A320">
            <v>3400</v>
          </cell>
          <cell r="B320">
            <v>3420</v>
          </cell>
          <cell r="C320">
            <v>129990</v>
          </cell>
          <cell r="D320">
            <v>104990</v>
          </cell>
          <cell r="E320">
            <v>65140</v>
          </cell>
          <cell r="F320">
            <v>52010</v>
          </cell>
          <cell r="G320">
            <v>38890</v>
          </cell>
          <cell r="H320">
            <v>29250</v>
          </cell>
          <cell r="I320">
            <v>24000</v>
          </cell>
          <cell r="J320">
            <v>18750</v>
          </cell>
          <cell r="K320">
            <v>15370</v>
          </cell>
          <cell r="L320">
            <v>12000</v>
          </cell>
          <cell r="M320">
            <v>8620</v>
          </cell>
        </row>
        <row r="321">
          <cell r="A321">
            <v>3420</v>
          </cell>
          <cell r="B321">
            <v>3440</v>
          </cell>
          <cell r="C321">
            <v>132440</v>
          </cell>
          <cell r="D321">
            <v>107440</v>
          </cell>
          <cell r="E321">
            <v>66700</v>
          </cell>
          <cell r="F321">
            <v>53580</v>
          </cell>
          <cell r="G321">
            <v>40450</v>
          </cell>
          <cell r="H321">
            <v>29880</v>
          </cell>
          <cell r="I321">
            <v>24630</v>
          </cell>
          <cell r="J321">
            <v>19380</v>
          </cell>
          <cell r="K321">
            <v>15780</v>
          </cell>
          <cell r="L321">
            <v>12400</v>
          </cell>
          <cell r="M321">
            <v>9030</v>
          </cell>
        </row>
        <row r="322">
          <cell r="A322">
            <v>3440</v>
          </cell>
          <cell r="B322">
            <v>3460</v>
          </cell>
          <cell r="C322">
            <v>134880</v>
          </cell>
          <cell r="D322">
            <v>109880</v>
          </cell>
          <cell r="E322">
            <v>68270</v>
          </cell>
          <cell r="F322">
            <v>55140</v>
          </cell>
          <cell r="G322">
            <v>42020</v>
          </cell>
          <cell r="H322">
            <v>30500</v>
          </cell>
          <cell r="I322">
            <v>25250</v>
          </cell>
          <cell r="J322">
            <v>20000</v>
          </cell>
          <cell r="K322">
            <v>16180</v>
          </cell>
          <cell r="L322">
            <v>12800</v>
          </cell>
          <cell r="M322">
            <v>9430</v>
          </cell>
        </row>
        <row r="323">
          <cell r="A323">
            <v>3460</v>
          </cell>
          <cell r="B323">
            <v>3480</v>
          </cell>
          <cell r="C323">
            <v>137330</v>
          </cell>
          <cell r="D323">
            <v>112330</v>
          </cell>
          <cell r="E323">
            <v>69830</v>
          </cell>
          <cell r="F323">
            <v>56710</v>
          </cell>
          <cell r="G323">
            <v>43580</v>
          </cell>
          <cell r="H323">
            <v>31130</v>
          </cell>
          <cell r="I323">
            <v>25880</v>
          </cell>
          <cell r="J323">
            <v>20630</v>
          </cell>
          <cell r="K323">
            <v>16580</v>
          </cell>
          <cell r="L323">
            <v>13210</v>
          </cell>
          <cell r="M323">
            <v>9830</v>
          </cell>
        </row>
        <row r="324">
          <cell r="A324">
            <v>3480</v>
          </cell>
          <cell r="B324">
            <v>3500</v>
          </cell>
          <cell r="C324">
            <v>139770</v>
          </cell>
          <cell r="D324">
            <v>114770</v>
          </cell>
          <cell r="E324">
            <v>71400</v>
          </cell>
          <cell r="F324">
            <v>58270</v>
          </cell>
          <cell r="G324">
            <v>45150</v>
          </cell>
          <cell r="H324">
            <v>32020</v>
          </cell>
          <cell r="I324">
            <v>26510</v>
          </cell>
          <cell r="J324">
            <v>21260</v>
          </cell>
          <cell r="K324">
            <v>16980</v>
          </cell>
          <cell r="L324">
            <v>13610</v>
          </cell>
          <cell r="M324">
            <v>10230</v>
          </cell>
        </row>
        <row r="325">
          <cell r="A325">
            <v>3500</v>
          </cell>
          <cell r="B325">
            <v>3520</v>
          </cell>
          <cell r="C325">
            <v>142220</v>
          </cell>
          <cell r="D325">
            <v>117220</v>
          </cell>
          <cell r="E325">
            <v>72960</v>
          </cell>
          <cell r="F325">
            <v>59840</v>
          </cell>
          <cell r="G325">
            <v>46710</v>
          </cell>
          <cell r="H325">
            <v>33590</v>
          </cell>
          <cell r="I325">
            <v>27130</v>
          </cell>
          <cell r="J325">
            <v>21880</v>
          </cell>
          <cell r="K325">
            <v>17390</v>
          </cell>
          <cell r="L325">
            <v>14010</v>
          </cell>
          <cell r="M325">
            <v>10640</v>
          </cell>
        </row>
        <row r="326">
          <cell r="A326">
            <v>3520</v>
          </cell>
          <cell r="B326">
            <v>3540</v>
          </cell>
          <cell r="C326">
            <v>144660</v>
          </cell>
          <cell r="D326">
            <v>119660</v>
          </cell>
          <cell r="E326">
            <v>74530</v>
          </cell>
          <cell r="F326">
            <v>61400</v>
          </cell>
          <cell r="G326">
            <v>48280</v>
          </cell>
          <cell r="H326">
            <v>35150</v>
          </cell>
          <cell r="I326">
            <v>27760</v>
          </cell>
          <cell r="J326">
            <v>22510</v>
          </cell>
          <cell r="K326">
            <v>17790</v>
          </cell>
          <cell r="L326">
            <v>14410</v>
          </cell>
          <cell r="M326">
            <v>11040</v>
          </cell>
        </row>
        <row r="327">
          <cell r="A327">
            <v>3540</v>
          </cell>
          <cell r="B327">
            <v>3560</v>
          </cell>
          <cell r="C327">
            <v>147110</v>
          </cell>
          <cell r="D327">
            <v>122110</v>
          </cell>
          <cell r="E327">
            <v>76090</v>
          </cell>
          <cell r="F327">
            <v>62960</v>
          </cell>
          <cell r="G327">
            <v>49840</v>
          </cell>
          <cell r="H327">
            <v>36710</v>
          </cell>
          <cell r="I327">
            <v>28380</v>
          </cell>
          <cell r="J327">
            <v>23130</v>
          </cell>
          <cell r="K327">
            <v>18190</v>
          </cell>
          <cell r="L327">
            <v>14820</v>
          </cell>
          <cell r="M327">
            <v>11440</v>
          </cell>
        </row>
        <row r="328">
          <cell r="A328">
            <v>3560</v>
          </cell>
          <cell r="B328">
            <v>3580</v>
          </cell>
          <cell r="C328">
            <v>149550</v>
          </cell>
          <cell r="D328">
            <v>124550</v>
          </cell>
          <cell r="E328">
            <v>77650</v>
          </cell>
          <cell r="F328">
            <v>64530</v>
          </cell>
          <cell r="G328">
            <v>51400</v>
          </cell>
          <cell r="H328">
            <v>38280</v>
          </cell>
          <cell r="I328">
            <v>29010</v>
          </cell>
          <cell r="J328">
            <v>23760</v>
          </cell>
          <cell r="K328">
            <v>18590</v>
          </cell>
          <cell r="L328">
            <v>15220</v>
          </cell>
          <cell r="M328">
            <v>11840</v>
          </cell>
        </row>
        <row r="329">
          <cell r="A329">
            <v>3580</v>
          </cell>
          <cell r="B329">
            <v>3600</v>
          </cell>
          <cell r="C329">
            <v>152000</v>
          </cell>
          <cell r="D329">
            <v>127000</v>
          </cell>
          <cell r="E329">
            <v>79220</v>
          </cell>
          <cell r="F329">
            <v>66090</v>
          </cell>
          <cell r="G329">
            <v>52970</v>
          </cell>
          <cell r="H329">
            <v>39840</v>
          </cell>
          <cell r="I329">
            <v>29630</v>
          </cell>
          <cell r="J329">
            <v>24380</v>
          </cell>
          <cell r="K329">
            <v>19130</v>
          </cell>
          <cell r="L329">
            <v>15620</v>
          </cell>
          <cell r="M329">
            <v>12250</v>
          </cell>
        </row>
        <row r="330">
          <cell r="A330">
            <v>3600</v>
          </cell>
          <cell r="B330">
            <v>3620</v>
          </cell>
          <cell r="C330">
            <v>154440</v>
          </cell>
          <cell r="D330">
            <v>129440</v>
          </cell>
          <cell r="E330">
            <v>80780</v>
          </cell>
          <cell r="F330">
            <v>67660</v>
          </cell>
          <cell r="G330">
            <v>54530</v>
          </cell>
          <cell r="H330">
            <v>41410</v>
          </cell>
          <cell r="I330">
            <v>30260</v>
          </cell>
          <cell r="J330">
            <v>25010</v>
          </cell>
          <cell r="K330">
            <v>19760</v>
          </cell>
          <cell r="L330">
            <v>16020</v>
          </cell>
          <cell r="M330">
            <v>12650</v>
          </cell>
        </row>
        <row r="331">
          <cell r="A331">
            <v>3620</v>
          </cell>
          <cell r="B331">
            <v>3640</v>
          </cell>
          <cell r="C331">
            <v>156890</v>
          </cell>
          <cell r="D331">
            <v>131890</v>
          </cell>
          <cell r="E331">
            <v>82350</v>
          </cell>
          <cell r="F331">
            <v>69220</v>
          </cell>
          <cell r="G331">
            <v>56100</v>
          </cell>
          <cell r="H331">
            <v>42970</v>
          </cell>
          <cell r="I331">
            <v>30890</v>
          </cell>
          <cell r="J331">
            <v>25640</v>
          </cell>
          <cell r="K331">
            <v>20390</v>
          </cell>
          <cell r="L331">
            <v>16420</v>
          </cell>
          <cell r="M331">
            <v>13050</v>
          </cell>
        </row>
        <row r="332">
          <cell r="A332">
            <v>3640</v>
          </cell>
          <cell r="B332">
            <v>3660</v>
          </cell>
          <cell r="C332">
            <v>159330</v>
          </cell>
          <cell r="D332">
            <v>134330</v>
          </cell>
          <cell r="E332">
            <v>83910</v>
          </cell>
          <cell r="F332">
            <v>70790</v>
          </cell>
          <cell r="G332">
            <v>57660</v>
          </cell>
          <cell r="H332">
            <v>44540</v>
          </cell>
          <cell r="I332">
            <v>31510</v>
          </cell>
          <cell r="J332">
            <v>26260</v>
          </cell>
          <cell r="K332">
            <v>21010</v>
          </cell>
          <cell r="L332">
            <v>16830</v>
          </cell>
          <cell r="M332">
            <v>13450</v>
          </cell>
        </row>
        <row r="333">
          <cell r="A333">
            <v>3660</v>
          </cell>
          <cell r="B333">
            <v>3680</v>
          </cell>
          <cell r="C333">
            <v>161780</v>
          </cell>
          <cell r="D333">
            <v>136780</v>
          </cell>
          <cell r="E333">
            <v>85480</v>
          </cell>
          <cell r="F333">
            <v>72350</v>
          </cell>
          <cell r="G333">
            <v>59230</v>
          </cell>
          <cell r="H333">
            <v>46100</v>
          </cell>
          <cell r="I333">
            <v>32980</v>
          </cell>
          <cell r="J333">
            <v>26890</v>
          </cell>
          <cell r="K333">
            <v>21640</v>
          </cell>
          <cell r="L333">
            <v>17230</v>
          </cell>
          <cell r="M333">
            <v>13850</v>
          </cell>
        </row>
        <row r="334">
          <cell r="A334">
            <v>3680</v>
          </cell>
          <cell r="B334">
            <v>3700</v>
          </cell>
          <cell r="C334">
            <v>164220</v>
          </cell>
          <cell r="D334">
            <v>139220</v>
          </cell>
          <cell r="E334">
            <v>87040</v>
          </cell>
          <cell r="F334">
            <v>73920</v>
          </cell>
          <cell r="G334">
            <v>60790</v>
          </cell>
          <cell r="H334">
            <v>47670</v>
          </cell>
          <cell r="I334">
            <v>34540</v>
          </cell>
          <cell r="J334">
            <v>27510</v>
          </cell>
          <cell r="K334">
            <v>22260</v>
          </cell>
          <cell r="L334">
            <v>17630</v>
          </cell>
          <cell r="M334">
            <v>14260</v>
          </cell>
        </row>
        <row r="335">
          <cell r="A335">
            <v>3700</v>
          </cell>
          <cell r="B335">
            <v>3720</v>
          </cell>
          <cell r="C335">
            <v>166670</v>
          </cell>
          <cell r="D335">
            <v>141670</v>
          </cell>
          <cell r="E335">
            <v>88610</v>
          </cell>
          <cell r="F335">
            <v>75480</v>
          </cell>
          <cell r="G335">
            <v>62360</v>
          </cell>
          <cell r="H335">
            <v>49230</v>
          </cell>
          <cell r="I335">
            <v>36110</v>
          </cell>
          <cell r="J335">
            <v>28140</v>
          </cell>
          <cell r="K335">
            <v>22890</v>
          </cell>
          <cell r="L335">
            <v>18030</v>
          </cell>
          <cell r="M335">
            <v>14660</v>
          </cell>
        </row>
        <row r="336">
          <cell r="A336">
            <v>3720</v>
          </cell>
          <cell r="B336">
            <v>3740</v>
          </cell>
          <cell r="C336">
            <v>169110</v>
          </cell>
          <cell r="D336">
            <v>144110</v>
          </cell>
          <cell r="E336">
            <v>90170</v>
          </cell>
          <cell r="F336">
            <v>77050</v>
          </cell>
          <cell r="G336">
            <v>63920</v>
          </cell>
          <cell r="H336">
            <v>50800</v>
          </cell>
          <cell r="I336">
            <v>37670</v>
          </cell>
          <cell r="J336">
            <v>28770</v>
          </cell>
          <cell r="K336">
            <v>23520</v>
          </cell>
          <cell r="L336">
            <v>18440</v>
          </cell>
          <cell r="M336">
            <v>15060</v>
          </cell>
        </row>
        <row r="337">
          <cell r="A337">
            <v>3740</v>
          </cell>
          <cell r="B337">
            <v>3760</v>
          </cell>
          <cell r="C337">
            <v>171560</v>
          </cell>
          <cell r="D337">
            <v>146560</v>
          </cell>
          <cell r="E337">
            <v>91730</v>
          </cell>
          <cell r="F337">
            <v>78610</v>
          </cell>
          <cell r="G337">
            <v>65480</v>
          </cell>
          <cell r="H337">
            <v>52360</v>
          </cell>
          <cell r="I337">
            <v>39230</v>
          </cell>
          <cell r="J337">
            <v>29390</v>
          </cell>
          <cell r="K337">
            <v>24140</v>
          </cell>
          <cell r="L337">
            <v>18890</v>
          </cell>
          <cell r="M337">
            <v>15460</v>
          </cell>
        </row>
        <row r="338">
          <cell r="A338">
            <v>3760</v>
          </cell>
          <cell r="B338">
            <v>3780</v>
          </cell>
          <cell r="C338">
            <v>178920</v>
          </cell>
          <cell r="D338">
            <v>151090</v>
          </cell>
          <cell r="E338">
            <v>95250</v>
          </cell>
          <cell r="F338">
            <v>81630</v>
          </cell>
          <cell r="G338">
            <v>68510</v>
          </cell>
          <cell r="H338">
            <v>55380</v>
          </cell>
          <cell r="I338">
            <v>42260</v>
          </cell>
          <cell r="J338">
            <v>30600</v>
          </cell>
          <cell r="K338">
            <v>25350</v>
          </cell>
          <cell r="L338">
            <v>20100</v>
          </cell>
          <cell r="M338">
            <v>16240</v>
          </cell>
        </row>
        <row r="339">
          <cell r="A339">
            <v>3780</v>
          </cell>
          <cell r="B339">
            <v>3800</v>
          </cell>
          <cell r="C339">
            <v>181590</v>
          </cell>
          <cell r="D339">
            <v>153740</v>
          </cell>
          <cell r="E339">
            <v>97700</v>
          </cell>
          <cell r="F339">
            <v>83350</v>
          </cell>
          <cell r="G339">
            <v>70220</v>
          </cell>
          <cell r="H339">
            <v>57100</v>
          </cell>
          <cell r="I339">
            <v>43970</v>
          </cell>
          <cell r="J339">
            <v>31290</v>
          </cell>
          <cell r="K339">
            <v>26040</v>
          </cell>
          <cell r="L339">
            <v>20790</v>
          </cell>
          <cell r="M339">
            <v>16680</v>
          </cell>
        </row>
        <row r="340">
          <cell r="A340">
            <v>3800</v>
          </cell>
          <cell r="B340">
            <v>3820</v>
          </cell>
          <cell r="C340">
            <v>184260</v>
          </cell>
          <cell r="D340">
            <v>156400</v>
          </cell>
          <cell r="E340">
            <v>100140</v>
          </cell>
          <cell r="F340">
            <v>85060</v>
          </cell>
          <cell r="G340">
            <v>71930</v>
          </cell>
          <cell r="H340">
            <v>58810</v>
          </cell>
          <cell r="I340">
            <v>45680</v>
          </cell>
          <cell r="J340">
            <v>32560</v>
          </cell>
          <cell r="K340">
            <v>26720</v>
          </cell>
          <cell r="L340">
            <v>21470</v>
          </cell>
          <cell r="M340">
            <v>17120</v>
          </cell>
        </row>
        <row r="341">
          <cell r="A341">
            <v>3820</v>
          </cell>
          <cell r="B341">
            <v>3840</v>
          </cell>
          <cell r="C341">
            <v>186930</v>
          </cell>
          <cell r="D341">
            <v>159050</v>
          </cell>
          <cell r="E341">
            <v>102590</v>
          </cell>
          <cell r="F341">
            <v>86770</v>
          </cell>
          <cell r="G341">
            <v>73640</v>
          </cell>
          <cell r="H341">
            <v>60520</v>
          </cell>
          <cell r="I341">
            <v>47390</v>
          </cell>
          <cell r="J341">
            <v>34270</v>
          </cell>
          <cell r="K341">
            <v>27400</v>
          </cell>
          <cell r="L341">
            <v>22150</v>
          </cell>
          <cell r="M341">
            <v>17560</v>
          </cell>
        </row>
        <row r="342">
          <cell r="A342">
            <v>3840</v>
          </cell>
          <cell r="B342">
            <v>3860</v>
          </cell>
          <cell r="C342">
            <v>189600</v>
          </cell>
          <cell r="D342">
            <v>161710</v>
          </cell>
          <cell r="E342">
            <v>105030</v>
          </cell>
          <cell r="F342">
            <v>88480</v>
          </cell>
          <cell r="G342">
            <v>75350</v>
          </cell>
          <cell r="H342">
            <v>62230</v>
          </cell>
          <cell r="I342">
            <v>49100</v>
          </cell>
          <cell r="J342">
            <v>35980</v>
          </cell>
          <cell r="K342">
            <v>28090</v>
          </cell>
          <cell r="L342">
            <v>22840</v>
          </cell>
          <cell r="M342">
            <v>18000</v>
          </cell>
        </row>
        <row r="343">
          <cell r="A343">
            <v>3860</v>
          </cell>
          <cell r="B343">
            <v>3880</v>
          </cell>
          <cell r="C343">
            <v>192270</v>
          </cell>
          <cell r="D343">
            <v>164360</v>
          </cell>
          <cell r="E343">
            <v>107480</v>
          </cell>
          <cell r="F343">
            <v>90190</v>
          </cell>
          <cell r="G343">
            <v>77070</v>
          </cell>
          <cell r="H343">
            <v>63940</v>
          </cell>
          <cell r="I343">
            <v>50820</v>
          </cell>
          <cell r="J343">
            <v>37690</v>
          </cell>
          <cell r="K343">
            <v>28770</v>
          </cell>
          <cell r="L343">
            <v>23520</v>
          </cell>
          <cell r="M343">
            <v>18440</v>
          </cell>
        </row>
        <row r="344">
          <cell r="A344">
            <v>3880</v>
          </cell>
          <cell r="B344">
            <v>3900</v>
          </cell>
          <cell r="C344">
            <v>194940</v>
          </cell>
          <cell r="D344">
            <v>167020</v>
          </cell>
          <cell r="E344">
            <v>109920</v>
          </cell>
          <cell r="F344">
            <v>91900</v>
          </cell>
          <cell r="G344">
            <v>78780</v>
          </cell>
          <cell r="H344">
            <v>65650</v>
          </cell>
          <cell r="I344">
            <v>52530</v>
          </cell>
          <cell r="J344">
            <v>39400</v>
          </cell>
          <cell r="K344">
            <v>29460</v>
          </cell>
          <cell r="L344">
            <v>24210</v>
          </cell>
          <cell r="M344">
            <v>18960</v>
          </cell>
        </row>
        <row r="345">
          <cell r="A345">
            <v>3900</v>
          </cell>
          <cell r="B345">
            <v>3920</v>
          </cell>
          <cell r="C345">
            <v>197610</v>
          </cell>
          <cell r="D345">
            <v>169670</v>
          </cell>
          <cell r="E345">
            <v>112370</v>
          </cell>
          <cell r="F345">
            <v>93620</v>
          </cell>
          <cell r="G345">
            <v>80490</v>
          </cell>
          <cell r="H345">
            <v>67360</v>
          </cell>
          <cell r="I345">
            <v>54240</v>
          </cell>
          <cell r="J345">
            <v>41110</v>
          </cell>
          <cell r="K345">
            <v>30140</v>
          </cell>
          <cell r="L345">
            <v>24890</v>
          </cell>
          <cell r="M345">
            <v>19640</v>
          </cell>
        </row>
        <row r="346">
          <cell r="A346">
            <v>3920</v>
          </cell>
          <cell r="B346">
            <v>3940</v>
          </cell>
          <cell r="C346">
            <v>200280</v>
          </cell>
          <cell r="D346">
            <v>172330</v>
          </cell>
          <cell r="E346">
            <v>114810</v>
          </cell>
          <cell r="F346">
            <v>96060</v>
          </cell>
          <cell r="G346">
            <v>82200</v>
          </cell>
          <cell r="H346">
            <v>69080</v>
          </cell>
          <cell r="I346">
            <v>55950</v>
          </cell>
          <cell r="J346">
            <v>42830</v>
          </cell>
          <cell r="K346">
            <v>30830</v>
          </cell>
          <cell r="L346">
            <v>25580</v>
          </cell>
          <cell r="M346">
            <v>20330</v>
          </cell>
        </row>
        <row r="347">
          <cell r="A347">
            <v>3940</v>
          </cell>
          <cell r="B347">
            <v>3960</v>
          </cell>
          <cell r="C347">
            <v>202950</v>
          </cell>
          <cell r="D347">
            <v>174980</v>
          </cell>
          <cell r="E347">
            <v>117260</v>
          </cell>
          <cell r="F347">
            <v>98510</v>
          </cell>
          <cell r="G347">
            <v>83910</v>
          </cell>
          <cell r="H347">
            <v>70790</v>
          </cell>
          <cell r="I347">
            <v>57660</v>
          </cell>
          <cell r="J347">
            <v>44540</v>
          </cell>
          <cell r="K347">
            <v>31510</v>
          </cell>
          <cell r="L347">
            <v>26260</v>
          </cell>
          <cell r="M347">
            <v>21010</v>
          </cell>
        </row>
        <row r="348">
          <cell r="A348">
            <v>3960</v>
          </cell>
          <cell r="B348">
            <v>3980</v>
          </cell>
          <cell r="C348">
            <v>205620</v>
          </cell>
          <cell r="D348">
            <v>177640</v>
          </cell>
          <cell r="E348">
            <v>119700</v>
          </cell>
          <cell r="F348">
            <v>100950</v>
          </cell>
          <cell r="G348">
            <v>85620</v>
          </cell>
          <cell r="H348">
            <v>72500</v>
          </cell>
          <cell r="I348">
            <v>59370</v>
          </cell>
          <cell r="J348">
            <v>46250</v>
          </cell>
          <cell r="K348">
            <v>33120</v>
          </cell>
          <cell r="L348">
            <v>26950</v>
          </cell>
          <cell r="M348">
            <v>21700</v>
          </cell>
        </row>
        <row r="349">
          <cell r="A349">
            <v>3980</v>
          </cell>
          <cell r="B349">
            <v>4000</v>
          </cell>
          <cell r="C349">
            <v>208350</v>
          </cell>
          <cell r="D349">
            <v>180360</v>
          </cell>
          <cell r="E349">
            <v>122220</v>
          </cell>
          <cell r="F349">
            <v>103470</v>
          </cell>
          <cell r="G349">
            <v>87380</v>
          </cell>
          <cell r="H349">
            <v>74260</v>
          </cell>
          <cell r="I349">
            <v>61130</v>
          </cell>
          <cell r="J349">
            <v>48010</v>
          </cell>
          <cell r="K349">
            <v>34880</v>
          </cell>
          <cell r="L349">
            <v>27650</v>
          </cell>
          <cell r="M349">
            <v>22400</v>
          </cell>
        </row>
        <row r="350">
          <cell r="A350">
            <v>4000</v>
          </cell>
          <cell r="B350">
            <v>4020</v>
          </cell>
          <cell r="C350">
            <v>211160</v>
          </cell>
          <cell r="D350">
            <v>183150</v>
          </cell>
          <cell r="E350">
            <v>124800</v>
          </cell>
          <cell r="F350">
            <v>106050</v>
          </cell>
          <cell r="G350">
            <v>89190</v>
          </cell>
          <cell r="H350">
            <v>76060</v>
          </cell>
          <cell r="I350">
            <v>62940</v>
          </cell>
          <cell r="J350">
            <v>49810</v>
          </cell>
          <cell r="K350">
            <v>36690</v>
          </cell>
          <cell r="L350">
            <v>28370</v>
          </cell>
          <cell r="M350">
            <v>23120</v>
          </cell>
        </row>
        <row r="351">
          <cell r="A351">
            <v>4020</v>
          </cell>
          <cell r="B351">
            <v>4040</v>
          </cell>
          <cell r="C351">
            <v>213960</v>
          </cell>
          <cell r="D351">
            <v>185940</v>
          </cell>
          <cell r="E351">
            <v>127380</v>
          </cell>
          <cell r="F351">
            <v>108630</v>
          </cell>
          <cell r="G351">
            <v>90990</v>
          </cell>
          <cell r="H351">
            <v>77870</v>
          </cell>
          <cell r="I351">
            <v>64740</v>
          </cell>
          <cell r="J351">
            <v>51620</v>
          </cell>
          <cell r="K351">
            <v>38490</v>
          </cell>
          <cell r="L351">
            <v>29090</v>
          </cell>
          <cell r="M351">
            <v>23840</v>
          </cell>
        </row>
        <row r="352">
          <cell r="A352">
            <v>4040</v>
          </cell>
          <cell r="B352">
            <v>4060</v>
          </cell>
          <cell r="C352">
            <v>216770</v>
          </cell>
          <cell r="D352">
            <v>188730</v>
          </cell>
          <cell r="E352">
            <v>129960</v>
          </cell>
          <cell r="F352">
            <v>111210</v>
          </cell>
          <cell r="G352">
            <v>92800</v>
          </cell>
          <cell r="H352">
            <v>79680</v>
          </cell>
          <cell r="I352">
            <v>66550</v>
          </cell>
          <cell r="J352">
            <v>53430</v>
          </cell>
          <cell r="K352">
            <v>40300</v>
          </cell>
          <cell r="L352">
            <v>29820</v>
          </cell>
          <cell r="M352">
            <v>24570</v>
          </cell>
        </row>
        <row r="353">
          <cell r="A353">
            <v>4060</v>
          </cell>
          <cell r="B353">
            <v>4080</v>
          </cell>
          <cell r="C353">
            <v>219570</v>
          </cell>
          <cell r="D353">
            <v>191520</v>
          </cell>
          <cell r="E353">
            <v>132540</v>
          </cell>
          <cell r="F353">
            <v>113790</v>
          </cell>
          <cell r="G353">
            <v>95040</v>
          </cell>
          <cell r="H353">
            <v>81480</v>
          </cell>
          <cell r="I353">
            <v>68360</v>
          </cell>
          <cell r="J353">
            <v>55230</v>
          </cell>
          <cell r="K353">
            <v>42110</v>
          </cell>
          <cell r="L353">
            <v>30540</v>
          </cell>
          <cell r="M353">
            <v>25290</v>
          </cell>
        </row>
        <row r="354">
          <cell r="A354">
            <v>4080</v>
          </cell>
          <cell r="B354">
            <v>4100</v>
          </cell>
          <cell r="C354">
            <v>222380</v>
          </cell>
          <cell r="D354">
            <v>194310</v>
          </cell>
          <cell r="E354">
            <v>135120</v>
          </cell>
          <cell r="F354">
            <v>116370</v>
          </cell>
          <cell r="G354">
            <v>97620</v>
          </cell>
          <cell r="H354">
            <v>83290</v>
          </cell>
          <cell r="I354">
            <v>70160</v>
          </cell>
          <cell r="J354">
            <v>57040</v>
          </cell>
          <cell r="K354">
            <v>43910</v>
          </cell>
          <cell r="L354">
            <v>31260</v>
          </cell>
          <cell r="M354">
            <v>26010</v>
          </cell>
        </row>
        <row r="355">
          <cell r="A355">
            <v>4100</v>
          </cell>
          <cell r="B355">
            <v>4120</v>
          </cell>
          <cell r="C355">
            <v>225180</v>
          </cell>
          <cell r="D355">
            <v>197100</v>
          </cell>
          <cell r="E355">
            <v>137700</v>
          </cell>
          <cell r="F355">
            <v>118950</v>
          </cell>
          <cell r="G355">
            <v>100200</v>
          </cell>
          <cell r="H355">
            <v>85090</v>
          </cell>
          <cell r="I355">
            <v>71970</v>
          </cell>
          <cell r="J355">
            <v>58840</v>
          </cell>
          <cell r="K355">
            <v>45720</v>
          </cell>
          <cell r="L355">
            <v>32590</v>
          </cell>
          <cell r="M355">
            <v>26730</v>
          </cell>
        </row>
        <row r="356">
          <cell r="A356">
            <v>4120</v>
          </cell>
          <cell r="B356">
            <v>4140</v>
          </cell>
          <cell r="C356">
            <v>227990</v>
          </cell>
          <cell r="D356">
            <v>199890</v>
          </cell>
          <cell r="E356">
            <v>140280</v>
          </cell>
          <cell r="F356">
            <v>121530</v>
          </cell>
          <cell r="G356">
            <v>102780</v>
          </cell>
          <cell r="H356">
            <v>86900</v>
          </cell>
          <cell r="I356">
            <v>73770</v>
          </cell>
          <cell r="J356">
            <v>60650</v>
          </cell>
          <cell r="K356">
            <v>47520</v>
          </cell>
          <cell r="L356">
            <v>34400</v>
          </cell>
          <cell r="M356">
            <v>27460</v>
          </cell>
        </row>
        <row r="357">
          <cell r="A357">
            <v>4140</v>
          </cell>
          <cell r="B357">
            <v>4160</v>
          </cell>
          <cell r="C357">
            <v>230790</v>
          </cell>
          <cell r="D357">
            <v>202680</v>
          </cell>
          <cell r="E357">
            <v>142860</v>
          </cell>
          <cell r="F357">
            <v>124110</v>
          </cell>
          <cell r="G357">
            <v>105360</v>
          </cell>
          <cell r="H357">
            <v>88710</v>
          </cell>
          <cell r="I357">
            <v>75580</v>
          </cell>
          <cell r="J357">
            <v>62460</v>
          </cell>
          <cell r="K357">
            <v>49330</v>
          </cell>
          <cell r="L357">
            <v>36210</v>
          </cell>
          <cell r="M357">
            <v>28180</v>
          </cell>
        </row>
        <row r="358">
          <cell r="A358">
            <v>4160</v>
          </cell>
          <cell r="B358">
            <v>4180</v>
          </cell>
          <cell r="C358">
            <v>233600</v>
          </cell>
          <cell r="D358">
            <v>205470</v>
          </cell>
          <cell r="E358">
            <v>145440</v>
          </cell>
          <cell r="F358">
            <v>126690</v>
          </cell>
          <cell r="G358">
            <v>107940</v>
          </cell>
          <cell r="H358">
            <v>90510</v>
          </cell>
          <cell r="I358">
            <v>77390</v>
          </cell>
          <cell r="J358">
            <v>64260</v>
          </cell>
          <cell r="K358">
            <v>51140</v>
          </cell>
          <cell r="L358">
            <v>38010</v>
          </cell>
          <cell r="M358">
            <v>28900</v>
          </cell>
        </row>
        <row r="359">
          <cell r="A359">
            <v>4180</v>
          </cell>
          <cell r="B359">
            <v>4200</v>
          </cell>
          <cell r="C359">
            <v>236400</v>
          </cell>
          <cell r="D359">
            <v>208260</v>
          </cell>
          <cell r="E359">
            <v>148020</v>
          </cell>
          <cell r="F359">
            <v>129270</v>
          </cell>
          <cell r="G359">
            <v>110520</v>
          </cell>
          <cell r="H359">
            <v>92320</v>
          </cell>
          <cell r="I359">
            <v>79190</v>
          </cell>
          <cell r="J359">
            <v>66070</v>
          </cell>
          <cell r="K359">
            <v>52940</v>
          </cell>
          <cell r="L359">
            <v>39820</v>
          </cell>
          <cell r="M359">
            <v>29620</v>
          </cell>
        </row>
        <row r="360">
          <cell r="A360">
            <v>4200</v>
          </cell>
          <cell r="B360">
            <v>4220</v>
          </cell>
          <cell r="C360">
            <v>239210</v>
          </cell>
          <cell r="D360">
            <v>211050</v>
          </cell>
          <cell r="E360">
            <v>150600</v>
          </cell>
          <cell r="F360">
            <v>131850</v>
          </cell>
          <cell r="G360">
            <v>113100</v>
          </cell>
          <cell r="H360">
            <v>94350</v>
          </cell>
          <cell r="I360">
            <v>81000</v>
          </cell>
          <cell r="J360">
            <v>67870</v>
          </cell>
          <cell r="K360">
            <v>54750</v>
          </cell>
          <cell r="L360">
            <v>41620</v>
          </cell>
          <cell r="M360">
            <v>30350</v>
          </cell>
        </row>
        <row r="361">
          <cell r="A361">
            <v>4220</v>
          </cell>
          <cell r="B361">
            <v>4240</v>
          </cell>
          <cell r="C361">
            <v>242010</v>
          </cell>
          <cell r="D361">
            <v>213840</v>
          </cell>
          <cell r="E361">
            <v>153180</v>
          </cell>
          <cell r="F361">
            <v>134430</v>
          </cell>
          <cell r="G361">
            <v>115680</v>
          </cell>
          <cell r="H361">
            <v>96930</v>
          </cell>
          <cell r="I361">
            <v>82800</v>
          </cell>
          <cell r="J361">
            <v>69680</v>
          </cell>
          <cell r="K361">
            <v>56550</v>
          </cell>
          <cell r="L361">
            <v>43430</v>
          </cell>
          <cell r="M361">
            <v>31070</v>
          </cell>
        </row>
        <row r="362">
          <cell r="A362">
            <v>4240</v>
          </cell>
          <cell r="B362">
            <v>4260</v>
          </cell>
          <cell r="C362">
            <v>244820</v>
          </cell>
          <cell r="D362">
            <v>216630</v>
          </cell>
          <cell r="E362">
            <v>155760</v>
          </cell>
          <cell r="F362">
            <v>137010</v>
          </cell>
          <cell r="G362">
            <v>118260</v>
          </cell>
          <cell r="H362">
            <v>99510</v>
          </cell>
          <cell r="I362">
            <v>84610</v>
          </cell>
          <cell r="J362">
            <v>71490</v>
          </cell>
          <cell r="K362">
            <v>58360</v>
          </cell>
          <cell r="L362">
            <v>45240</v>
          </cell>
          <cell r="M362">
            <v>32110</v>
          </cell>
        </row>
        <row r="363">
          <cell r="A363">
            <v>4260</v>
          </cell>
          <cell r="B363">
            <v>4280</v>
          </cell>
          <cell r="C363">
            <v>247620</v>
          </cell>
          <cell r="D363">
            <v>219420</v>
          </cell>
          <cell r="E363">
            <v>158340</v>
          </cell>
          <cell r="F363">
            <v>139590</v>
          </cell>
          <cell r="G363">
            <v>120840</v>
          </cell>
          <cell r="H363">
            <v>102090</v>
          </cell>
          <cell r="I363">
            <v>86420</v>
          </cell>
          <cell r="J363">
            <v>73290</v>
          </cell>
          <cell r="K363">
            <v>60170</v>
          </cell>
          <cell r="L363">
            <v>47040</v>
          </cell>
          <cell r="M363">
            <v>33920</v>
          </cell>
        </row>
        <row r="364">
          <cell r="A364">
            <v>4280</v>
          </cell>
          <cell r="B364">
            <v>4300</v>
          </cell>
          <cell r="C364">
            <v>250430</v>
          </cell>
          <cell r="D364">
            <v>222210</v>
          </cell>
          <cell r="E364">
            <v>160920</v>
          </cell>
          <cell r="F364">
            <v>142170</v>
          </cell>
          <cell r="G364">
            <v>123420</v>
          </cell>
          <cell r="H364">
            <v>104670</v>
          </cell>
          <cell r="I364">
            <v>88220</v>
          </cell>
          <cell r="J364">
            <v>75100</v>
          </cell>
          <cell r="K364">
            <v>61970</v>
          </cell>
          <cell r="L364">
            <v>48850</v>
          </cell>
          <cell r="M364">
            <v>35720</v>
          </cell>
        </row>
        <row r="365">
          <cell r="A365">
            <v>4300</v>
          </cell>
          <cell r="B365">
            <v>4320</v>
          </cell>
          <cell r="C365">
            <v>253230</v>
          </cell>
          <cell r="D365">
            <v>225000</v>
          </cell>
          <cell r="E365">
            <v>163500</v>
          </cell>
          <cell r="F365">
            <v>144750</v>
          </cell>
          <cell r="G365">
            <v>126000</v>
          </cell>
          <cell r="H365">
            <v>107250</v>
          </cell>
          <cell r="I365">
            <v>90030</v>
          </cell>
          <cell r="J365">
            <v>76900</v>
          </cell>
          <cell r="K365">
            <v>63780</v>
          </cell>
          <cell r="L365">
            <v>50650</v>
          </cell>
          <cell r="M365">
            <v>37530</v>
          </cell>
        </row>
        <row r="366">
          <cell r="A366">
            <v>4320</v>
          </cell>
          <cell r="B366">
            <v>4340</v>
          </cell>
          <cell r="C366">
            <v>256040</v>
          </cell>
          <cell r="D366">
            <v>227790</v>
          </cell>
          <cell r="E366">
            <v>166080</v>
          </cell>
          <cell r="F366">
            <v>147330</v>
          </cell>
          <cell r="G366">
            <v>128580</v>
          </cell>
          <cell r="H366">
            <v>109830</v>
          </cell>
          <cell r="I366">
            <v>91830</v>
          </cell>
          <cell r="J366">
            <v>78710</v>
          </cell>
          <cell r="K366">
            <v>65580</v>
          </cell>
          <cell r="L366">
            <v>52460</v>
          </cell>
          <cell r="M366">
            <v>39330</v>
          </cell>
        </row>
        <row r="367">
          <cell r="A367">
            <v>4340</v>
          </cell>
          <cell r="B367">
            <v>4360</v>
          </cell>
          <cell r="C367">
            <v>258840</v>
          </cell>
          <cell r="D367">
            <v>230580</v>
          </cell>
          <cell r="E367">
            <v>168660</v>
          </cell>
          <cell r="F367">
            <v>149910</v>
          </cell>
          <cell r="G367">
            <v>131160</v>
          </cell>
          <cell r="H367">
            <v>112410</v>
          </cell>
          <cell r="I367">
            <v>93660</v>
          </cell>
          <cell r="J367">
            <v>80520</v>
          </cell>
          <cell r="K367">
            <v>67390</v>
          </cell>
          <cell r="L367">
            <v>54270</v>
          </cell>
          <cell r="M367">
            <v>41140</v>
          </cell>
        </row>
        <row r="368">
          <cell r="A368">
            <v>4360</v>
          </cell>
          <cell r="B368">
            <v>4380</v>
          </cell>
          <cell r="C368">
            <v>261650</v>
          </cell>
          <cell r="D368">
            <v>233370</v>
          </cell>
          <cell r="E368">
            <v>171240</v>
          </cell>
          <cell r="F368">
            <v>152490</v>
          </cell>
          <cell r="G368">
            <v>133740</v>
          </cell>
          <cell r="H368">
            <v>114990</v>
          </cell>
          <cell r="I368">
            <v>96240</v>
          </cell>
          <cell r="J368">
            <v>82320</v>
          </cell>
          <cell r="K368">
            <v>69200</v>
          </cell>
          <cell r="L368">
            <v>56070</v>
          </cell>
          <cell r="M368">
            <v>42950</v>
          </cell>
        </row>
        <row r="369">
          <cell r="A369">
            <v>4380</v>
          </cell>
          <cell r="B369">
            <v>4400</v>
          </cell>
          <cell r="C369">
            <v>264450</v>
          </cell>
          <cell r="D369">
            <v>236160</v>
          </cell>
          <cell r="E369">
            <v>173820</v>
          </cell>
          <cell r="F369">
            <v>155070</v>
          </cell>
          <cell r="G369">
            <v>136320</v>
          </cell>
          <cell r="H369">
            <v>117570</v>
          </cell>
          <cell r="I369">
            <v>98820</v>
          </cell>
          <cell r="J369">
            <v>84130</v>
          </cell>
          <cell r="K369">
            <v>71000</v>
          </cell>
          <cell r="L369">
            <v>57880</v>
          </cell>
          <cell r="M369">
            <v>44750</v>
          </cell>
        </row>
        <row r="370">
          <cell r="A370">
            <v>4400</v>
          </cell>
          <cell r="B370">
            <v>4420</v>
          </cell>
          <cell r="C370">
            <v>267260</v>
          </cell>
          <cell r="D370">
            <v>238950</v>
          </cell>
          <cell r="E370">
            <v>176400</v>
          </cell>
          <cell r="F370">
            <v>157650</v>
          </cell>
          <cell r="G370">
            <v>138900</v>
          </cell>
          <cell r="H370">
            <v>120150</v>
          </cell>
          <cell r="I370">
            <v>101400</v>
          </cell>
          <cell r="J370">
            <v>85930</v>
          </cell>
          <cell r="K370">
            <v>72810</v>
          </cell>
          <cell r="L370">
            <v>59680</v>
          </cell>
          <cell r="M370">
            <v>46560</v>
          </cell>
        </row>
        <row r="371">
          <cell r="A371">
            <v>4420</v>
          </cell>
          <cell r="B371">
            <v>4440</v>
          </cell>
          <cell r="C371">
            <v>270060</v>
          </cell>
          <cell r="D371">
            <v>241740</v>
          </cell>
          <cell r="E371">
            <v>178980</v>
          </cell>
          <cell r="F371">
            <v>160230</v>
          </cell>
          <cell r="G371">
            <v>141480</v>
          </cell>
          <cell r="H371">
            <v>122730</v>
          </cell>
          <cell r="I371">
            <v>103980</v>
          </cell>
          <cell r="J371">
            <v>87740</v>
          </cell>
          <cell r="K371">
            <v>74610</v>
          </cell>
          <cell r="L371">
            <v>61490</v>
          </cell>
          <cell r="M371">
            <v>48360</v>
          </cell>
        </row>
        <row r="372">
          <cell r="A372">
            <v>4440</v>
          </cell>
          <cell r="B372">
            <v>4460</v>
          </cell>
          <cell r="C372">
            <v>272870</v>
          </cell>
          <cell r="D372">
            <v>244530</v>
          </cell>
          <cell r="E372">
            <v>181560</v>
          </cell>
          <cell r="F372">
            <v>162810</v>
          </cell>
          <cell r="G372">
            <v>144060</v>
          </cell>
          <cell r="H372">
            <v>125310</v>
          </cell>
          <cell r="I372">
            <v>106560</v>
          </cell>
          <cell r="J372">
            <v>89550</v>
          </cell>
          <cell r="K372">
            <v>76420</v>
          </cell>
          <cell r="L372">
            <v>63300</v>
          </cell>
          <cell r="M372">
            <v>50170</v>
          </cell>
        </row>
        <row r="373">
          <cell r="A373">
            <v>4460</v>
          </cell>
          <cell r="B373">
            <v>4480</v>
          </cell>
          <cell r="C373">
            <v>275670</v>
          </cell>
          <cell r="D373">
            <v>247320</v>
          </cell>
          <cell r="E373">
            <v>184140</v>
          </cell>
          <cell r="F373">
            <v>165390</v>
          </cell>
          <cell r="G373">
            <v>146640</v>
          </cell>
          <cell r="H373">
            <v>127890</v>
          </cell>
          <cell r="I373">
            <v>109140</v>
          </cell>
          <cell r="J373">
            <v>91350</v>
          </cell>
          <cell r="K373">
            <v>78230</v>
          </cell>
          <cell r="L373">
            <v>65100</v>
          </cell>
          <cell r="M373">
            <v>51980</v>
          </cell>
        </row>
        <row r="374">
          <cell r="A374">
            <v>4480</v>
          </cell>
          <cell r="B374">
            <v>4500</v>
          </cell>
          <cell r="C374">
            <v>278480</v>
          </cell>
          <cell r="D374">
            <v>250110</v>
          </cell>
          <cell r="E374">
            <v>186720</v>
          </cell>
          <cell r="F374">
            <v>167970</v>
          </cell>
          <cell r="G374">
            <v>149220</v>
          </cell>
          <cell r="H374">
            <v>130470</v>
          </cell>
          <cell r="I374">
            <v>111720</v>
          </cell>
          <cell r="J374">
            <v>93160</v>
          </cell>
          <cell r="K374">
            <v>80030</v>
          </cell>
          <cell r="L374">
            <v>66910</v>
          </cell>
          <cell r="M374">
            <v>53780</v>
          </cell>
        </row>
        <row r="375">
          <cell r="A375">
            <v>4500</v>
          </cell>
          <cell r="B375">
            <v>4520</v>
          </cell>
          <cell r="C375">
            <v>281280</v>
          </cell>
          <cell r="D375">
            <v>252900</v>
          </cell>
          <cell r="E375">
            <v>189300</v>
          </cell>
          <cell r="F375">
            <v>170550</v>
          </cell>
          <cell r="G375">
            <v>151800</v>
          </cell>
          <cell r="H375">
            <v>133050</v>
          </cell>
          <cell r="I375">
            <v>114300</v>
          </cell>
          <cell r="J375">
            <v>95550</v>
          </cell>
          <cell r="K375">
            <v>81840</v>
          </cell>
          <cell r="L375">
            <v>68710</v>
          </cell>
          <cell r="M375">
            <v>55590</v>
          </cell>
        </row>
        <row r="376">
          <cell r="A376">
            <v>4520</v>
          </cell>
          <cell r="B376">
            <v>4540</v>
          </cell>
          <cell r="C376">
            <v>284090</v>
          </cell>
          <cell r="D376">
            <v>255690</v>
          </cell>
          <cell r="E376">
            <v>191880</v>
          </cell>
          <cell r="F376">
            <v>173130</v>
          </cell>
          <cell r="G376">
            <v>154380</v>
          </cell>
          <cell r="H376">
            <v>135630</v>
          </cell>
          <cell r="I376">
            <v>116880</v>
          </cell>
          <cell r="J376">
            <v>98130</v>
          </cell>
          <cell r="K376">
            <v>83640</v>
          </cell>
          <cell r="L376">
            <v>70520</v>
          </cell>
          <cell r="M376">
            <v>57390</v>
          </cell>
        </row>
        <row r="377">
          <cell r="A377">
            <v>4540</v>
          </cell>
          <cell r="B377">
            <v>4560</v>
          </cell>
          <cell r="C377">
            <v>286890</v>
          </cell>
          <cell r="D377">
            <v>258480</v>
          </cell>
          <cell r="E377">
            <v>194460</v>
          </cell>
          <cell r="F377">
            <v>175710</v>
          </cell>
          <cell r="G377">
            <v>156960</v>
          </cell>
          <cell r="H377">
            <v>138210</v>
          </cell>
          <cell r="I377">
            <v>119460</v>
          </cell>
          <cell r="J377">
            <v>100710</v>
          </cell>
          <cell r="K377">
            <v>85450</v>
          </cell>
          <cell r="L377">
            <v>72330</v>
          </cell>
          <cell r="M377">
            <v>59200</v>
          </cell>
        </row>
        <row r="378">
          <cell r="A378">
            <v>4560</v>
          </cell>
          <cell r="B378">
            <v>4580</v>
          </cell>
          <cell r="C378">
            <v>289700</v>
          </cell>
          <cell r="D378">
            <v>261270</v>
          </cell>
          <cell r="E378">
            <v>197040</v>
          </cell>
          <cell r="F378">
            <v>178290</v>
          </cell>
          <cell r="G378">
            <v>159540</v>
          </cell>
          <cell r="H378">
            <v>140790</v>
          </cell>
          <cell r="I378">
            <v>122040</v>
          </cell>
          <cell r="J378">
            <v>103290</v>
          </cell>
          <cell r="K378">
            <v>87260</v>
          </cell>
          <cell r="L378">
            <v>74130</v>
          </cell>
          <cell r="M378">
            <v>61010</v>
          </cell>
        </row>
        <row r="379">
          <cell r="A379">
            <v>4580</v>
          </cell>
          <cell r="B379">
            <v>4600</v>
          </cell>
          <cell r="C379">
            <v>295000</v>
          </cell>
          <cell r="D379">
            <v>266560</v>
          </cell>
          <cell r="E379">
            <v>202120</v>
          </cell>
          <cell r="F379">
            <v>183370</v>
          </cell>
          <cell r="G379">
            <v>164620</v>
          </cell>
          <cell r="H379">
            <v>145870</v>
          </cell>
          <cell r="I379">
            <v>127120</v>
          </cell>
          <cell r="J379">
            <v>108370</v>
          </cell>
          <cell r="K379">
            <v>89620</v>
          </cell>
          <cell r="L379">
            <v>75940</v>
          </cell>
          <cell r="M379">
            <v>62810</v>
          </cell>
        </row>
        <row r="380">
          <cell r="A380">
            <v>4600</v>
          </cell>
          <cell r="B380">
            <v>4620</v>
          </cell>
          <cell r="C380">
            <v>297810</v>
          </cell>
          <cell r="D380">
            <v>269350</v>
          </cell>
          <cell r="E380">
            <v>204700</v>
          </cell>
          <cell r="F380">
            <v>185950</v>
          </cell>
          <cell r="G380">
            <v>167200</v>
          </cell>
          <cell r="H380">
            <v>148450</v>
          </cell>
          <cell r="I380">
            <v>129700</v>
          </cell>
          <cell r="J380">
            <v>110950</v>
          </cell>
          <cell r="K380">
            <v>92200</v>
          </cell>
          <cell r="L380">
            <v>77740</v>
          </cell>
          <cell r="M380">
            <v>64620</v>
          </cell>
        </row>
        <row r="381">
          <cell r="A381">
            <v>4620</v>
          </cell>
          <cell r="B381">
            <v>4640</v>
          </cell>
          <cell r="C381">
            <v>300610</v>
          </cell>
          <cell r="D381">
            <v>272140</v>
          </cell>
          <cell r="E381">
            <v>207280</v>
          </cell>
          <cell r="F381">
            <v>188530</v>
          </cell>
          <cell r="G381">
            <v>169780</v>
          </cell>
          <cell r="H381">
            <v>151030</v>
          </cell>
          <cell r="I381">
            <v>132280</v>
          </cell>
          <cell r="J381">
            <v>113530</v>
          </cell>
          <cell r="K381">
            <v>94780</v>
          </cell>
          <cell r="L381">
            <v>79550</v>
          </cell>
          <cell r="M381">
            <v>66420</v>
          </cell>
        </row>
        <row r="382">
          <cell r="A382">
            <v>4640</v>
          </cell>
          <cell r="B382">
            <v>4660</v>
          </cell>
          <cell r="C382">
            <v>303420</v>
          </cell>
          <cell r="D382">
            <v>274930</v>
          </cell>
          <cell r="E382">
            <v>209860</v>
          </cell>
          <cell r="F382">
            <v>191110</v>
          </cell>
          <cell r="G382">
            <v>172360</v>
          </cell>
          <cell r="H382">
            <v>153610</v>
          </cell>
          <cell r="I382">
            <v>134860</v>
          </cell>
          <cell r="J382">
            <v>116110</v>
          </cell>
          <cell r="K382">
            <v>97360</v>
          </cell>
          <cell r="L382">
            <v>81360</v>
          </cell>
          <cell r="M382">
            <v>68230</v>
          </cell>
        </row>
        <row r="383">
          <cell r="A383">
            <v>4660</v>
          </cell>
          <cell r="B383">
            <v>4680</v>
          </cell>
          <cell r="C383">
            <v>306220</v>
          </cell>
          <cell r="D383">
            <v>277720</v>
          </cell>
          <cell r="E383">
            <v>212440</v>
          </cell>
          <cell r="F383">
            <v>193690</v>
          </cell>
          <cell r="G383">
            <v>174940</v>
          </cell>
          <cell r="H383">
            <v>156190</v>
          </cell>
          <cell r="I383">
            <v>137440</v>
          </cell>
          <cell r="J383">
            <v>118690</v>
          </cell>
          <cell r="K383">
            <v>99940</v>
          </cell>
          <cell r="L383">
            <v>83160</v>
          </cell>
          <cell r="M383">
            <v>70040</v>
          </cell>
        </row>
        <row r="384">
          <cell r="A384">
            <v>4680</v>
          </cell>
          <cell r="B384">
            <v>4700</v>
          </cell>
          <cell r="C384">
            <v>309030</v>
          </cell>
          <cell r="D384">
            <v>280510</v>
          </cell>
          <cell r="E384">
            <v>215020</v>
          </cell>
          <cell r="F384">
            <v>196270</v>
          </cell>
          <cell r="G384">
            <v>177520</v>
          </cell>
          <cell r="H384">
            <v>158770</v>
          </cell>
          <cell r="I384">
            <v>140020</v>
          </cell>
          <cell r="J384">
            <v>121270</v>
          </cell>
          <cell r="K384">
            <v>102520</v>
          </cell>
          <cell r="L384">
            <v>84970</v>
          </cell>
          <cell r="M384">
            <v>71840</v>
          </cell>
        </row>
        <row r="385">
          <cell r="A385">
            <v>4700</v>
          </cell>
          <cell r="B385">
            <v>4720</v>
          </cell>
          <cell r="C385">
            <v>311830</v>
          </cell>
          <cell r="D385">
            <v>283300</v>
          </cell>
          <cell r="E385">
            <v>217600</v>
          </cell>
          <cell r="F385">
            <v>198850</v>
          </cell>
          <cell r="G385">
            <v>180100</v>
          </cell>
          <cell r="H385">
            <v>161350</v>
          </cell>
          <cell r="I385">
            <v>142600</v>
          </cell>
          <cell r="J385">
            <v>123850</v>
          </cell>
          <cell r="K385">
            <v>105100</v>
          </cell>
          <cell r="L385">
            <v>86770</v>
          </cell>
          <cell r="M385">
            <v>73650</v>
          </cell>
        </row>
        <row r="386">
          <cell r="A386">
            <v>4720</v>
          </cell>
          <cell r="B386">
            <v>4740</v>
          </cell>
          <cell r="C386">
            <v>314640</v>
          </cell>
          <cell r="D386">
            <v>286090</v>
          </cell>
          <cell r="E386">
            <v>220180</v>
          </cell>
          <cell r="F386">
            <v>201430</v>
          </cell>
          <cell r="G386">
            <v>182680</v>
          </cell>
          <cell r="H386">
            <v>163930</v>
          </cell>
          <cell r="I386">
            <v>145180</v>
          </cell>
          <cell r="J386">
            <v>126430</v>
          </cell>
          <cell r="K386">
            <v>107680</v>
          </cell>
          <cell r="L386">
            <v>88930</v>
          </cell>
          <cell r="M386">
            <v>75450</v>
          </cell>
        </row>
        <row r="387">
          <cell r="A387">
            <v>4740</v>
          </cell>
          <cell r="B387">
            <v>4760</v>
          </cell>
          <cell r="C387">
            <v>317440</v>
          </cell>
          <cell r="D387">
            <v>288880</v>
          </cell>
          <cell r="E387">
            <v>222760</v>
          </cell>
          <cell r="F387">
            <v>204010</v>
          </cell>
          <cell r="G387">
            <v>185260</v>
          </cell>
          <cell r="H387">
            <v>166510</v>
          </cell>
          <cell r="I387">
            <v>147760</v>
          </cell>
          <cell r="J387">
            <v>129010</v>
          </cell>
          <cell r="K387">
            <v>110260</v>
          </cell>
          <cell r="L387">
            <v>91510</v>
          </cell>
          <cell r="M387">
            <v>77260</v>
          </cell>
        </row>
        <row r="388">
          <cell r="A388">
            <v>4760</v>
          </cell>
          <cell r="B388">
            <v>4780</v>
          </cell>
          <cell r="C388">
            <v>320250</v>
          </cell>
          <cell r="D388">
            <v>291670</v>
          </cell>
          <cell r="E388">
            <v>225340</v>
          </cell>
          <cell r="F388">
            <v>206590</v>
          </cell>
          <cell r="G388">
            <v>187840</v>
          </cell>
          <cell r="H388">
            <v>169090</v>
          </cell>
          <cell r="I388">
            <v>150340</v>
          </cell>
          <cell r="J388">
            <v>131590</v>
          </cell>
          <cell r="K388">
            <v>112840</v>
          </cell>
          <cell r="L388">
            <v>94090</v>
          </cell>
          <cell r="M388">
            <v>79070</v>
          </cell>
        </row>
        <row r="389">
          <cell r="A389">
            <v>4780</v>
          </cell>
          <cell r="B389">
            <v>4800</v>
          </cell>
          <cell r="C389">
            <v>323050</v>
          </cell>
          <cell r="D389">
            <v>294460</v>
          </cell>
          <cell r="E389">
            <v>227920</v>
          </cell>
          <cell r="F389">
            <v>209170</v>
          </cell>
          <cell r="G389">
            <v>190420</v>
          </cell>
          <cell r="H389">
            <v>171670</v>
          </cell>
          <cell r="I389">
            <v>152920</v>
          </cell>
          <cell r="J389">
            <v>134170</v>
          </cell>
          <cell r="K389">
            <v>115420</v>
          </cell>
          <cell r="L389">
            <v>96670</v>
          </cell>
          <cell r="M389">
            <v>80870</v>
          </cell>
        </row>
        <row r="390">
          <cell r="A390">
            <v>4800</v>
          </cell>
          <cell r="B390">
            <v>4820</v>
          </cell>
          <cell r="C390">
            <v>325860</v>
          </cell>
          <cell r="D390">
            <v>297250</v>
          </cell>
          <cell r="E390">
            <v>230500</v>
          </cell>
          <cell r="F390">
            <v>211750</v>
          </cell>
          <cell r="G390">
            <v>193000</v>
          </cell>
          <cell r="H390">
            <v>174250</v>
          </cell>
          <cell r="I390">
            <v>155500</v>
          </cell>
          <cell r="J390">
            <v>136750</v>
          </cell>
          <cell r="K390">
            <v>118000</v>
          </cell>
          <cell r="L390">
            <v>99250</v>
          </cell>
          <cell r="M390">
            <v>82680</v>
          </cell>
        </row>
        <row r="391">
          <cell r="A391">
            <v>4820</v>
          </cell>
          <cell r="B391">
            <v>4840</v>
          </cell>
          <cell r="C391">
            <v>328660</v>
          </cell>
          <cell r="D391">
            <v>300040</v>
          </cell>
          <cell r="E391">
            <v>233080</v>
          </cell>
          <cell r="F391">
            <v>214330</v>
          </cell>
          <cell r="G391">
            <v>195580</v>
          </cell>
          <cell r="H391">
            <v>176830</v>
          </cell>
          <cell r="I391">
            <v>158080</v>
          </cell>
          <cell r="J391">
            <v>139330</v>
          </cell>
          <cell r="K391">
            <v>120580</v>
          </cell>
          <cell r="L391">
            <v>101830</v>
          </cell>
          <cell r="M391">
            <v>84480</v>
          </cell>
        </row>
        <row r="392">
          <cell r="A392">
            <v>4840</v>
          </cell>
          <cell r="B392">
            <v>4860</v>
          </cell>
          <cell r="C392">
            <v>331470</v>
          </cell>
          <cell r="D392">
            <v>302830</v>
          </cell>
          <cell r="E392">
            <v>235660</v>
          </cell>
          <cell r="F392">
            <v>216910</v>
          </cell>
          <cell r="G392">
            <v>198160</v>
          </cell>
          <cell r="H392">
            <v>179410</v>
          </cell>
          <cell r="I392">
            <v>160660</v>
          </cell>
          <cell r="J392">
            <v>141910</v>
          </cell>
          <cell r="K392">
            <v>123160</v>
          </cell>
          <cell r="L392">
            <v>104410</v>
          </cell>
          <cell r="M392">
            <v>86290</v>
          </cell>
        </row>
        <row r="393">
          <cell r="A393">
            <v>4860</v>
          </cell>
          <cell r="B393">
            <v>4880</v>
          </cell>
          <cell r="C393">
            <v>334270</v>
          </cell>
          <cell r="D393">
            <v>305620</v>
          </cell>
          <cell r="E393">
            <v>238240</v>
          </cell>
          <cell r="F393">
            <v>219490</v>
          </cell>
          <cell r="G393">
            <v>200740</v>
          </cell>
          <cell r="H393">
            <v>181990</v>
          </cell>
          <cell r="I393">
            <v>163240</v>
          </cell>
          <cell r="J393">
            <v>144490</v>
          </cell>
          <cell r="K393">
            <v>125740</v>
          </cell>
          <cell r="L393">
            <v>106990</v>
          </cell>
          <cell r="M393">
            <v>88240</v>
          </cell>
        </row>
        <row r="394">
          <cell r="A394">
            <v>4880</v>
          </cell>
          <cell r="B394">
            <v>4900</v>
          </cell>
          <cell r="C394">
            <v>337080</v>
          </cell>
          <cell r="D394">
            <v>308410</v>
          </cell>
          <cell r="E394">
            <v>240820</v>
          </cell>
          <cell r="F394">
            <v>222070</v>
          </cell>
          <cell r="G394">
            <v>203320</v>
          </cell>
          <cell r="H394">
            <v>184570</v>
          </cell>
          <cell r="I394">
            <v>165820</v>
          </cell>
          <cell r="J394">
            <v>147070</v>
          </cell>
          <cell r="K394">
            <v>128320</v>
          </cell>
          <cell r="L394">
            <v>109570</v>
          </cell>
          <cell r="M394">
            <v>90820</v>
          </cell>
        </row>
        <row r="395">
          <cell r="A395">
            <v>4900</v>
          </cell>
          <cell r="B395">
            <v>4920</v>
          </cell>
          <cell r="C395">
            <v>339880</v>
          </cell>
          <cell r="D395">
            <v>311200</v>
          </cell>
          <cell r="E395">
            <v>243400</v>
          </cell>
          <cell r="F395">
            <v>224650</v>
          </cell>
          <cell r="G395">
            <v>205900</v>
          </cell>
          <cell r="H395">
            <v>187150</v>
          </cell>
          <cell r="I395">
            <v>168400</v>
          </cell>
          <cell r="J395">
            <v>149650</v>
          </cell>
          <cell r="K395">
            <v>130900</v>
          </cell>
          <cell r="L395">
            <v>112150</v>
          </cell>
          <cell r="M395">
            <v>93400</v>
          </cell>
        </row>
        <row r="396">
          <cell r="A396">
            <v>4920</v>
          </cell>
          <cell r="B396">
            <v>4940</v>
          </cell>
          <cell r="C396">
            <v>342690</v>
          </cell>
          <cell r="D396">
            <v>313990</v>
          </cell>
          <cell r="E396">
            <v>245980</v>
          </cell>
          <cell r="F396">
            <v>227230</v>
          </cell>
          <cell r="G396">
            <v>208480</v>
          </cell>
          <cell r="H396">
            <v>189730</v>
          </cell>
          <cell r="I396">
            <v>170980</v>
          </cell>
          <cell r="J396">
            <v>152230</v>
          </cell>
          <cell r="K396">
            <v>133480</v>
          </cell>
          <cell r="L396">
            <v>114730</v>
          </cell>
          <cell r="M396">
            <v>95980</v>
          </cell>
        </row>
        <row r="397">
          <cell r="A397">
            <v>4940</v>
          </cell>
          <cell r="B397">
            <v>4960</v>
          </cell>
          <cell r="C397">
            <v>345490</v>
          </cell>
          <cell r="D397">
            <v>316780</v>
          </cell>
          <cell r="E397">
            <v>248560</v>
          </cell>
          <cell r="F397">
            <v>229810</v>
          </cell>
          <cell r="G397">
            <v>211060</v>
          </cell>
          <cell r="H397">
            <v>192310</v>
          </cell>
          <cell r="I397">
            <v>173560</v>
          </cell>
          <cell r="J397">
            <v>154810</v>
          </cell>
          <cell r="K397">
            <v>136060</v>
          </cell>
          <cell r="L397">
            <v>117310</v>
          </cell>
          <cell r="M397">
            <v>98560</v>
          </cell>
        </row>
        <row r="398">
          <cell r="A398">
            <v>4960</v>
          </cell>
          <cell r="B398">
            <v>4980</v>
          </cell>
          <cell r="C398">
            <v>348300</v>
          </cell>
          <cell r="D398">
            <v>319570</v>
          </cell>
          <cell r="E398">
            <v>251140</v>
          </cell>
          <cell r="F398">
            <v>232390</v>
          </cell>
          <cell r="G398">
            <v>213640</v>
          </cell>
          <cell r="H398">
            <v>194890</v>
          </cell>
          <cell r="I398">
            <v>176140</v>
          </cell>
          <cell r="J398">
            <v>157390</v>
          </cell>
          <cell r="K398">
            <v>138640</v>
          </cell>
          <cell r="L398">
            <v>119890</v>
          </cell>
          <cell r="M398">
            <v>101140</v>
          </cell>
        </row>
        <row r="399">
          <cell r="A399">
            <v>4980</v>
          </cell>
          <cell r="B399">
            <v>5000</v>
          </cell>
          <cell r="C399">
            <v>351100</v>
          </cell>
          <cell r="D399">
            <v>322360</v>
          </cell>
          <cell r="E399">
            <v>253720</v>
          </cell>
          <cell r="F399">
            <v>234970</v>
          </cell>
          <cell r="G399">
            <v>216220</v>
          </cell>
          <cell r="H399">
            <v>197470</v>
          </cell>
          <cell r="I399">
            <v>178720</v>
          </cell>
          <cell r="J399">
            <v>159970</v>
          </cell>
          <cell r="K399">
            <v>141220</v>
          </cell>
          <cell r="L399">
            <v>122470</v>
          </cell>
          <cell r="M399">
            <v>103720</v>
          </cell>
        </row>
        <row r="400">
          <cell r="A400">
            <v>5000</v>
          </cell>
          <cell r="B400">
            <v>5020</v>
          </cell>
          <cell r="C400">
            <v>353910</v>
          </cell>
          <cell r="D400">
            <v>325150</v>
          </cell>
          <cell r="E400">
            <v>256300</v>
          </cell>
          <cell r="F400">
            <v>237550</v>
          </cell>
          <cell r="G400">
            <v>218800</v>
          </cell>
          <cell r="H400">
            <v>200050</v>
          </cell>
          <cell r="I400">
            <v>181300</v>
          </cell>
          <cell r="J400">
            <v>162550</v>
          </cell>
          <cell r="K400">
            <v>143800</v>
          </cell>
          <cell r="L400">
            <v>125050</v>
          </cell>
          <cell r="M400">
            <v>106300</v>
          </cell>
        </row>
        <row r="401">
          <cell r="A401">
            <v>5020</v>
          </cell>
          <cell r="B401">
            <v>5040</v>
          </cell>
          <cell r="C401">
            <v>356710</v>
          </cell>
          <cell r="D401">
            <v>327940</v>
          </cell>
          <cell r="E401">
            <v>258880</v>
          </cell>
          <cell r="F401">
            <v>240130</v>
          </cell>
          <cell r="G401">
            <v>221380</v>
          </cell>
          <cell r="H401">
            <v>202630</v>
          </cell>
          <cell r="I401">
            <v>183880</v>
          </cell>
          <cell r="J401">
            <v>165130</v>
          </cell>
          <cell r="K401">
            <v>146380</v>
          </cell>
          <cell r="L401">
            <v>127630</v>
          </cell>
          <cell r="M401">
            <v>108880</v>
          </cell>
        </row>
        <row r="402">
          <cell r="A402">
            <v>5040</v>
          </cell>
          <cell r="B402">
            <v>5060</v>
          </cell>
          <cell r="C402">
            <v>359520</v>
          </cell>
          <cell r="D402">
            <v>330730</v>
          </cell>
          <cell r="E402">
            <v>261460</v>
          </cell>
          <cell r="F402">
            <v>242710</v>
          </cell>
          <cell r="G402">
            <v>223960</v>
          </cell>
          <cell r="H402">
            <v>205210</v>
          </cell>
          <cell r="I402">
            <v>186460</v>
          </cell>
          <cell r="J402">
            <v>167710</v>
          </cell>
          <cell r="K402">
            <v>148960</v>
          </cell>
          <cell r="L402">
            <v>130210</v>
          </cell>
          <cell r="M402">
            <v>111460</v>
          </cell>
        </row>
        <row r="403">
          <cell r="A403">
            <v>5060</v>
          </cell>
          <cell r="B403">
            <v>5080</v>
          </cell>
          <cell r="C403">
            <v>362320</v>
          </cell>
          <cell r="D403">
            <v>333520</v>
          </cell>
          <cell r="E403">
            <v>264040</v>
          </cell>
          <cell r="F403">
            <v>245290</v>
          </cell>
          <cell r="G403">
            <v>226540</v>
          </cell>
          <cell r="H403">
            <v>207790</v>
          </cell>
          <cell r="I403">
            <v>189040</v>
          </cell>
          <cell r="J403">
            <v>170290</v>
          </cell>
          <cell r="K403">
            <v>151540</v>
          </cell>
          <cell r="L403">
            <v>132790</v>
          </cell>
          <cell r="M403">
            <v>114040</v>
          </cell>
        </row>
        <row r="404">
          <cell r="A404">
            <v>5080</v>
          </cell>
          <cell r="B404">
            <v>5100</v>
          </cell>
          <cell r="C404">
            <v>365130</v>
          </cell>
          <cell r="D404">
            <v>336310</v>
          </cell>
          <cell r="E404">
            <v>266620</v>
          </cell>
          <cell r="F404">
            <v>247870</v>
          </cell>
          <cell r="G404">
            <v>229120</v>
          </cell>
          <cell r="H404">
            <v>210370</v>
          </cell>
          <cell r="I404">
            <v>191620</v>
          </cell>
          <cell r="J404">
            <v>172870</v>
          </cell>
          <cell r="K404">
            <v>154120</v>
          </cell>
          <cell r="L404">
            <v>135370</v>
          </cell>
          <cell r="M404">
            <v>116620</v>
          </cell>
        </row>
        <row r="405">
          <cell r="A405">
            <v>5100</v>
          </cell>
          <cell r="B405">
            <v>5120</v>
          </cell>
          <cell r="C405">
            <v>367930</v>
          </cell>
          <cell r="D405">
            <v>339100</v>
          </cell>
          <cell r="E405">
            <v>269200</v>
          </cell>
          <cell r="F405">
            <v>250450</v>
          </cell>
          <cell r="G405">
            <v>231700</v>
          </cell>
          <cell r="H405">
            <v>212950</v>
          </cell>
          <cell r="I405">
            <v>194200</v>
          </cell>
          <cell r="J405">
            <v>175450</v>
          </cell>
          <cell r="K405">
            <v>156700</v>
          </cell>
          <cell r="L405">
            <v>137950</v>
          </cell>
          <cell r="M405">
            <v>119200</v>
          </cell>
        </row>
        <row r="406">
          <cell r="A406">
            <v>5120</v>
          </cell>
          <cell r="B406">
            <v>5140</v>
          </cell>
          <cell r="C406">
            <v>370740</v>
          </cell>
          <cell r="D406">
            <v>341890</v>
          </cell>
          <cell r="E406">
            <v>271780</v>
          </cell>
          <cell r="F406">
            <v>253030</v>
          </cell>
          <cell r="G406">
            <v>234280</v>
          </cell>
          <cell r="H406">
            <v>215530</v>
          </cell>
          <cell r="I406">
            <v>196780</v>
          </cell>
          <cell r="J406">
            <v>178030</v>
          </cell>
          <cell r="K406">
            <v>159280</v>
          </cell>
          <cell r="L406">
            <v>140530</v>
          </cell>
          <cell r="M406">
            <v>121780</v>
          </cell>
        </row>
        <row r="407">
          <cell r="A407">
            <v>5140</v>
          </cell>
          <cell r="B407">
            <v>5160</v>
          </cell>
          <cell r="C407">
            <v>373540</v>
          </cell>
          <cell r="D407">
            <v>344680</v>
          </cell>
          <cell r="E407">
            <v>274360</v>
          </cell>
          <cell r="F407">
            <v>255610</v>
          </cell>
          <cell r="G407">
            <v>236860</v>
          </cell>
          <cell r="H407">
            <v>218110</v>
          </cell>
          <cell r="I407">
            <v>199360</v>
          </cell>
          <cell r="J407">
            <v>180610</v>
          </cell>
          <cell r="K407">
            <v>161860</v>
          </cell>
          <cell r="L407">
            <v>143110</v>
          </cell>
          <cell r="M407">
            <v>124360</v>
          </cell>
        </row>
        <row r="408">
          <cell r="A408">
            <v>5160</v>
          </cell>
          <cell r="B408">
            <v>5180</v>
          </cell>
          <cell r="C408">
            <v>376350</v>
          </cell>
          <cell r="D408">
            <v>347470</v>
          </cell>
          <cell r="E408">
            <v>276940</v>
          </cell>
          <cell r="F408">
            <v>258190</v>
          </cell>
          <cell r="G408">
            <v>239440</v>
          </cell>
          <cell r="H408">
            <v>220690</v>
          </cell>
          <cell r="I408">
            <v>201940</v>
          </cell>
          <cell r="J408">
            <v>183190</v>
          </cell>
          <cell r="K408">
            <v>164440</v>
          </cell>
          <cell r="L408">
            <v>145690</v>
          </cell>
          <cell r="M408">
            <v>126940</v>
          </cell>
        </row>
        <row r="409">
          <cell r="A409">
            <v>5180</v>
          </cell>
          <cell r="B409">
            <v>5200</v>
          </cell>
          <cell r="C409">
            <v>379150</v>
          </cell>
          <cell r="D409">
            <v>350260</v>
          </cell>
          <cell r="E409">
            <v>279520</v>
          </cell>
          <cell r="F409">
            <v>260770</v>
          </cell>
          <cell r="G409">
            <v>242020</v>
          </cell>
          <cell r="H409">
            <v>223270</v>
          </cell>
          <cell r="I409">
            <v>204520</v>
          </cell>
          <cell r="J409">
            <v>185770</v>
          </cell>
          <cell r="K409">
            <v>167020</v>
          </cell>
          <cell r="L409">
            <v>148270</v>
          </cell>
          <cell r="M409">
            <v>129520</v>
          </cell>
        </row>
        <row r="410">
          <cell r="A410">
            <v>5200</v>
          </cell>
          <cell r="B410">
            <v>5220</v>
          </cell>
          <cell r="C410">
            <v>381960</v>
          </cell>
          <cell r="D410">
            <v>353050</v>
          </cell>
          <cell r="E410">
            <v>282100</v>
          </cell>
          <cell r="F410">
            <v>263350</v>
          </cell>
          <cell r="G410">
            <v>244600</v>
          </cell>
          <cell r="H410">
            <v>225850</v>
          </cell>
          <cell r="I410">
            <v>207100</v>
          </cell>
          <cell r="J410">
            <v>188350</v>
          </cell>
          <cell r="K410">
            <v>169600</v>
          </cell>
          <cell r="L410">
            <v>150850</v>
          </cell>
          <cell r="M410">
            <v>132100</v>
          </cell>
        </row>
        <row r="411">
          <cell r="A411">
            <v>5220</v>
          </cell>
          <cell r="B411">
            <v>5240</v>
          </cell>
          <cell r="C411">
            <v>384760</v>
          </cell>
          <cell r="D411">
            <v>355840</v>
          </cell>
          <cell r="E411">
            <v>284680</v>
          </cell>
          <cell r="F411">
            <v>265930</v>
          </cell>
          <cell r="G411">
            <v>247180</v>
          </cell>
          <cell r="H411">
            <v>228430</v>
          </cell>
          <cell r="I411">
            <v>209680</v>
          </cell>
          <cell r="J411">
            <v>190930</v>
          </cell>
          <cell r="K411">
            <v>172180</v>
          </cell>
          <cell r="L411">
            <v>153430</v>
          </cell>
          <cell r="M411">
            <v>134680</v>
          </cell>
        </row>
        <row r="412">
          <cell r="A412">
            <v>5240</v>
          </cell>
          <cell r="B412">
            <v>5260</v>
          </cell>
          <cell r="C412">
            <v>387570</v>
          </cell>
          <cell r="D412">
            <v>358630</v>
          </cell>
          <cell r="E412">
            <v>287260</v>
          </cell>
          <cell r="F412">
            <v>268510</v>
          </cell>
          <cell r="G412">
            <v>249760</v>
          </cell>
          <cell r="H412">
            <v>231010</v>
          </cell>
          <cell r="I412">
            <v>212260</v>
          </cell>
          <cell r="J412">
            <v>193510</v>
          </cell>
          <cell r="K412">
            <v>174760</v>
          </cell>
          <cell r="L412">
            <v>156010</v>
          </cell>
          <cell r="M412">
            <v>137260</v>
          </cell>
        </row>
        <row r="413">
          <cell r="A413">
            <v>5260</v>
          </cell>
          <cell r="B413">
            <v>5280</v>
          </cell>
          <cell r="C413">
            <v>390370</v>
          </cell>
          <cell r="D413">
            <v>361420</v>
          </cell>
          <cell r="E413">
            <v>289840</v>
          </cell>
          <cell r="F413">
            <v>271090</v>
          </cell>
          <cell r="G413">
            <v>252340</v>
          </cell>
          <cell r="H413">
            <v>233590</v>
          </cell>
          <cell r="I413">
            <v>214840</v>
          </cell>
          <cell r="J413">
            <v>196090</v>
          </cell>
          <cell r="K413">
            <v>177340</v>
          </cell>
          <cell r="L413">
            <v>158590</v>
          </cell>
          <cell r="M413">
            <v>139840</v>
          </cell>
        </row>
        <row r="414">
          <cell r="A414">
            <v>5280</v>
          </cell>
          <cell r="B414">
            <v>5300</v>
          </cell>
          <cell r="C414">
            <v>393180</v>
          </cell>
          <cell r="D414">
            <v>364210</v>
          </cell>
          <cell r="E414">
            <v>292420</v>
          </cell>
          <cell r="F414">
            <v>273670</v>
          </cell>
          <cell r="G414">
            <v>254920</v>
          </cell>
          <cell r="H414">
            <v>236170</v>
          </cell>
          <cell r="I414">
            <v>217420</v>
          </cell>
          <cell r="J414">
            <v>198670</v>
          </cell>
          <cell r="K414">
            <v>179920</v>
          </cell>
          <cell r="L414">
            <v>161170</v>
          </cell>
          <cell r="M414">
            <v>142420</v>
          </cell>
        </row>
        <row r="415">
          <cell r="A415">
            <v>5300</v>
          </cell>
          <cell r="B415">
            <v>5320</v>
          </cell>
          <cell r="C415">
            <v>395980</v>
          </cell>
          <cell r="D415">
            <v>367000</v>
          </cell>
          <cell r="E415">
            <v>295000</v>
          </cell>
          <cell r="F415">
            <v>276250</v>
          </cell>
          <cell r="G415">
            <v>257500</v>
          </cell>
          <cell r="H415">
            <v>238750</v>
          </cell>
          <cell r="I415">
            <v>220000</v>
          </cell>
          <cell r="J415">
            <v>201250</v>
          </cell>
          <cell r="K415">
            <v>182500</v>
          </cell>
          <cell r="L415">
            <v>163750</v>
          </cell>
          <cell r="M415">
            <v>145000</v>
          </cell>
        </row>
        <row r="416">
          <cell r="A416">
            <v>5320</v>
          </cell>
          <cell r="B416">
            <v>5340</v>
          </cell>
          <cell r="C416">
            <v>398790</v>
          </cell>
          <cell r="D416">
            <v>369790</v>
          </cell>
          <cell r="E416">
            <v>297580</v>
          </cell>
          <cell r="F416">
            <v>278830</v>
          </cell>
          <cell r="G416">
            <v>260080</v>
          </cell>
          <cell r="H416">
            <v>241330</v>
          </cell>
          <cell r="I416">
            <v>222580</v>
          </cell>
          <cell r="J416">
            <v>203830</v>
          </cell>
          <cell r="K416">
            <v>185080</v>
          </cell>
          <cell r="L416">
            <v>166330</v>
          </cell>
          <cell r="M416">
            <v>147580</v>
          </cell>
        </row>
        <row r="417">
          <cell r="A417">
            <v>5340</v>
          </cell>
          <cell r="B417">
            <v>5360</v>
          </cell>
          <cell r="C417">
            <v>401590</v>
          </cell>
          <cell r="D417">
            <v>372580</v>
          </cell>
          <cell r="E417">
            <v>300160</v>
          </cell>
          <cell r="F417">
            <v>281410</v>
          </cell>
          <cell r="G417">
            <v>262660</v>
          </cell>
          <cell r="H417">
            <v>243910</v>
          </cell>
          <cell r="I417">
            <v>225160</v>
          </cell>
          <cell r="J417">
            <v>206410</v>
          </cell>
          <cell r="K417">
            <v>187660</v>
          </cell>
          <cell r="L417">
            <v>168910</v>
          </cell>
          <cell r="M417">
            <v>150160</v>
          </cell>
        </row>
        <row r="418">
          <cell r="A418">
            <v>5360</v>
          </cell>
          <cell r="B418">
            <v>5380</v>
          </cell>
          <cell r="C418">
            <v>404400</v>
          </cell>
          <cell r="D418">
            <v>375370</v>
          </cell>
          <cell r="E418">
            <v>302740</v>
          </cell>
          <cell r="F418">
            <v>283990</v>
          </cell>
          <cell r="G418">
            <v>265240</v>
          </cell>
          <cell r="H418">
            <v>246490</v>
          </cell>
          <cell r="I418">
            <v>227740</v>
          </cell>
          <cell r="J418">
            <v>208990</v>
          </cell>
          <cell r="K418">
            <v>190240</v>
          </cell>
          <cell r="L418">
            <v>171490</v>
          </cell>
          <cell r="M418">
            <v>152740</v>
          </cell>
        </row>
        <row r="419">
          <cell r="A419">
            <v>5380</v>
          </cell>
          <cell r="B419">
            <v>5400</v>
          </cell>
          <cell r="C419">
            <v>407200</v>
          </cell>
          <cell r="D419">
            <v>378160</v>
          </cell>
          <cell r="E419">
            <v>305320</v>
          </cell>
          <cell r="F419">
            <v>286570</v>
          </cell>
          <cell r="G419">
            <v>267820</v>
          </cell>
          <cell r="H419">
            <v>249070</v>
          </cell>
          <cell r="I419">
            <v>230320</v>
          </cell>
          <cell r="J419">
            <v>211570</v>
          </cell>
          <cell r="K419">
            <v>192820</v>
          </cell>
          <cell r="L419">
            <v>174070</v>
          </cell>
          <cell r="M419">
            <v>155320</v>
          </cell>
        </row>
        <row r="420">
          <cell r="A420">
            <v>5400</v>
          </cell>
          <cell r="B420">
            <v>5420</v>
          </cell>
          <cell r="C420">
            <v>410010</v>
          </cell>
          <cell r="D420">
            <v>380950</v>
          </cell>
          <cell r="E420">
            <v>307900</v>
          </cell>
          <cell r="F420">
            <v>289150</v>
          </cell>
          <cell r="G420">
            <v>270400</v>
          </cell>
          <cell r="H420">
            <v>251650</v>
          </cell>
          <cell r="I420">
            <v>232900</v>
          </cell>
          <cell r="J420">
            <v>214150</v>
          </cell>
          <cell r="K420">
            <v>195400</v>
          </cell>
          <cell r="L420">
            <v>176650</v>
          </cell>
          <cell r="M420">
            <v>157900</v>
          </cell>
        </row>
        <row r="421">
          <cell r="A421">
            <v>5420</v>
          </cell>
          <cell r="B421">
            <v>5440</v>
          </cell>
          <cell r="C421">
            <v>412810</v>
          </cell>
          <cell r="D421">
            <v>383740</v>
          </cell>
          <cell r="E421">
            <v>310480</v>
          </cell>
          <cell r="F421">
            <v>291730</v>
          </cell>
          <cell r="G421">
            <v>272980</v>
          </cell>
          <cell r="H421">
            <v>254230</v>
          </cell>
          <cell r="I421">
            <v>235480</v>
          </cell>
          <cell r="J421">
            <v>216730</v>
          </cell>
          <cell r="K421">
            <v>197980</v>
          </cell>
          <cell r="L421">
            <v>179230</v>
          </cell>
          <cell r="M421">
            <v>160480</v>
          </cell>
        </row>
        <row r="422">
          <cell r="A422">
            <v>5440</v>
          </cell>
          <cell r="B422">
            <v>5460</v>
          </cell>
          <cell r="C422">
            <v>415620</v>
          </cell>
          <cell r="D422">
            <v>386530</v>
          </cell>
          <cell r="E422">
            <v>313060</v>
          </cell>
          <cell r="F422">
            <v>294310</v>
          </cell>
          <cell r="G422">
            <v>275560</v>
          </cell>
          <cell r="H422">
            <v>256810</v>
          </cell>
          <cell r="I422">
            <v>238060</v>
          </cell>
          <cell r="J422">
            <v>219310</v>
          </cell>
          <cell r="K422">
            <v>200560</v>
          </cell>
          <cell r="L422">
            <v>181810</v>
          </cell>
          <cell r="M422">
            <v>163060</v>
          </cell>
        </row>
        <row r="423">
          <cell r="A423">
            <v>5460</v>
          </cell>
          <cell r="B423">
            <v>5480</v>
          </cell>
          <cell r="C423">
            <v>418420</v>
          </cell>
          <cell r="D423">
            <v>389320</v>
          </cell>
          <cell r="E423">
            <v>315640</v>
          </cell>
          <cell r="F423">
            <v>296890</v>
          </cell>
          <cell r="G423">
            <v>278140</v>
          </cell>
          <cell r="H423">
            <v>259390</v>
          </cell>
          <cell r="I423">
            <v>240640</v>
          </cell>
          <cell r="J423">
            <v>221890</v>
          </cell>
          <cell r="K423">
            <v>203140</v>
          </cell>
          <cell r="L423">
            <v>184390</v>
          </cell>
          <cell r="M423">
            <v>165640</v>
          </cell>
        </row>
        <row r="424">
          <cell r="A424">
            <v>5480</v>
          </cell>
          <cell r="B424">
            <v>5500</v>
          </cell>
          <cell r="C424">
            <v>421230</v>
          </cell>
          <cell r="D424">
            <v>392110</v>
          </cell>
          <cell r="E424">
            <v>318220</v>
          </cell>
          <cell r="F424">
            <v>299470</v>
          </cell>
          <cell r="G424">
            <v>280720</v>
          </cell>
          <cell r="H424">
            <v>261970</v>
          </cell>
          <cell r="I424">
            <v>243220</v>
          </cell>
          <cell r="J424">
            <v>224470</v>
          </cell>
          <cell r="K424">
            <v>205720</v>
          </cell>
          <cell r="L424">
            <v>186970</v>
          </cell>
          <cell r="M424">
            <v>168220</v>
          </cell>
        </row>
        <row r="425">
          <cell r="A425">
            <v>5500</v>
          </cell>
          <cell r="B425">
            <v>5520</v>
          </cell>
          <cell r="C425">
            <v>424030</v>
          </cell>
          <cell r="D425">
            <v>394900</v>
          </cell>
          <cell r="E425">
            <v>320800</v>
          </cell>
          <cell r="F425">
            <v>302050</v>
          </cell>
          <cell r="G425">
            <v>283300</v>
          </cell>
          <cell r="H425">
            <v>264550</v>
          </cell>
          <cell r="I425">
            <v>245800</v>
          </cell>
          <cell r="J425">
            <v>227050</v>
          </cell>
          <cell r="K425">
            <v>208300</v>
          </cell>
          <cell r="L425">
            <v>189550</v>
          </cell>
          <cell r="M425">
            <v>170800</v>
          </cell>
        </row>
        <row r="426">
          <cell r="A426">
            <v>5520</v>
          </cell>
          <cell r="B426">
            <v>5540</v>
          </cell>
          <cell r="C426">
            <v>426840</v>
          </cell>
          <cell r="D426">
            <v>397690</v>
          </cell>
          <cell r="E426">
            <v>323380</v>
          </cell>
          <cell r="F426">
            <v>304630</v>
          </cell>
          <cell r="G426">
            <v>285880</v>
          </cell>
          <cell r="H426">
            <v>267130</v>
          </cell>
          <cell r="I426">
            <v>248380</v>
          </cell>
          <cell r="J426">
            <v>229630</v>
          </cell>
          <cell r="K426">
            <v>210880</v>
          </cell>
          <cell r="L426">
            <v>192130</v>
          </cell>
          <cell r="M426">
            <v>173380</v>
          </cell>
        </row>
        <row r="427">
          <cell r="A427">
            <v>5540</v>
          </cell>
          <cell r="B427">
            <v>5560</v>
          </cell>
          <cell r="C427">
            <v>429640</v>
          </cell>
          <cell r="D427">
            <v>400480</v>
          </cell>
          <cell r="E427">
            <v>325960</v>
          </cell>
          <cell r="F427">
            <v>307210</v>
          </cell>
          <cell r="G427">
            <v>288460</v>
          </cell>
          <cell r="H427">
            <v>269710</v>
          </cell>
          <cell r="I427">
            <v>250960</v>
          </cell>
          <cell r="J427">
            <v>232210</v>
          </cell>
          <cell r="K427">
            <v>213460</v>
          </cell>
          <cell r="L427">
            <v>194710</v>
          </cell>
          <cell r="M427">
            <v>175960</v>
          </cell>
        </row>
        <row r="428">
          <cell r="A428">
            <v>5560</v>
          </cell>
          <cell r="B428">
            <v>5580</v>
          </cell>
          <cell r="C428">
            <v>432450</v>
          </cell>
          <cell r="D428">
            <v>403270</v>
          </cell>
          <cell r="E428">
            <v>328540</v>
          </cell>
          <cell r="F428">
            <v>309790</v>
          </cell>
          <cell r="G428">
            <v>291040</v>
          </cell>
          <cell r="H428">
            <v>272290</v>
          </cell>
          <cell r="I428">
            <v>253540</v>
          </cell>
          <cell r="J428">
            <v>234790</v>
          </cell>
          <cell r="K428">
            <v>216040</v>
          </cell>
          <cell r="L428">
            <v>197290</v>
          </cell>
          <cell r="M428">
            <v>178540</v>
          </cell>
        </row>
        <row r="429">
          <cell r="A429">
            <v>5580</v>
          </cell>
          <cell r="B429">
            <v>5600</v>
          </cell>
          <cell r="C429">
            <v>436910</v>
          </cell>
          <cell r="D429">
            <v>406060</v>
          </cell>
          <cell r="E429">
            <v>331120</v>
          </cell>
          <cell r="F429">
            <v>312370</v>
          </cell>
          <cell r="G429">
            <v>293620</v>
          </cell>
          <cell r="H429">
            <v>274870</v>
          </cell>
          <cell r="I429">
            <v>256120</v>
          </cell>
          <cell r="J429">
            <v>237370</v>
          </cell>
          <cell r="K429">
            <v>218620</v>
          </cell>
          <cell r="L429">
            <v>199870</v>
          </cell>
          <cell r="M429">
            <v>181120</v>
          </cell>
        </row>
        <row r="430">
          <cell r="A430">
            <v>5600</v>
          </cell>
          <cell r="B430">
            <v>5620</v>
          </cell>
          <cell r="C430">
            <v>441400</v>
          </cell>
          <cell r="D430">
            <v>408850</v>
          </cell>
          <cell r="E430">
            <v>333700</v>
          </cell>
          <cell r="F430">
            <v>314950</v>
          </cell>
          <cell r="G430">
            <v>296200</v>
          </cell>
          <cell r="H430">
            <v>277450</v>
          </cell>
          <cell r="I430">
            <v>258700</v>
          </cell>
          <cell r="J430">
            <v>239950</v>
          </cell>
          <cell r="K430">
            <v>221200</v>
          </cell>
          <cell r="L430">
            <v>202450</v>
          </cell>
          <cell r="M430">
            <v>183700</v>
          </cell>
        </row>
        <row r="431">
          <cell r="A431">
            <v>5620</v>
          </cell>
          <cell r="B431">
            <v>5640</v>
          </cell>
          <cell r="C431">
            <v>445880</v>
          </cell>
          <cell r="D431">
            <v>411640</v>
          </cell>
          <cell r="E431">
            <v>336280</v>
          </cell>
          <cell r="F431">
            <v>317530</v>
          </cell>
          <cell r="G431">
            <v>298780</v>
          </cell>
          <cell r="H431">
            <v>280030</v>
          </cell>
          <cell r="I431">
            <v>261280</v>
          </cell>
          <cell r="J431">
            <v>242530</v>
          </cell>
          <cell r="K431">
            <v>223780</v>
          </cell>
          <cell r="L431">
            <v>205030</v>
          </cell>
          <cell r="M431">
            <v>186280</v>
          </cell>
        </row>
        <row r="432">
          <cell r="A432">
            <v>5640</v>
          </cell>
          <cell r="B432">
            <v>5660</v>
          </cell>
          <cell r="C432">
            <v>450370</v>
          </cell>
          <cell r="D432">
            <v>414430</v>
          </cell>
          <cell r="E432">
            <v>338860</v>
          </cell>
          <cell r="F432">
            <v>320110</v>
          </cell>
          <cell r="G432">
            <v>301360</v>
          </cell>
          <cell r="H432">
            <v>282610</v>
          </cell>
          <cell r="I432">
            <v>263860</v>
          </cell>
          <cell r="J432">
            <v>245110</v>
          </cell>
          <cell r="K432">
            <v>226360</v>
          </cell>
          <cell r="L432">
            <v>207610</v>
          </cell>
          <cell r="M432">
            <v>188860</v>
          </cell>
        </row>
        <row r="433">
          <cell r="A433">
            <v>5660</v>
          </cell>
          <cell r="B433">
            <v>5680</v>
          </cell>
          <cell r="C433">
            <v>454860</v>
          </cell>
          <cell r="D433">
            <v>417220</v>
          </cell>
          <cell r="E433">
            <v>341440</v>
          </cell>
          <cell r="F433">
            <v>322690</v>
          </cell>
          <cell r="G433">
            <v>303940</v>
          </cell>
          <cell r="H433">
            <v>285190</v>
          </cell>
          <cell r="I433">
            <v>266440</v>
          </cell>
          <cell r="J433">
            <v>247690</v>
          </cell>
          <cell r="K433">
            <v>228940</v>
          </cell>
          <cell r="L433">
            <v>210190</v>
          </cell>
          <cell r="M433">
            <v>191440</v>
          </cell>
        </row>
        <row r="434">
          <cell r="A434">
            <v>5680</v>
          </cell>
          <cell r="B434">
            <v>5700</v>
          </cell>
          <cell r="C434">
            <v>459350</v>
          </cell>
          <cell r="D434">
            <v>420010</v>
          </cell>
          <cell r="E434">
            <v>344020</v>
          </cell>
          <cell r="F434">
            <v>325270</v>
          </cell>
          <cell r="G434">
            <v>306520</v>
          </cell>
          <cell r="H434">
            <v>287770</v>
          </cell>
          <cell r="I434">
            <v>269020</v>
          </cell>
          <cell r="J434">
            <v>250270</v>
          </cell>
          <cell r="K434">
            <v>231520</v>
          </cell>
          <cell r="L434">
            <v>212770</v>
          </cell>
          <cell r="M434">
            <v>194020</v>
          </cell>
        </row>
        <row r="435">
          <cell r="A435">
            <v>5700</v>
          </cell>
          <cell r="B435">
            <v>5720</v>
          </cell>
          <cell r="C435">
            <v>463840</v>
          </cell>
          <cell r="D435">
            <v>422800</v>
          </cell>
          <cell r="E435">
            <v>346600</v>
          </cell>
          <cell r="F435">
            <v>327850</v>
          </cell>
          <cell r="G435">
            <v>309100</v>
          </cell>
          <cell r="H435">
            <v>290350</v>
          </cell>
          <cell r="I435">
            <v>271600</v>
          </cell>
          <cell r="J435">
            <v>252850</v>
          </cell>
          <cell r="K435">
            <v>234100</v>
          </cell>
          <cell r="L435">
            <v>215350</v>
          </cell>
          <cell r="M435">
            <v>196600</v>
          </cell>
        </row>
        <row r="436">
          <cell r="A436">
            <v>5720</v>
          </cell>
          <cell r="B436">
            <v>5740</v>
          </cell>
          <cell r="C436">
            <v>468320</v>
          </cell>
          <cell r="D436">
            <v>425590</v>
          </cell>
          <cell r="E436">
            <v>349180</v>
          </cell>
          <cell r="F436">
            <v>330430</v>
          </cell>
          <cell r="G436">
            <v>311680</v>
          </cell>
          <cell r="H436">
            <v>292930</v>
          </cell>
          <cell r="I436">
            <v>274180</v>
          </cell>
          <cell r="J436">
            <v>255430</v>
          </cell>
          <cell r="K436">
            <v>236680</v>
          </cell>
          <cell r="L436">
            <v>217930</v>
          </cell>
          <cell r="M436">
            <v>199180</v>
          </cell>
        </row>
        <row r="437">
          <cell r="A437">
            <v>5740</v>
          </cell>
          <cell r="B437">
            <v>5760</v>
          </cell>
          <cell r="C437">
            <v>472810</v>
          </cell>
          <cell r="D437">
            <v>428380</v>
          </cell>
          <cell r="E437">
            <v>351760</v>
          </cell>
          <cell r="F437">
            <v>333010</v>
          </cell>
          <cell r="G437">
            <v>314260</v>
          </cell>
          <cell r="H437">
            <v>295510</v>
          </cell>
          <cell r="I437">
            <v>276760</v>
          </cell>
          <cell r="J437">
            <v>258010</v>
          </cell>
          <cell r="K437">
            <v>239260</v>
          </cell>
          <cell r="L437">
            <v>220510</v>
          </cell>
          <cell r="M437">
            <v>201760</v>
          </cell>
        </row>
        <row r="438">
          <cell r="A438">
            <v>5760</v>
          </cell>
          <cell r="B438">
            <v>5780</v>
          </cell>
          <cell r="C438">
            <v>477300</v>
          </cell>
          <cell r="D438">
            <v>431170</v>
          </cell>
          <cell r="E438">
            <v>354340</v>
          </cell>
          <cell r="F438">
            <v>335590</v>
          </cell>
          <cell r="G438">
            <v>316840</v>
          </cell>
          <cell r="H438">
            <v>298090</v>
          </cell>
          <cell r="I438">
            <v>279340</v>
          </cell>
          <cell r="J438">
            <v>260590</v>
          </cell>
          <cell r="K438">
            <v>241840</v>
          </cell>
          <cell r="L438">
            <v>223090</v>
          </cell>
          <cell r="M438">
            <v>204340</v>
          </cell>
        </row>
        <row r="439">
          <cell r="A439">
            <v>5780</v>
          </cell>
          <cell r="B439">
            <v>5800</v>
          </cell>
          <cell r="C439">
            <v>481790</v>
          </cell>
          <cell r="D439">
            <v>434840</v>
          </cell>
          <cell r="E439">
            <v>356920</v>
          </cell>
          <cell r="F439">
            <v>338170</v>
          </cell>
          <cell r="G439">
            <v>319420</v>
          </cell>
          <cell r="H439">
            <v>300670</v>
          </cell>
          <cell r="I439">
            <v>281920</v>
          </cell>
          <cell r="J439">
            <v>263170</v>
          </cell>
          <cell r="K439">
            <v>244420</v>
          </cell>
          <cell r="L439">
            <v>225670</v>
          </cell>
          <cell r="M439">
            <v>206920</v>
          </cell>
        </row>
        <row r="440">
          <cell r="A440">
            <v>5800</v>
          </cell>
          <cell r="B440">
            <v>5820</v>
          </cell>
          <cell r="C440">
            <v>486280</v>
          </cell>
          <cell r="D440">
            <v>439300</v>
          </cell>
          <cell r="E440">
            <v>359500</v>
          </cell>
          <cell r="F440">
            <v>340750</v>
          </cell>
          <cell r="G440">
            <v>322000</v>
          </cell>
          <cell r="H440">
            <v>303250</v>
          </cell>
          <cell r="I440">
            <v>284500</v>
          </cell>
          <cell r="J440">
            <v>265750</v>
          </cell>
          <cell r="K440">
            <v>247000</v>
          </cell>
          <cell r="L440">
            <v>228250</v>
          </cell>
          <cell r="M440">
            <v>209500</v>
          </cell>
        </row>
        <row r="441">
          <cell r="A441">
            <v>5820</v>
          </cell>
          <cell r="B441">
            <v>5840</v>
          </cell>
          <cell r="C441">
            <v>490760</v>
          </cell>
          <cell r="D441">
            <v>443770</v>
          </cell>
          <cell r="E441">
            <v>362080</v>
          </cell>
          <cell r="F441">
            <v>343330</v>
          </cell>
          <cell r="G441">
            <v>324580</v>
          </cell>
          <cell r="H441">
            <v>305830</v>
          </cell>
          <cell r="I441">
            <v>287080</v>
          </cell>
          <cell r="J441">
            <v>268330</v>
          </cell>
          <cell r="K441">
            <v>249580</v>
          </cell>
          <cell r="L441">
            <v>230830</v>
          </cell>
          <cell r="M441">
            <v>212080</v>
          </cell>
        </row>
        <row r="442">
          <cell r="A442">
            <v>5840</v>
          </cell>
          <cell r="B442">
            <v>5860</v>
          </cell>
          <cell r="C442">
            <v>517620</v>
          </cell>
          <cell r="D442">
            <v>470600</v>
          </cell>
          <cell r="E442">
            <v>390540</v>
          </cell>
          <cell r="F442">
            <v>371790</v>
          </cell>
          <cell r="G442">
            <v>353040</v>
          </cell>
          <cell r="H442">
            <v>334290</v>
          </cell>
          <cell r="I442">
            <v>315540</v>
          </cell>
          <cell r="J442">
            <v>296790</v>
          </cell>
          <cell r="K442">
            <v>278040</v>
          </cell>
          <cell r="L442">
            <v>259290</v>
          </cell>
          <cell r="M442">
            <v>240540</v>
          </cell>
        </row>
        <row r="443">
          <cell r="A443">
            <v>5860</v>
          </cell>
          <cell r="B443">
            <v>5880</v>
          </cell>
          <cell r="C443">
            <v>524660</v>
          </cell>
          <cell r="D443">
            <v>477620</v>
          </cell>
          <cell r="E443">
            <v>395680</v>
          </cell>
          <cell r="F443">
            <v>376930</v>
          </cell>
          <cell r="G443">
            <v>358180</v>
          </cell>
          <cell r="H443">
            <v>339430</v>
          </cell>
          <cell r="I443">
            <v>320680</v>
          </cell>
          <cell r="J443">
            <v>301930</v>
          </cell>
          <cell r="K443">
            <v>283180</v>
          </cell>
          <cell r="L443">
            <v>264430</v>
          </cell>
          <cell r="M443">
            <v>245680</v>
          </cell>
        </row>
        <row r="444">
          <cell r="A444">
            <v>5880</v>
          </cell>
          <cell r="B444">
            <v>5900</v>
          </cell>
          <cell r="C444">
            <v>529200</v>
          </cell>
          <cell r="D444">
            <v>482130</v>
          </cell>
          <cell r="E444">
            <v>398320</v>
          </cell>
          <cell r="F444">
            <v>379570</v>
          </cell>
          <cell r="G444">
            <v>360820</v>
          </cell>
          <cell r="H444">
            <v>342070</v>
          </cell>
          <cell r="I444">
            <v>323320</v>
          </cell>
          <cell r="J444">
            <v>304570</v>
          </cell>
          <cell r="K444">
            <v>285820</v>
          </cell>
          <cell r="L444">
            <v>267070</v>
          </cell>
          <cell r="M444">
            <v>248320</v>
          </cell>
        </row>
        <row r="445">
          <cell r="A445">
            <v>5900</v>
          </cell>
          <cell r="B445">
            <v>5920</v>
          </cell>
          <cell r="C445">
            <v>533730</v>
          </cell>
          <cell r="D445">
            <v>486640</v>
          </cell>
          <cell r="E445">
            <v>400960</v>
          </cell>
          <cell r="F445">
            <v>382210</v>
          </cell>
          <cell r="G445">
            <v>363460</v>
          </cell>
          <cell r="H445">
            <v>344710</v>
          </cell>
          <cell r="I445">
            <v>325960</v>
          </cell>
          <cell r="J445">
            <v>307210</v>
          </cell>
          <cell r="K445">
            <v>288460</v>
          </cell>
          <cell r="L445">
            <v>269710</v>
          </cell>
          <cell r="M445">
            <v>250960</v>
          </cell>
        </row>
        <row r="446">
          <cell r="A446">
            <v>5920</v>
          </cell>
          <cell r="B446">
            <v>5940</v>
          </cell>
          <cell r="C446">
            <v>538270</v>
          </cell>
          <cell r="D446">
            <v>491150</v>
          </cell>
          <cell r="E446">
            <v>403600</v>
          </cell>
          <cell r="F446">
            <v>384850</v>
          </cell>
          <cell r="G446">
            <v>366100</v>
          </cell>
          <cell r="H446">
            <v>347350</v>
          </cell>
          <cell r="I446">
            <v>328600</v>
          </cell>
          <cell r="J446">
            <v>309850</v>
          </cell>
          <cell r="K446">
            <v>291100</v>
          </cell>
          <cell r="L446">
            <v>272350</v>
          </cell>
          <cell r="M446">
            <v>253600</v>
          </cell>
        </row>
        <row r="447">
          <cell r="A447">
            <v>5940</v>
          </cell>
          <cell r="B447">
            <v>5960</v>
          </cell>
          <cell r="C447">
            <v>542800</v>
          </cell>
          <cell r="D447">
            <v>495660</v>
          </cell>
          <cell r="E447">
            <v>406240</v>
          </cell>
          <cell r="F447">
            <v>387490</v>
          </cell>
          <cell r="G447">
            <v>368740</v>
          </cell>
          <cell r="H447">
            <v>349990</v>
          </cell>
          <cell r="I447">
            <v>331240</v>
          </cell>
          <cell r="J447">
            <v>312490</v>
          </cell>
          <cell r="K447">
            <v>293740</v>
          </cell>
          <cell r="L447">
            <v>274990</v>
          </cell>
          <cell r="M447">
            <v>256240</v>
          </cell>
        </row>
        <row r="448">
          <cell r="A448">
            <v>5960</v>
          </cell>
          <cell r="B448">
            <v>5980</v>
          </cell>
          <cell r="C448">
            <v>547340</v>
          </cell>
          <cell r="D448">
            <v>500180</v>
          </cell>
          <cell r="E448">
            <v>408880</v>
          </cell>
          <cell r="F448">
            <v>390130</v>
          </cell>
          <cell r="G448">
            <v>371380</v>
          </cell>
          <cell r="H448">
            <v>352630</v>
          </cell>
          <cell r="I448">
            <v>333880</v>
          </cell>
          <cell r="J448">
            <v>315130</v>
          </cell>
          <cell r="K448">
            <v>296380</v>
          </cell>
          <cell r="L448">
            <v>277630</v>
          </cell>
          <cell r="M448">
            <v>258880</v>
          </cell>
        </row>
        <row r="449">
          <cell r="A449">
            <v>5980</v>
          </cell>
          <cell r="B449">
            <v>6000</v>
          </cell>
          <cell r="C449">
            <v>551880</v>
          </cell>
          <cell r="D449">
            <v>504690</v>
          </cell>
          <cell r="E449">
            <v>411520</v>
          </cell>
          <cell r="F449">
            <v>392770</v>
          </cell>
          <cell r="G449">
            <v>374020</v>
          </cell>
          <cell r="H449">
            <v>355270</v>
          </cell>
          <cell r="I449">
            <v>336520</v>
          </cell>
          <cell r="J449">
            <v>317770</v>
          </cell>
          <cell r="K449">
            <v>299020</v>
          </cell>
          <cell r="L449">
            <v>280270</v>
          </cell>
          <cell r="M449">
            <v>261520</v>
          </cell>
        </row>
        <row r="450">
          <cell r="A450">
            <v>6000</v>
          </cell>
          <cell r="B450">
            <v>6020</v>
          </cell>
          <cell r="C450">
            <v>556410</v>
          </cell>
          <cell r="D450">
            <v>509200</v>
          </cell>
          <cell r="E450">
            <v>414160</v>
          </cell>
          <cell r="F450">
            <v>395410</v>
          </cell>
          <cell r="G450">
            <v>376660</v>
          </cell>
          <cell r="H450">
            <v>357910</v>
          </cell>
          <cell r="I450">
            <v>339160</v>
          </cell>
          <cell r="J450">
            <v>320410</v>
          </cell>
          <cell r="K450">
            <v>301660</v>
          </cell>
          <cell r="L450">
            <v>282910</v>
          </cell>
          <cell r="M450">
            <v>264160</v>
          </cell>
        </row>
        <row r="451">
          <cell r="A451">
            <v>6020</v>
          </cell>
          <cell r="B451">
            <v>6040</v>
          </cell>
          <cell r="C451">
            <v>560950</v>
          </cell>
          <cell r="D451">
            <v>513710</v>
          </cell>
          <cell r="E451">
            <v>416800</v>
          </cell>
          <cell r="F451">
            <v>398050</v>
          </cell>
          <cell r="G451">
            <v>379300</v>
          </cell>
          <cell r="H451">
            <v>360550</v>
          </cell>
          <cell r="I451">
            <v>341800</v>
          </cell>
          <cell r="J451">
            <v>323050</v>
          </cell>
          <cell r="K451">
            <v>304300</v>
          </cell>
          <cell r="L451">
            <v>285550</v>
          </cell>
          <cell r="M451">
            <v>266800</v>
          </cell>
        </row>
        <row r="452">
          <cell r="A452">
            <v>6040</v>
          </cell>
          <cell r="B452">
            <v>6060</v>
          </cell>
          <cell r="C452">
            <v>565480</v>
          </cell>
          <cell r="D452">
            <v>518220</v>
          </cell>
          <cell r="E452">
            <v>419440</v>
          </cell>
          <cell r="F452">
            <v>400690</v>
          </cell>
          <cell r="G452">
            <v>381940</v>
          </cell>
          <cell r="H452">
            <v>363190</v>
          </cell>
          <cell r="I452">
            <v>344440</v>
          </cell>
          <cell r="J452">
            <v>325690</v>
          </cell>
          <cell r="K452">
            <v>306940</v>
          </cell>
          <cell r="L452">
            <v>288190</v>
          </cell>
          <cell r="M452">
            <v>269440</v>
          </cell>
        </row>
        <row r="453">
          <cell r="A453">
            <v>6060</v>
          </cell>
          <cell r="B453">
            <v>6080</v>
          </cell>
          <cell r="C453">
            <v>570020</v>
          </cell>
          <cell r="D453">
            <v>522740</v>
          </cell>
          <cell r="E453">
            <v>422080</v>
          </cell>
          <cell r="F453">
            <v>403330</v>
          </cell>
          <cell r="G453">
            <v>384580</v>
          </cell>
          <cell r="H453">
            <v>365830</v>
          </cell>
          <cell r="I453">
            <v>347080</v>
          </cell>
          <cell r="J453">
            <v>328330</v>
          </cell>
          <cell r="K453">
            <v>309580</v>
          </cell>
          <cell r="L453">
            <v>290830</v>
          </cell>
          <cell r="M453">
            <v>272080</v>
          </cell>
        </row>
        <row r="454">
          <cell r="A454">
            <v>6080</v>
          </cell>
          <cell r="B454">
            <v>6100</v>
          </cell>
          <cell r="C454">
            <v>574560</v>
          </cell>
          <cell r="D454">
            <v>527250</v>
          </cell>
          <cell r="E454">
            <v>424720</v>
          </cell>
          <cell r="F454">
            <v>405970</v>
          </cell>
          <cell r="G454">
            <v>387220</v>
          </cell>
          <cell r="H454">
            <v>368470</v>
          </cell>
          <cell r="I454">
            <v>349720</v>
          </cell>
          <cell r="J454">
            <v>330970</v>
          </cell>
          <cell r="K454">
            <v>312220</v>
          </cell>
          <cell r="L454">
            <v>293470</v>
          </cell>
          <cell r="M454">
            <v>274720</v>
          </cell>
        </row>
        <row r="455">
          <cell r="A455">
            <v>6100</v>
          </cell>
          <cell r="B455">
            <v>6120</v>
          </cell>
          <cell r="C455">
            <v>579090</v>
          </cell>
          <cell r="D455">
            <v>531760</v>
          </cell>
          <cell r="E455">
            <v>427360</v>
          </cell>
          <cell r="F455">
            <v>408610</v>
          </cell>
          <cell r="G455">
            <v>389860</v>
          </cell>
          <cell r="H455">
            <v>371110</v>
          </cell>
          <cell r="I455">
            <v>352360</v>
          </cell>
          <cell r="J455">
            <v>333610</v>
          </cell>
          <cell r="K455">
            <v>314860</v>
          </cell>
          <cell r="L455">
            <v>296110</v>
          </cell>
          <cell r="M455">
            <v>277360</v>
          </cell>
        </row>
        <row r="456">
          <cell r="A456">
            <v>6120</v>
          </cell>
          <cell r="B456">
            <v>6140</v>
          </cell>
          <cell r="C456">
            <v>583630</v>
          </cell>
          <cell r="D456">
            <v>536270</v>
          </cell>
          <cell r="E456">
            <v>430000</v>
          </cell>
          <cell r="F456">
            <v>411250</v>
          </cell>
          <cell r="G456">
            <v>392500</v>
          </cell>
          <cell r="H456">
            <v>373750</v>
          </cell>
          <cell r="I456">
            <v>355000</v>
          </cell>
          <cell r="J456">
            <v>336250</v>
          </cell>
          <cell r="K456">
            <v>317500</v>
          </cell>
          <cell r="L456">
            <v>298750</v>
          </cell>
          <cell r="M456">
            <v>280000</v>
          </cell>
        </row>
        <row r="457">
          <cell r="A457">
            <v>6140</v>
          </cell>
          <cell r="B457">
            <v>6160</v>
          </cell>
          <cell r="C457">
            <v>588160</v>
          </cell>
          <cell r="D457">
            <v>540780</v>
          </cell>
          <cell r="E457">
            <v>432640</v>
          </cell>
          <cell r="F457">
            <v>413890</v>
          </cell>
          <cell r="G457">
            <v>395140</v>
          </cell>
          <cell r="H457">
            <v>376390</v>
          </cell>
          <cell r="I457">
            <v>357640</v>
          </cell>
          <cell r="J457">
            <v>338890</v>
          </cell>
          <cell r="K457">
            <v>320140</v>
          </cell>
          <cell r="L457">
            <v>301390</v>
          </cell>
          <cell r="M457">
            <v>282640</v>
          </cell>
        </row>
        <row r="458">
          <cell r="A458">
            <v>6160</v>
          </cell>
          <cell r="B458">
            <v>6180</v>
          </cell>
          <cell r="C458">
            <v>592700</v>
          </cell>
          <cell r="D458">
            <v>545300</v>
          </cell>
          <cell r="E458">
            <v>435280</v>
          </cell>
          <cell r="F458">
            <v>416530</v>
          </cell>
          <cell r="G458">
            <v>397780</v>
          </cell>
          <cell r="H458">
            <v>379030</v>
          </cell>
          <cell r="I458">
            <v>360280</v>
          </cell>
          <cell r="J458">
            <v>341530</v>
          </cell>
          <cell r="K458">
            <v>322780</v>
          </cell>
          <cell r="L458">
            <v>304030</v>
          </cell>
          <cell r="M458">
            <v>285280</v>
          </cell>
        </row>
        <row r="459">
          <cell r="A459">
            <v>6180</v>
          </cell>
          <cell r="B459">
            <v>6200</v>
          </cell>
          <cell r="C459">
            <v>597240</v>
          </cell>
          <cell r="D459">
            <v>549810</v>
          </cell>
          <cell r="E459">
            <v>437920</v>
          </cell>
          <cell r="F459">
            <v>419170</v>
          </cell>
          <cell r="G459">
            <v>400420</v>
          </cell>
          <cell r="H459">
            <v>381670</v>
          </cell>
          <cell r="I459">
            <v>362920</v>
          </cell>
          <cell r="J459">
            <v>344170</v>
          </cell>
          <cell r="K459">
            <v>325420</v>
          </cell>
          <cell r="L459">
            <v>306670</v>
          </cell>
          <cell r="M459">
            <v>287920</v>
          </cell>
        </row>
        <row r="460">
          <cell r="A460">
            <v>6200</v>
          </cell>
          <cell r="B460">
            <v>6220</v>
          </cell>
          <cell r="C460">
            <v>601770</v>
          </cell>
          <cell r="D460">
            <v>554320</v>
          </cell>
          <cell r="E460">
            <v>440560</v>
          </cell>
          <cell r="F460">
            <v>421810</v>
          </cell>
          <cell r="G460">
            <v>403060</v>
          </cell>
          <cell r="H460">
            <v>384310</v>
          </cell>
          <cell r="I460">
            <v>365560</v>
          </cell>
          <cell r="J460">
            <v>346810</v>
          </cell>
          <cell r="K460">
            <v>328060</v>
          </cell>
          <cell r="L460">
            <v>309310</v>
          </cell>
          <cell r="M460">
            <v>290560</v>
          </cell>
        </row>
        <row r="461">
          <cell r="A461">
            <v>6220</v>
          </cell>
          <cell r="B461">
            <v>6240</v>
          </cell>
          <cell r="C461">
            <v>606310</v>
          </cell>
          <cell r="D461">
            <v>558830</v>
          </cell>
          <cell r="E461">
            <v>443200</v>
          </cell>
          <cell r="F461">
            <v>424450</v>
          </cell>
          <cell r="G461">
            <v>405700</v>
          </cell>
          <cell r="H461">
            <v>386950</v>
          </cell>
          <cell r="I461">
            <v>368200</v>
          </cell>
          <cell r="J461">
            <v>349450</v>
          </cell>
          <cell r="K461">
            <v>330700</v>
          </cell>
          <cell r="L461">
            <v>311950</v>
          </cell>
          <cell r="M461">
            <v>293200</v>
          </cell>
        </row>
        <row r="462">
          <cell r="A462">
            <v>6240</v>
          </cell>
          <cell r="B462">
            <v>6260</v>
          </cell>
          <cell r="C462">
            <v>610840</v>
          </cell>
          <cell r="D462">
            <v>563340</v>
          </cell>
          <cell r="E462">
            <v>447340</v>
          </cell>
          <cell r="F462">
            <v>427090</v>
          </cell>
          <cell r="G462">
            <v>408340</v>
          </cell>
          <cell r="H462">
            <v>389590</v>
          </cell>
          <cell r="I462">
            <v>370840</v>
          </cell>
          <cell r="J462">
            <v>352090</v>
          </cell>
          <cell r="K462">
            <v>333340</v>
          </cell>
          <cell r="L462">
            <v>314590</v>
          </cell>
          <cell r="M462">
            <v>295840</v>
          </cell>
        </row>
        <row r="463">
          <cell r="A463">
            <v>6260</v>
          </cell>
          <cell r="B463">
            <v>6280</v>
          </cell>
          <cell r="C463">
            <v>615380</v>
          </cell>
          <cell r="D463">
            <v>567860</v>
          </cell>
          <cell r="E463">
            <v>451570</v>
          </cell>
          <cell r="F463">
            <v>429730</v>
          </cell>
          <cell r="G463">
            <v>410980</v>
          </cell>
          <cell r="H463">
            <v>392230</v>
          </cell>
          <cell r="I463">
            <v>373480</v>
          </cell>
          <cell r="J463">
            <v>354730</v>
          </cell>
          <cell r="K463">
            <v>335980</v>
          </cell>
          <cell r="L463">
            <v>317230</v>
          </cell>
          <cell r="M463">
            <v>298480</v>
          </cell>
        </row>
        <row r="464">
          <cell r="A464">
            <v>6280</v>
          </cell>
          <cell r="B464">
            <v>6300</v>
          </cell>
          <cell r="C464">
            <v>619920</v>
          </cell>
          <cell r="D464">
            <v>572370</v>
          </cell>
          <cell r="E464">
            <v>455790</v>
          </cell>
          <cell r="F464">
            <v>432370</v>
          </cell>
          <cell r="G464">
            <v>413620</v>
          </cell>
          <cell r="H464">
            <v>394870</v>
          </cell>
          <cell r="I464">
            <v>376120</v>
          </cell>
          <cell r="J464">
            <v>357370</v>
          </cell>
          <cell r="K464">
            <v>338620</v>
          </cell>
          <cell r="L464">
            <v>319870</v>
          </cell>
          <cell r="M464">
            <v>301120</v>
          </cell>
        </row>
        <row r="465">
          <cell r="A465">
            <v>6300</v>
          </cell>
          <cell r="B465">
            <v>6320</v>
          </cell>
          <cell r="C465">
            <v>624450</v>
          </cell>
          <cell r="D465">
            <v>576880</v>
          </cell>
          <cell r="E465">
            <v>460020</v>
          </cell>
          <cell r="F465">
            <v>435010</v>
          </cell>
          <cell r="G465">
            <v>416260</v>
          </cell>
          <cell r="H465">
            <v>397510</v>
          </cell>
          <cell r="I465">
            <v>378760</v>
          </cell>
          <cell r="J465">
            <v>360010</v>
          </cell>
          <cell r="K465">
            <v>341260</v>
          </cell>
          <cell r="L465">
            <v>322510</v>
          </cell>
          <cell r="M465">
            <v>303760</v>
          </cell>
        </row>
        <row r="466">
          <cell r="A466">
            <v>6320</v>
          </cell>
          <cell r="B466">
            <v>6340</v>
          </cell>
          <cell r="C466">
            <v>628990</v>
          </cell>
          <cell r="D466">
            <v>581390</v>
          </cell>
          <cell r="E466">
            <v>464240</v>
          </cell>
          <cell r="F466">
            <v>437650</v>
          </cell>
          <cell r="G466">
            <v>418900</v>
          </cell>
          <cell r="H466">
            <v>400150</v>
          </cell>
          <cell r="I466">
            <v>381400</v>
          </cell>
          <cell r="J466">
            <v>362650</v>
          </cell>
          <cell r="K466">
            <v>343900</v>
          </cell>
          <cell r="L466">
            <v>325150</v>
          </cell>
          <cell r="M466">
            <v>306400</v>
          </cell>
        </row>
        <row r="467">
          <cell r="A467">
            <v>6340</v>
          </cell>
          <cell r="B467">
            <v>6360</v>
          </cell>
          <cell r="C467">
            <v>633520</v>
          </cell>
          <cell r="D467">
            <v>585900</v>
          </cell>
          <cell r="E467">
            <v>468460</v>
          </cell>
          <cell r="F467">
            <v>440290</v>
          </cell>
          <cell r="G467">
            <v>421540</v>
          </cell>
          <cell r="H467">
            <v>402790</v>
          </cell>
          <cell r="I467">
            <v>384040</v>
          </cell>
          <cell r="J467">
            <v>365290</v>
          </cell>
          <cell r="K467">
            <v>346540</v>
          </cell>
          <cell r="L467">
            <v>327790</v>
          </cell>
          <cell r="M467">
            <v>309040</v>
          </cell>
        </row>
        <row r="468">
          <cell r="A468">
            <v>6360</v>
          </cell>
          <cell r="B468">
            <v>6380</v>
          </cell>
          <cell r="C468">
            <v>638060</v>
          </cell>
          <cell r="D468">
            <v>590420</v>
          </cell>
          <cell r="E468">
            <v>472690</v>
          </cell>
          <cell r="F468">
            <v>442930</v>
          </cell>
          <cell r="G468">
            <v>424180</v>
          </cell>
          <cell r="H468">
            <v>405430</v>
          </cell>
          <cell r="I468">
            <v>386680</v>
          </cell>
          <cell r="J468">
            <v>367930</v>
          </cell>
          <cell r="K468">
            <v>349180</v>
          </cell>
          <cell r="L468">
            <v>330430</v>
          </cell>
          <cell r="M468">
            <v>311680</v>
          </cell>
        </row>
        <row r="469">
          <cell r="A469">
            <v>6380</v>
          </cell>
          <cell r="B469">
            <v>6400</v>
          </cell>
          <cell r="C469">
            <v>642600</v>
          </cell>
          <cell r="D469">
            <v>594930</v>
          </cell>
          <cell r="E469">
            <v>476910</v>
          </cell>
          <cell r="F469">
            <v>446910</v>
          </cell>
          <cell r="G469">
            <v>426820</v>
          </cell>
          <cell r="H469">
            <v>408070</v>
          </cell>
          <cell r="I469">
            <v>389320</v>
          </cell>
          <cell r="J469">
            <v>370570</v>
          </cell>
          <cell r="K469">
            <v>351820</v>
          </cell>
          <cell r="L469">
            <v>333070</v>
          </cell>
          <cell r="M469">
            <v>314320</v>
          </cell>
        </row>
        <row r="470">
          <cell r="A470">
            <v>6400</v>
          </cell>
          <cell r="B470">
            <v>6420</v>
          </cell>
          <cell r="C470">
            <v>647130</v>
          </cell>
          <cell r="D470">
            <v>599440</v>
          </cell>
          <cell r="E470">
            <v>481140</v>
          </cell>
          <cell r="F470">
            <v>451140</v>
          </cell>
          <cell r="G470">
            <v>429460</v>
          </cell>
          <cell r="H470">
            <v>410710</v>
          </cell>
          <cell r="I470">
            <v>391960</v>
          </cell>
          <cell r="J470">
            <v>373210</v>
          </cell>
          <cell r="K470">
            <v>354460</v>
          </cell>
          <cell r="L470">
            <v>335710</v>
          </cell>
          <cell r="M470">
            <v>316960</v>
          </cell>
        </row>
        <row r="471">
          <cell r="A471">
            <v>6420</v>
          </cell>
          <cell r="B471">
            <v>6440</v>
          </cell>
          <cell r="C471">
            <v>651670</v>
          </cell>
          <cell r="D471">
            <v>603950</v>
          </cell>
          <cell r="E471">
            <v>485360</v>
          </cell>
          <cell r="F471">
            <v>455360</v>
          </cell>
          <cell r="G471">
            <v>432100</v>
          </cell>
          <cell r="H471">
            <v>413350</v>
          </cell>
          <cell r="I471">
            <v>394600</v>
          </cell>
          <cell r="J471">
            <v>375850</v>
          </cell>
          <cell r="K471">
            <v>357100</v>
          </cell>
          <cell r="L471">
            <v>338350</v>
          </cell>
          <cell r="M471">
            <v>319600</v>
          </cell>
        </row>
        <row r="472">
          <cell r="A472">
            <v>6440</v>
          </cell>
          <cell r="B472">
            <v>6460</v>
          </cell>
          <cell r="C472">
            <v>656200</v>
          </cell>
          <cell r="D472">
            <v>608460</v>
          </cell>
          <cell r="E472">
            <v>489580</v>
          </cell>
          <cell r="F472">
            <v>459580</v>
          </cell>
          <cell r="G472">
            <v>434740</v>
          </cell>
          <cell r="H472">
            <v>415990</v>
          </cell>
          <cell r="I472">
            <v>397240</v>
          </cell>
          <cell r="J472">
            <v>378490</v>
          </cell>
          <cell r="K472">
            <v>359740</v>
          </cell>
          <cell r="L472">
            <v>340990</v>
          </cell>
          <cell r="M472">
            <v>322240</v>
          </cell>
        </row>
        <row r="473">
          <cell r="A473">
            <v>6460</v>
          </cell>
          <cell r="B473">
            <v>6480</v>
          </cell>
          <cell r="C473">
            <v>660740</v>
          </cell>
          <cell r="D473">
            <v>612980</v>
          </cell>
          <cell r="E473">
            <v>493810</v>
          </cell>
          <cell r="F473">
            <v>463810</v>
          </cell>
          <cell r="G473">
            <v>437380</v>
          </cell>
          <cell r="H473">
            <v>418630</v>
          </cell>
          <cell r="I473">
            <v>399880</v>
          </cell>
          <cell r="J473">
            <v>381130</v>
          </cell>
          <cell r="K473">
            <v>362380</v>
          </cell>
          <cell r="L473">
            <v>343630</v>
          </cell>
          <cell r="M473">
            <v>324880</v>
          </cell>
        </row>
        <row r="474">
          <cell r="A474">
            <v>6480</v>
          </cell>
          <cell r="B474">
            <v>6500</v>
          </cell>
          <cell r="C474">
            <v>665280</v>
          </cell>
          <cell r="D474">
            <v>617490</v>
          </cell>
          <cell r="E474">
            <v>498030</v>
          </cell>
          <cell r="F474">
            <v>468030</v>
          </cell>
          <cell r="G474">
            <v>440020</v>
          </cell>
          <cell r="H474">
            <v>421270</v>
          </cell>
          <cell r="I474">
            <v>402520</v>
          </cell>
          <cell r="J474">
            <v>383770</v>
          </cell>
          <cell r="K474">
            <v>365020</v>
          </cell>
          <cell r="L474">
            <v>346270</v>
          </cell>
          <cell r="M474">
            <v>327520</v>
          </cell>
        </row>
        <row r="475">
          <cell r="A475">
            <v>6500</v>
          </cell>
          <cell r="B475">
            <v>6520</v>
          </cell>
          <cell r="C475">
            <v>669810</v>
          </cell>
          <cell r="D475">
            <v>622000</v>
          </cell>
          <cell r="E475">
            <v>502260</v>
          </cell>
          <cell r="F475">
            <v>472260</v>
          </cell>
          <cell r="G475">
            <v>442660</v>
          </cell>
          <cell r="H475">
            <v>423910</v>
          </cell>
          <cell r="I475">
            <v>405160</v>
          </cell>
          <cell r="J475">
            <v>386410</v>
          </cell>
          <cell r="K475">
            <v>367660</v>
          </cell>
          <cell r="L475">
            <v>348910</v>
          </cell>
          <cell r="M475">
            <v>330160</v>
          </cell>
        </row>
        <row r="476">
          <cell r="A476">
            <v>6520</v>
          </cell>
          <cell r="B476">
            <v>6540</v>
          </cell>
          <cell r="C476">
            <v>674350</v>
          </cell>
          <cell r="D476">
            <v>626510</v>
          </cell>
          <cell r="E476">
            <v>506480</v>
          </cell>
          <cell r="F476">
            <v>476480</v>
          </cell>
          <cell r="G476">
            <v>446480</v>
          </cell>
          <cell r="H476">
            <v>426550</v>
          </cell>
          <cell r="I476">
            <v>407800</v>
          </cell>
          <cell r="J476">
            <v>389050</v>
          </cell>
          <cell r="K476">
            <v>370300</v>
          </cell>
          <cell r="L476">
            <v>351550</v>
          </cell>
          <cell r="M476">
            <v>332800</v>
          </cell>
        </row>
        <row r="477">
          <cell r="A477">
            <v>6540</v>
          </cell>
          <cell r="B477">
            <v>6560</v>
          </cell>
          <cell r="C477">
            <v>678880</v>
          </cell>
          <cell r="D477">
            <v>631020</v>
          </cell>
          <cell r="E477">
            <v>510700</v>
          </cell>
          <cell r="F477">
            <v>480700</v>
          </cell>
          <cell r="G477">
            <v>450700</v>
          </cell>
          <cell r="H477">
            <v>429190</v>
          </cell>
          <cell r="I477">
            <v>410440</v>
          </cell>
          <cell r="J477">
            <v>391690</v>
          </cell>
          <cell r="K477">
            <v>372940</v>
          </cell>
          <cell r="L477">
            <v>354190</v>
          </cell>
          <cell r="M477">
            <v>335440</v>
          </cell>
        </row>
        <row r="478">
          <cell r="A478">
            <v>6560</v>
          </cell>
          <cell r="B478">
            <v>6580</v>
          </cell>
          <cell r="C478">
            <v>683420</v>
          </cell>
          <cell r="D478">
            <v>635540</v>
          </cell>
          <cell r="E478">
            <v>514930</v>
          </cell>
          <cell r="F478">
            <v>484930</v>
          </cell>
          <cell r="G478">
            <v>454930</v>
          </cell>
          <cell r="H478">
            <v>431830</v>
          </cell>
          <cell r="I478">
            <v>413080</v>
          </cell>
          <cell r="J478">
            <v>394330</v>
          </cell>
          <cell r="K478">
            <v>375580</v>
          </cell>
          <cell r="L478">
            <v>356830</v>
          </cell>
          <cell r="M478">
            <v>338080</v>
          </cell>
        </row>
        <row r="479">
          <cell r="A479">
            <v>6580</v>
          </cell>
          <cell r="B479">
            <v>6600</v>
          </cell>
          <cell r="C479">
            <v>687960</v>
          </cell>
          <cell r="D479">
            <v>640050</v>
          </cell>
          <cell r="E479">
            <v>519150</v>
          </cell>
          <cell r="F479">
            <v>489150</v>
          </cell>
          <cell r="G479">
            <v>459150</v>
          </cell>
          <cell r="H479">
            <v>434470</v>
          </cell>
          <cell r="I479">
            <v>415720</v>
          </cell>
          <cell r="J479">
            <v>396970</v>
          </cell>
          <cell r="K479">
            <v>378220</v>
          </cell>
          <cell r="L479">
            <v>359470</v>
          </cell>
          <cell r="M479">
            <v>340720</v>
          </cell>
        </row>
        <row r="480">
          <cell r="A480">
            <v>6600</v>
          </cell>
          <cell r="B480">
            <v>6620</v>
          </cell>
          <cell r="C480">
            <v>692490</v>
          </cell>
          <cell r="D480">
            <v>644560</v>
          </cell>
          <cell r="E480">
            <v>523380</v>
          </cell>
          <cell r="F480">
            <v>493380</v>
          </cell>
          <cell r="G480">
            <v>463380</v>
          </cell>
          <cell r="H480">
            <v>437110</v>
          </cell>
          <cell r="I480">
            <v>418360</v>
          </cell>
          <cell r="J480">
            <v>399610</v>
          </cell>
          <cell r="K480">
            <v>380860</v>
          </cell>
          <cell r="L480">
            <v>362110</v>
          </cell>
          <cell r="M480">
            <v>343360</v>
          </cell>
        </row>
        <row r="481">
          <cell r="A481">
            <v>6620</v>
          </cell>
          <cell r="B481">
            <v>6640</v>
          </cell>
          <cell r="C481">
            <v>697030</v>
          </cell>
          <cell r="D481">
            <v>649070</v>
          </cell>
          <cell r="E481">
            <v>527600</v>
          </cell>
          <cell r="F481">
            <v>497600</v>
          </cell>
          <cell r="G481">
            <v>467600</v>
          </cell>
          <cell r="H481">
            <v>439750</v>
          </cell>
          <cell r="I481">
            <v>421000</v>
          </cell>
          <cell r="J481">
            <v>402250</v>
          </cell>
          <cell r="K481">
            <v>383500</v>
          </cell>
          <cell r="L481">
            <v>364750</v>
          </cell>
          <cell r="M481">
            <v>346000</v>
          </cell>
        </row>
        <row r="482">
          <cell r="A482">
            <v>6640</v>
          </cell>
          <cell r="B482">
            <v>6660</v>
          </cell>
          <cell r="C482">
            <v>701560</v>
          </cell>
          <cell r="D482">
            <v>653580</v>
          </cell>
          <cell r="E482">
            <v>531820</v>
          </cell>
          <cell r="F482">
            <v>501820</v>
          </cell>
          <cell r="G482">
            <v>471820</v>
          </cell>
          <cell r="H482">
            <v>442390</v>
          </cell>
          <cell r="I482">
            <v>423640</v>
          </cell>
          <cell r="J482">
            <v>404890</v>
          </cell>
          <cell r="K482">
            <v>386140</v>
          </cell>
          <cell r="L482">
            <v>367390</v>
          </cell>
          <cell r="M482">
            <v>348640</v>
          </cell>
        </row>
        <row r="483">
          <cell r="A483">
            <v>6660</v>
          </cell>
          <cell r="B483">
            <v>6680</v>
          </cell>
          <cell r="C483">
            <v>706100</v>
          </cell>
          <cell r="D483">
            <v>658100</v>
          </cell>
          <cell r="E483">
            <v>536050</v>
          </cell>
          <cell r="F483">
            <v>506050</v>
          </cell>
          <cell r="G483">
            <v>476050</v>
          </cell>
          <cell r="H483">
            <v>446050</v>
          </cell>
          <cell r="I483">
            <v>426280</v>
          </cell>
          <cell r="J483">
            <v>407530</v>
          </cell>
          <cell r="K483">
            <v>388780</v>
          </cell>
          <cell r="L483">
            <v>370030</v>
          </cell>
          <cell r="M483">
            <v>351280</v>
          </cell>
        </row>
        <row r="484">
          <cell r="A484">
            <v>6680</v>
          </cell>
          <cell r="B484">
            <v>6700</v>
          </cell>
          <cell r="C484">
            <v>710640</v>
          </cell>
          <cell r="D484">
            <v>662610</v>
          </cell>
          <cell r="E484">
            <v>540270</v>
          </cell>
          <cell r="F484">
            <v>510270</v>
          </cell>
          <cell r="G484">
            <v>480270</v>
          </cell>
          <cell r="H484">
            <v>450270</v>
          </cell>
          <cell r="I484">
            <v>428920</v>
          </cell>
          <cell r="J484">
            <v>410170</v>
          </cell>
          <cell r="K484">
            <v>391420</v>
          </cell>
          <cell r="L484">
            <v>372670</v>
          </cell>
          <cell r="M484">
            <v>353920</v>
          </cell>
        </row>
        <row r="485">
          <cell r="A485">
            <v>6700</v>
          </cell>
          <cell r="B485">
            <v>6720</v>
          </cell>
          <cell r="C485">
            <v>715170</v>
          </cell>
          <cell r="D485">
            <v>667120</v>
          </cell>
          <cell r="E485">
            <v>544500</v>
          </cell>
          <cell r="F485">
            <v>514500</v>
          </cell>
          <cell r="G485">
            <v>484500</v>
          </cell>
          <cell r="H485">
            <v>454500</v>
          </cell>
          <cell r="I485">
            <v>431560</v>
          </cell>
          <cell r="J485">
            <v>412810</v>
          </cell>
          <cell r="K485">
            <v>394060</v>
          </cell>
          <cell r="L485">
            <v>375310</v>
          </cell>
          <cell r="M485">
            <v>356560</v>
          </cell>
        </row>
        <row r="486">
          <cell r="A486">
            <v>6720</v>
          </cell>
          <cell r="B486">
            <v>6740</v>
          </cell>
          <cell r="C486">
            <v>719710</v>
          </cell>
          <cell r="D486">
            <v>671630</v>
          </cell>
          <cell r="E486">
            <v>548720</v>
          </cell>
          <cell r="F486">
            <v>518720</v>
          </cell>
          <cell r="G486">
            <v>488720</v>
          </cell>
          <cell r="H486">
            <v>458720</v>
          </cell>
          <cell r="I486">
            <v>434200</v>
          </cell>
          <cell r="J486">
            <v>415450</v>
          </cell>
          <cell r="K486">
            <v>396700</v>
          </cell>
          <cell r="L486">
            <v>377950</v>
          </cell>
          <cell r="M486">
            <v>359200</v>
          </cell>
        </row>
        <row r="487">
          <cell r="A487">
            <v>6740</v>
          </cell>
          <cell r="B487">
            <v>6760</v>
          </cell>
          <cell r="C487">
            <v>724240</v>
          </cell>
          <cell r="D487">
            <v>676140</v>
          </cell>
          <cell r="E487">
            <v>552940</v>
          </cell>
          <cell r="F487">
            <v>522940</v>
          </cell>
          <cell r="G487">
            <v>492940</v>
          </cell>
          <cell r="H487">
            <v>462940</v>
          </cell>
          <cell r="I487">
            <v>436840</v>
          </cell>
          <cell r="J487">
            <v>418090</v>
          </cell>
          <cell r="K487">
            <v>399340</v>
          </cell>
          <cell r="L487">
            <v>380590</v>
          </cell>
          <cell r="M487">
            <v>361840</v>
          </cell>
        </row>
        <row r="488">
          <cell r="A488">
            <v>6760</v>
          </cell>
          <cell r="B488">
            <v>6780</v>
          </cell>
          <cell r="C488">
            <v>728780</v>
          </cell>
          <cell r="D488">
            <v>680660</v>
          </cell>
          <cell r="E488">
            <v>557170</v>
          </cell>
          <cell r="F488">
            <v>527170</v>
          </cell>
          <cell r="G488">
            <v>497170</v>
          </cell>
          <cell r="H488">
            <v>467170</v>
          </cell>
          <cell r="I488">
            <v>439480</v>
          </cell>
          <cell r="J488">
            <v>420730</v>
          </cell>
          <cell r="K488">
            <v>401980</v>
          </cell>
          <cell r="L488">
            <v>383230</v>
          </cell>
          <cell r="M488">
            <v>364480</v>
          </cell>
        </row>
        <row r="489">
          <cell r="A489">
            <v>6780</v>
          </cell>
          <cell r="B489">
            <v>6800</v>
          </cell>
          <cell r="C489">
            <v>733320</v>
          </cell>
          <cell r="D489">
            <v>685170</v>
          </cell>
          <cell r="E489">
            <v>561390</v>
          </cell>
          <cell r="F489">
            <v>531390</v>
          </cell>
          <cell r="G489">
            <v>501390</v>
          </cell>
          <cell r="H489">
            <v>471390</v>
          </cell>
          <cell r="I489">
            <v>442120</v>
          </cell>
          <cell r="J489">
            <v>423370</v>
          </cell>
          <cell r="K489">
            <v>404620</v>
          </cell>
          <cell r="L489">
            <v>385870</v>
          </cell>
          <cell r="M489">
            <v>367120</v>
          </cell>
        </row>
        <row r="490">
          <cell r="A490">
            <v>6800</v>
          </cell>
          <cell r="B490">
            <v>6820</v>
          </cell>
          <cell r="C490">
            <v>737850</v>
          </cell>
          <cell r="D490">
            <v>689680</v>
          </cell>
          <cell r="E490">
            <v>565620</v>
          </cell>
          <cell r="F490">
            <v>535620</v>
          </cell>
          <cell r="G490">
            <v>505620</v>
          </cell>
          <cell r="H490">
            <v>475620</v>
          </cell>
          <cell r="I490">
            <v>445620</v>
          </cell>
          <cell r="J490">
            <v>426010</v>
          </cell>
          <cell r="K490">
            <v>407260</v>
          </cell>
          <cell r="L490">
            <v>388510</v>
          </cell>
          <cell r="M490">
            <v>369760</v>
          </cell>
        </row>
        <row r="491">
          <cell r="A491">
            <v>6820</v>
          </cell>
          <cell r="B491">
            <v>6840</v>
          </cell>
          <cell r="C491">
            <v>742390</v>
          </cell>
          <cell r="D491">
            <v>694190</v>
          </cell>
          <cell r="E491">
            <v>569840</v>
          </cell>
          <cell r="F491">
            <v>539840</v>
          </cell>
          <cell r="G491">
            <v>509840</v>
          </cell>
          <cell r="H491">
            <v>479840</v>
          </cell>
          <cell r="I491">
            <v>449840</v>
          </cell>
          <cell r="J491">
            <v>428650</v>
          </cell>
          <cell r="K491">
            <v>409900</v>
          </cell>
          <cell r="L491">
            <v>391150</v>
          </cell>
          <cell r="M491">
            <v>372400</v>
          </cell>
        </row>
        <row r="492">
          <cell r="A492">
            <v>6840</v>
          </cell>
          <cell r="B492">
            <v>6860</v>
          </cell>
          <cell r="C492">
            <v>746920</v>
          </cell>
          <cell r="D492">
            <v>698700</v>
          </cell>
          <cell r="E492">
            <v>574060</v>
          </cell>
          <cell r="F492">
            <v>544060</v>
          </cell>
          <cell r="G492">
            <v>514060</v>
          </cell>
          <cell r="H492">
            <v>484060</v>
          </cell>
          <cell r="I492">
            <v>454060</v>
          </cell>
          <cell r="J492">
            <v>431290</v>
          </cell>
          <cell r="K492">
            <v>412540</v>
          </cell>
          <cell r="L492">
            <v>393790</v>
          </cell>
          <cell r="M492">
            <v>375040</v>
          </cell>
        </row>
        <row r="493">
          <cell r="A493">
            <v>6860</v>
          </cell>
          <cell r="B493">
            <v>6880</v>
          </cell>
          <cell r="C493">
            <v>751460</v>
          </cell>
          <cell r="D493">
            <v>703220</v>
          </cell>
          <cell r="E493">
            <v>578290</v>
          </cell>
          <cell r="F493">
            <v>548290</v>
          </cell>
          <cell r="G493">
            <v>518290</v>
          </cell>
          <cell r="H493">
            <v>488290</v>
          </cell>
          <cell r="I493">
            <v>458290</v>
          </cell>
          <cell r="J493">
            <v>433930</v>
          </cell>
          <cell r="K493">
            <v>415180</v>
          </cell>
          <cell r="L493">
            <v>396430</v>
          </cell>
          <cell r="M493">
            <v>377680</v>
          </cell>
        </row>
        <row r="494">
          <cell r="A494">
            <v>6880</v>
          </cell>
          <cell r="B494">
            <v>6900</v>
          </cell>
          <cell r="C494">
            <v>756000</v>
          </cell>
          <cell r="D494">
            <v>707730</v>
          </cell>
          <cell r="E494">
            <v>582510</v>
          </cell>
          <cell r="F494">
            <v>552510</v>
          </cell>
          <cell r="G494">
            <v>522510</v>
          </cell>
          <cell r="H494">
            <v>492510</v>
          </cell>
          <cell r="I494">
            <v>462510</v>
          </cell>
          <cell r="J494">
            <v>436570</v>
          </cell>
          <cell r="K494">
            <v>417820</v>
          </cell>
          <cell r="L494">
            <v>399070</v>
          </cell>
          <cell r="M494">
            <v>380320</v>
          </cell>
        </row>
        <row r="495">
          <cell r="A495">
            <v>6900</v>
          </cell>
          <cell r="B495">
            <v>6920</v>
          </cell>
          <cell r="C495">
            <v>760530</v>
          </cell>
          <cell r="D495">
            <v>712240</v>
          </cell>
          <cell r="E495">
            <v>586740</v>
          </cell>
          <cell r="F495">
            <v>556740</v>
          </cell>
          <cell r="G495">
            <v>526740</v>
          </cell>
          <cell r="H495">
            <v>496740</v>
          </cell>
          <cell r="I495">
            <v>466740</v>
          </cell>
          <cell r="J495">
            <v>439210</v>
          </cell>
          <cell r="K495">
            <v>420460</v>
          </cell>
          <cell r="L495">
            <v>401710</v>
          </cell>
          <cell r="M495">
            <v>382960</v>
          </cell>
        </row>
        <row r="496">
          <cell r="A496">
            <v>6920</v>
          </cell>
          <cell r="B496">
            <v>6940</v>
          </cell>
          <cell r="C496">
            <v>765070</v>
          </cell>
          <cell r="D496">
            <v>716750</v>
          </cell>
          <cell r="E496">
            <v>590960</v>
          </cell>
          <cell r="F496">
            <v>560960</v>
          </cell>
          <cell r="G496">
            <v>530960</v>
          </cell>
          <cell r="H496">
            <v>500960</v>
          </cell>
          <cell r="I496">
            <v>470960</v>
          </cell>
          <cell r="J496">
            <v>441850</v>
          </cell>
          <cell r="K496">
            <v>423100</v>
          </cell>
          <cell r="L496">
            <v>404350</v>
          </cell>
          <cell r="M496">
            <v>385600</v>
          </cell>
        </row>
        <row r="497">
          <cell r="A497">
            <v>6940</v>
          </cell>
          <cell r="B497">
            <v>6960</v>
          </cell>
          <cell r="C497">
            <v>769600</v>
          </cell>
          <cell r="D497">
            <v>721260</v>
          </cell>
          <cell r="E497">
            <v>595180</v>
          </cell>
          <cell r="F497">
            <v>565180</v>
          </cell>
          <cell r="G497">
            <v>535180</v>
          </cell>
          <cell r="H497">
            <v>505180</v>
          </cell>
          <cell r="I497">
            <v>475180</v>
          </cell>
          <cell r="J497">
            <v>445180</v>
          </cell>
          <cell r="K497">
            <v>425740</v>
          </cell>
          <cell r="L497">
            <v>406990</v>
          </cell>
          <cell r="M497">
            <v>388240</v>
          </cell>
        </row>
        <row r="498">
          <cell r="A498">
            <v>6960</v>
          </cell>
          <cell r="B498">
            <v>6980</v>
          </cell>
          <cell r="C498">
            <v>774140</v>
          </cell>
          <cell r="D498">
            <v>725780</v>
          </cell>
          <cell r="E498">
            <v>599410</v>
          </cell>
          <cell r="F498">
            <v>569410</v>
          </cell>
          <cell r="G498">
            <v>539410</v>
          </cell>
          <cell r="H498">
            <v>509410</v>
          </cell>
          <cell r="I498">
            <v>479410</v>
          </cell>
          <cell r="J498">
            <v>449410</v>
          </cell>
          <cell r="K498">
            <v>428380</v>
          </cell>
          <cell r="L498">
            <v>409630</v>
          </cell>
          <cell r="M498">
            <v>390880</v>
          </cell>
        </row>
        <row r="499">
          <cell r="A499">
            <v>6980</v>
          </cell>
          <cell r="B499">
            <v>7000</v>
          </cell>
          <cell r="C499">
            <v>778680</v>
          </cell>
          <cell r="D499">
            <v>730290</v>
          </cell>
          <cell r="E499">
            <v>603630</v>
          </cell>
          <cell r="F499">
            <v>573630</v>
          </cell>
          <cell r="G499">
            <v>543630</v>
          </cell>
          <cell r="H499">
            <v>513630</v>
          </cell>
          <cell r="I499">
            <v>483630</v>
          </cell>
          <cell r="J499">
            <v>453630</v>
          </cell>
          <cell r="K499">
            <v>431020</v>
          </cell>
          <cell r="L499">
            <v>412270</v>
          </cell>
          <cell r="M499">
            <v>393520</v>
          </cell>
        </row>
        <row r="500">
          <cell r="A500">
            <v>7000</v>
          </cell>
          <cell r="B500">
            <v>7020</v>
          </cell>
          <cell r="C500">
            <v>783210</v>
          </cell>
          <cell r="D500">
            <v>734800</v>
          </cell>
          <cell r="E500">
            <v>607860</v>
          </cell>
          <cell r="F500">
            <v>577860</v>
          </cell>
          <cell r="G500">
            <v>547860</v>
          </cell>
          <cell r="H500">
            <v>517860</v>
          </cell>
          <cell r="I500">
            <v>487860</v>
          </cell>
          <cell r="J500">
            <v>457860</v>
          </cell>
          <cell r="K500">
            <v>433660</v>
          </cell>
          <cell r="L500">
            <v>414910</v>
          </cell>
          <cell r="M500">
            <v>396160</v>
          </cell>
        </row>
        <row r="501">
          <cell r="A501">
            <v>7020</v>
          </cell>
          <cell r="B501">
            <v>7040</v>
          </cell>
          <cell r="C501">
            <v>787750</v>
          </cell>
          <cell r="D501">
            <v>739310</v>
          </cell>
          <cell r="E501">
            <v>612080</v>
          </cell>
          <cell r="F501">
            <v>582080</v>
          </cell>
          <cell r="G501">
            <v>552080</v>
          </cell>
          <cell r="H501">
            <v>522080</v>
          </cell>
          <cell r="I501">
            <v>492080</v>
          </cell>
          <cell r="J501">
            <v>462080</v>
          </cell>
          <cell r="K501">
            <v>436300</v>
          </cell>
          <cell r="L501">
            <v>417550</v>
          </cell>
          <cell r="M501">
            <v>398800</v>
          </cell>
        </row>
        <row r="502">
          <cell r="A502">
            <v>7040</v>
          </cell>
          <cell r="B502">
            <v>7060</v>
          </cell>
          <cell r="C502">
            <v>792280</v>
          </cell>
          <cell r="D502">
            <v>743820</v>
          </cell>
          <cell r="E502">
            <v>616300</v>
          </cell>
          <cell r="F502">
            <v>586300</v>
          </cell>
          <cell r="G502">
            <v>556300</v>
          </cell>
          <cell r="H502">
            <v>526300</v>
          </cell>
          <cell r="I502">
            <v>496300</v>
          </cell>
          <cell r="J502">
            <v>466300</v>
          </cell>
          <cell r="K502">
            <v>438940</v>
          </cell>
          <cell r="L502">
            <v>420190</v>
          </cell>
          <cell r="M502">
            <v>401440</v>
          </cell>
        </row>
        <row r="503">
          <cell r="A503">
            <v>7060</v>
          </cell>
          <cell r="B503">
            <v>7080</v>
          </cell>
          <cell r="C503">
            <v>796820</v>
          </cell>
          <cell r="D503">
            <v>748340</v>
          </cell>
          <cell r="E503">
            <v>620530</v>
          </cell>
          <cell r="F503">
            <v>590530</v>
          </cell>
          <cell r="G503">
            <v>560530</v>
          </cell>
          <cell r="H503">
            <v>530530</v>
          </cell>
          <cell r="I503">
            <v>500530</v>
          </cell>
          <cell r="J503">
            <v>470530</v>
          </cell>
          <cell r="K503">
            <v>441580</v>
          </cell>
          <cell r="L503">
            <v>422830</v>
          </cell>
          <cell r="M503">
            <v>404080</v>
          </cell>
        </row>
        <row r="504">
          <cell r="A504">
            <v>7080</v>
          </cell>
          <cell r="B504">
            <v>7100</v>
          </cell>
          <cell r="C504">
            <v>801360</v>
          </cell>
          <cell r="D504">
            <v>752850</v>
          </cell>
          <cell r="E504">
            <v>624750</v>
          </cell>
          <cell r="F504">
            <v>594750</v>
          </cell>
          <cell r="G504">
            <v>564750</v>
          </cell>
          <cell r="H504">
            <v>534750</v>
          </cell>
          <cell r="I504">
            <v>504750</v>
          </cell>
          <cell r="J504">
            <v>474750</v>
          </cell>
          <cell r="K504">
            <v>444750</v>
          </cell>
          <cell r="L504">
            <v>425470</v>
          </cell>
          <cell r="M504">
            <v>406720</v>
          </cell>
        </row>
        <row r="505">
          <cell r="A505">
            <v>7100</v>
          </cell>
          <cell r="B505">
            <v>7120</v>
          </cell>
          <cell r="C505">
            <v>805890</v>
          </cell>
          <cell r="D505">
            <v>757360</v>
          </cell>
          <cell r="E505">
            <v>628980</v>
          </cell>
          <cell r="F505">
            <v>598980</v>
          </cell>
          <cell r="G505">
            <v>568980</v>
          </cell>
          <cell r="H505">
            <v>538980</v>
          </cell>
          <cell r="I505">
            <v>508980</v>
          </cell>
          <cell r="J505">
            <v>478980</v>
          </cell>
          <cell r="K505">
            <v>448980</v>
          </cell>
          <cell r="L505">
            <v>428110</v>
          </cell>
          <cell r="M505">
            <v>409360</v>
          </cell>
        </row>
        <row r="506">
          <cell r="A506">
            <v>7120</v>
          </cell>
          <cell r="B506">
            <v>7140</v>
          </cell>
          <cell r="C506">
            <v>810430</v>
          </cell>
          <cell r="D506">
            <v>761870</v>
          </cell>
          <cell r="E506">
            <v>633200</v>
          </cell>
          <cell r="F506">
            <v>603200</v>
          </cell>
          <cell r="G506">
            <v>573200</v>
          </cell>
          <cell r="H506">
            <v>543200</v>
          </cell>
          <cell r="I506">
            <v>513200</v>
          </cell>
          <cell r="J506">
            <v>483200</v>
          </cell>
          <cell r="K506">
            <v>453200</v>
          </cell>
          <cell r="L506">
            <v>430750</v>
          </cell>
          <cell r="M506">
            <v>412000</v>
          </cell>
        </row>
        <row r="507">
          <cell r="A507">
            <v>7140</v>
          </cell>
          <cell r="B507">
            <v>7160</v>
          </cell>
          <cell r="C507">
            <v>814960</v>
          </cell>
          <cell r="D507">
            <v>766380</v>
          </cell>
          <cell r="E507">
            <v>637420</v>
          </cell>
          <cell r="F507">
            <v>607420</v>
          </cell>
          <cell r="G507">
            <v>577420</v>
          </cell>
          <cell r="H507">
            <v>547420</v>
          </cell>
          <cell r="I507">
            <v>517420</v>
          </cell>
          <cell r="J507">
            <v>487420</v>
          </cell>
          <cell r="K507">
            <v>457420</v>
          </cell>
          <cell r="L507">
            <v>433390</v>
          </cell>
          <cell r="M507">
            <v>414640</v>
          </cell>
        </row>
        <row r="508">
          <cell r="A508">
            <v>7160</v>
          </cell>
          <cell r="B508">
            <v>7180</v>
          </cell>
          <cell r="C508">
            <v>819500</v>
          </cell>
          <cell r="D508">
            <v>770900</v>
          </cell>
          <cell r="E508">
            <v>641650</v>
          </cell>
          <cell r="F508">
            <v>611650</v>
          </cell>
          <cell r="G508">
            <v>581650</v>
          </cell>
          <cell r="H508">
            <v>551650</v>
          </cell>
          <cell r="I508">
            <v>521650</v>
          </cell>
          <cell r="J508">
            <v>491650</v>
          </cell>
          <cell r="K508">
            <v>461650</v>
          </cell>
          <cell r="L508">
            <v>436030</v>
          </cell>
          <cell r="M508">
            <v>417280</v>
          </cell>
        </row>
        <row r="509">
          <cell r="A509">
            <v>7180</v>
          </cell>
          <cell r="B509">
            <v>7200</v>
          </cell>
          <cell r="C509">
            <v>824040</v>
          </cell>
          <cell r="D509">
            <v>775410</v>
          </cell>
          <cell r="E509">
            <v>645870</v>
          </cell>
          <cell r="F509">
            <v>615870</v>
          </cell>
          <cell r="G509">
            <v>585870</v>
          </cell>
          <cell r="H509">
            <v>555870</v>
          </cell>
          <cell r="I509">
            <v>525870</v>
          </cell>
          <cell r="J509">
            <v>495870</v>
          </cell>
          <cell r="K509">
            <v>465870</v>
          </cell>
          <cell r="L509">
            <v>438670</v>
          </cell>
          <cell r="M509">
            <v>419920</v>
          </cell>
        </row>
        <row r="510">
          <cell r="A510">
            <v>7200</v>
          </cell>
          <cell r="B510">
            <v>7220</v>
          </cell>
          <cell r="C510">
            <v>828570</v>
          </cell>
          <cell r="D510">
            <v>779920</v>
          </cell>
          <cell r="E510">
            <v>650100</v>
          </cell>
          <cell r="F510">
            <v>620100</v>
          </cell>
          <cell r="G510">
            <v>590100</v>
          </cell>
          <cell r="H510">
            <v>560100</v>
          </cell>
          <cell r="I510">
            <v>530100</v>
          </cell>
          <cell r="J510">
            <v>500100</v>
          </cell>
          <cell r="K510">
            <v>470100</v>
          </cell>
          <cell r="L510">
            <v>441310</v>
          </cell>
          <cell r="M510">
            <v>422560</v>
          </cell>
        </row>
        <row r="511">
          <cell r="A511">
            <v>7220</v>
          </cell>
          <cell r="B511">
            <v>7240</v>
          </cell>
          <cell r="C511">
            <v>833110</v>
          </cell>
          <cell r="D511">
            <v>784430</v>
          </cell>
          <cell r="E511">
            <v>654320</v>
          </cell>
          <cell r="F511">
            <v>624320</v>
          </cell>
          <cell r="G511">
            <v>594320</v>
          </cell>
          <cell r="H511">
            <v>564320</v>
          </cell>
          <cell r="I511">
            <v>534320</v>
          </cell>
          <cell r="J511">
            <v>504320</v>
          </cell>
          <cell r="K511">
            <v>474320</v>
          </cell>
          <cell r="L511">
            <v>444320</v>
          </cell>
          <cell r="M511">
            <v>425200</v>
          </cell>
        </row>
        <row r="512">
          <cell r="A512">
            <v>7240</v>
          </cell>
          <cell r="B512">
            <v>7260</v>
          </cell>
          <cell r="C512">
            <v>837640</v>
          </cell>
          <cell r="D512">
            <v>788940</v>
          </cell>
          <cell r="E512">
            <v>658540</v>
          </cell>
          <cell r="F512">
            <v>628540</v>
          </cell>
          <cell r="G512">
            <v>598540</v>
          </cell>
          <cell r="H512">
            <v>568540</v>
          </cell>
          <cell r="I512">
            <v>538540</v>
          </cell>
          <cell r="J512">
            <v>508540</v>
          </cell>
          <cell r="K512">
            <v>478540</v>
          </cell>
          <cell r="L512">
            <v>448540</v>
          </cell>
          <cell r="M512">
            <v>427840</v>
          </cell>
        </row>
        <row r="513">
          <cell r="A513">
            <v>7260</v>
          </cell>
          <cell r="B513">
            <v>7280</v>
          </cell>
          <cell r="C513">
            <v>842180</v>
          </cell>
          <cell r="D513">
            <v>793460</v>
          </cell>
          <cell r="E513">
            <v>662770</v>
          </cell>
          <cell r="F513">
            <v>632770</v>
          </cell>
          <cell r="G513">
            <v>602770</v>
          </cell>
          <cell r="H513">
            <v>572770</v>
          </cell>
          <cell r="I513">
            <v>542770</v>
          </cell>
          <cell r="J513">
            <v>512770</v>
          </cell>
          <cell r="K513">
            <v>482770</v>
          </cell>
          <cell r="L513">
            <v>452770</v>
          </cell>
          <cell r="M513">
            <v>430480</v>
          </cell>
        </row>
        <row r="514">
          <cell r="A514">
            <v>7280</v>
          </cell>
          <cell r="B514">
            <v>7300</v>
          </cell>
          <cell r="C514">
            <v>846720</v>
          </cell>
          <cell r="D514">
            <v>797970</v>
          </cell>
          <cell r="E514">
            <v>666990</v>
          </cell>
          <cell r="F514">
            <v>636990</v>
          </cell>
          <cell r="G514">
            <v>606990</v>
          </cell>
          <cell r="H514">
            <v>576990</v>
          </cell>
          <cell r="I514">
            <v>546990</v>
          </cell>
          <cell r="J514">
            <v>516990</v>
          </cell>
          <cell r="K514">
            <v>486990</v>
          </cell>
          <cell r="L514">
            <v>456990</v>
          </cell>
          <cell r="M514">
            <v>433120</v>
          </cell>
        </row>
        <row r="515">
          <cell r="A515">
            <v>7300</v>
          </cell>
          <cell r="B515">
            <v>7320</v>
          </cell>
          <cell r="C515">
            <v>851250</v>
          </cell>
          <cell r="D515">
            <v>802480</v>
          </cell>
          <cell r="E515">
            <v>671220</v>
          </cell>
          <cell r="F515">
            <v>641220</v>
          </cell>
          <cell r="G515">
            <v>611220</v>
          </cell>
          <cell r="H515">
            <v>581220</v>
          </cell>
          <cell r="I515">
            <v>551220</v>
          </cell>
          <cell r="J515">
            <v>521220</v>
          </cell>
          <cell r="K515">
            <v>491220</v>
          </cell>
          <cell r="L515">
            <v>461220</v>
          </cell>
          <cell r="M515">
            <v>435760</v>
          </cell>
        </row>
        <row r="516">
          <cell r="A516">
            <v>7320</v>
          </cell>
          <cell r="B516">
            <v>7340</v>
          </cell>
          <cell r="C516">
            <v>855790</v>
          </cell>
          <cell r="D516">
            <v>806990</v>
          </cell>
          <cell r="E516">
            <v>675440</v>
          </cell>
          <cell r="F516">
            <v>645440</v>
          </cell>
          <cell r="G516">
            <v>615440</v>
          </cell>
          <cell r="H516">
            <v>585440</v>
          </cell>
          <cell r="I516">
            <v>555440</v>
          </cell>
          <cell r="J516">
            <v>525440</v>
          </cell>
          <cell r="K516">
            <v>495440</v>
          </cell>
          <cell r="L516">
            <v>465440</v>
          </cell>
          <cell r="M516">
            <v>438400</v>
          </cell>
        </row>
        <row r="517">
          <cell r="A517">
            <v>7340</v>
          </cell>
          <cell r="B517">
            <v>7360</v>
          </cell>
          <cell r="C517">
            <v>860320</v>
          </cell>
          <cell r="D517">
            <v>811500</v>
          </cell>
          <cell r="E517">
            <v>679660</v>
          </cell>
          <cell r="F517">
            <v>649660</v>
          </cell>
          <cell r="G517">
            <v>619660</v>
          </cell>
          <cell r="H517">
            <v>589660</v>
          </cell>
          <cell r="I517">
            <v>559660</v>
          </cell>
          <cell r="J517">
            <v>529660</v>
          </cell>
          <cell r="K517">
            <v>499660</v>
          </cell>
          <cell r="L517">
            <v>469660</v>
          </cell>
          <cell r="M517">
            <v>441040</v>
          </cell>
        </row>
        <row r="518">
          <cell r="A518">
            <v>7360</v>
          </cell>
          <cell r="B518">
            <v>7380</v>
          </cell>
          <cell r="C518">
            <v>864860</v>
          </cell>
          <cell r="D518">
            <v>816020</v>
          </cell>
          <cell r="E518">
            <v>683890</v>
          </cell>
          <cell r="F518">
            <v>653890</v>
          </cell>
          <cell r="G518">
            <v>623890</v>
          </cell>
          <cell r="H518">
            <v>593890</v>
          </cell>
          <cell r="I518">
            <v>563890</v>
          </cell>
          <cell r="J518">
            <v>533890</v>
          </cell>
          <cell r="K518">
            <v>503890</v>
          </cell>
          <cell r="L518">
            <v>473890</v>
          </cell>
          <cell r="M518">
            <v>443890</v>
          </cell>
        </row>
        <row r="519">
          <cell r="A519">
            <v>7380</v>
          </cell>
          <cell r="B519">
            <v>7400</v>
          </cell>
          <cell r="C519">
            <v>869400</v>
          </cell>
          <cell r="D519">
            <v>820530</v>
          </cell>
          <cell r="E519">
            <v>688110</v>
          </cell>
          <cell r="F519">
            <v>658110</v>
          </cell>
          <cell r="G519">
            <v>628110</v>
          </cell>
          <cell r="H519">
            <v>598110</v>
          </cell>
          <cell r="I519">
            <v>568110</v>
          </cell>
          <cell r="J519">
            <v>538110</v>
          </cell>
          <cell r="K519">
            <v>508110</v>
          </cell>
          <cell r="L519">
            <v>478110</v>
          </cell>
          <cell r="M519">
            <v>448110</v>
          </cell>
        </row>
        <row r="520">
          <cell r="A520">
            <v>7400</v>
          </cell>
          <cell r="B520">
            <v>7420</v>
          </cell>
          <cell r="C520">
            <v>873930</v>
          </cell>
          <cell r="D520">
            <v>825040</v>
          </cell>
          <cell r="E520">
            <v>692340</v>
          </cell>
          <cell r="F520">
            <v>662340</v>
          </cell>
          <cell r="G520">
            <v>632340</v>
          </cell>
          <cell r="H520">
            <v>602340</v>
          </cell>
          <cell r="I520">
            <v>572340</v>
          </cell>
          <cell r="J520">
            <v>542340</v>
          </cell>
          <cell r="K520">
            <v>512340</v>
          </cell>
          <cell r="L520">
            <v>482340</v>
          </cell>
          <cell r="M520">
            <v>452340</v>
          </cell>
        </row>
        <row r="521">
          <cell r="A521">
            <v>7420</v>
          </cell>
          <cell r="B521">
            <v>7440</v>
          </cell>
          <cell r="C521">
            <v>878470</v>
          </cell>
          <cell r="D521">
            <v>829550</v>
          </cell>
          <cell r="E521">
            <v>696560</v>
          </cell>
          <cell r="F521">
            <v>666560</v>
          </cell>
          <cell r="G521">
            <v>636560</v>
          </cell>
          <cell r="H521">
            <v>606560</v>
          </cell>
          <cell r="I521">
            <v>576560</v>
          </cell>
          <cell r="J521">
            <v>546560</v>
          </cell>
          <cell r="K521">
            <v>516560</v>
          </cell>
          <cell r="L521">
            <v>486560</v>
          </cell>
          <cell r="M521">
            <v>456560</v>
          </cell>
        </row>
        <row r="522">
          <cell r="A522">
            <v>7440</v>
          </cell>
          <cell r="B522">
            <v>7460</v>
          </cell>
          <cell r="C522">
            <v>883000</v>
          </cell>
          <cell r="D522">
            <v>834060</v>
          </cell>
          <cell r="E522">
            <v>700780</v>
          </cell>
          <cell r="F522">
            <v>670780</v>
          </cell>
          <cell r="G522">
            <v>640780</v>
          </cell>
          <cell r="H522">
            <v>610780</v>
          </cell>
          <cell r="I522">
            <v>580780</v>
          </cell>
          <cell r="J522">
            <v>550780</v>
          </cell>
          <cell r="K522">
            <v>520780</v>
          </cell>
          <cell r="L522">
            <v>490780</v>
          </cell>
          <cell r="M522">
            <v>460780</v>
          </cell>
        </row>
        <row r="523">
          <cell r="A523">
            <v>7460</v>
          </cell>
          <cell r="B523">
            <v>7480</v>
          </cell>
          <cell r="C523">
            <v>887540</v>
          </cell>
          <cell r="D523">
            <v>838580</v>
          </cell>
          <cell r="E523">
            <v>705010</v>
          </cell>
          <cell r="F523">
            <v>675010</v>
          </cell>
          <cell r="G523">
            <v>645010</v>
          </cell>
          <cell r="H523">
            <v>615010</v>
          </cell>
          <cell r="I523">
            <v>585010</v>
          </cell>
          <cell r="J523">
            <v>555010</v>
          </cell>
          <cell r="K523">
            <v>525010</v>
          </cell>
          <cell r="L523">
            <v>495010</v>
          </cell>
          <cell r="M523">
            <v>465010</v>
          </cell>
        </row>
        <row r="524">
          <cell r="A524">
            <v>7480</v>
          </cell>
          <cell r="B524">
            <v>7500</v>
          </cell>
          <cell r="C524">
            <v>892080</v>
          </cell>
          <cell r="D524">
            <v>843090</v>
          </cell>
          <cell r="E524">
            <v>709230</v>
          </cell>
          <cell r="F524">
            <v>679230</v>
          </cell>
          <cell r="G524">
            <v>649230</v>
          </cell>
          <cell r="H524">
            <v>619230</v>
          </cell>
          <cell r="I524">
            <v>589230</v>
          </cell>
          <cell r="J524">
            <v>559230</v>
          </cell>
          <cell r="K524">
            <v>529230</v>
          </cell>
          <cell r="L524">
            <v>499230</v>
          </cell>
          <cell r="M524">
            <v>469230</v>
          </cell>
        </row>
        <row r="525">
          <cell r="A525">
            <v>7500</v>
          </cell>
          <cell r="B525">
            <v>7520</v>
          </cell>
          <cell r="C525">
            <v>896610</v>
          </cell>
          <cell r="D525">
            <v>847600</v>
          </cell>
          <cell r="E525">
            <v>713460</v>
          </cell>
          <cell r="F525">
            <v>683460</v>
          </cell>
          <cell r="G525">
            <v>653460</v>
          </cell>
          <cell r="H525">
            <v>623460</v>
          </cell>
          <cell r="I525">
            <v>593460</v>
          </cell>
          <cell r="J525">
            <v>563460</v>
          </cell>
          <cell r="K525">
            <v>533460</v>
          </cell>
          <cell r="L525">
            <v>503460</v>
          </cell>
          <cell r="M525">
            <v>473460</v>
          </cell>
        </row>
        <row r="526">
          <cell r="A526">
            <v>7520</v>
          </cell>
          <cell r="B526">
            <v>7540</v>
          </cell>
          <cell r="C526">
            <v>901150</v>
          </cell>
          <cell r="D526">
            <v>852110</v>
          </cell>
          <cell r="E526">
            <v>717680</v>
          </cell>
          <cell r="F526">
            <v>687680</v>
          </cell>
          <cell r="G526">
            <v>657680</v>
          </cell>
          <cell r="H526">
            <v>627680</v>
          </cell>
          <cell r="I526">
            <v>597680</v>
          </cell>
          <cell r="J526">
            <v>567680</v>
          </cell>
          <cell r="K526">
            <v>537680</v>
          </cell>
          <cell r="L526">
            <v>507680</v>
          </cell>
          <cell r="M526">
            <v>477680</v>
          </cell>
        </row>
        <row r="527">
          <cell r="A527">
            <v>7540</v>
          </cell>
          <cell r="B527">
            <v>7560</v>
          </cell>
          <cell r="C527">
            <v>905680</v>
          </cell>
          <cell r="D527">
            <v>856620</v>
          </cell>
          <cell r="E527">
            <v>721900</v>
          </cell>
          <cell r="F527">
            <v>691900</v>
          </cell>
          <cell r="G527">
            <v>661900</v>
          </cell>
          <cell r="H527">
            <v>631900</v>
          </cell>
          <cell r="I527">
            <v>601900</v>
          </cell>
          <cell r="J527">
            <v>571900</v>
          </cell>
          <cell r="K527">
            <v>541900</v>
          </cell>
          <cell r="L527">
            <v>511900</v>
          </cell>
          <cell r="M527">
            <v>481900</v>
          </cell>
        </row>
        <row r="528">
          <cell r="A528">
            <v>7560</v>
          </cell>
          <cell r="B528">
            <v>7580</v>
          </cell>
          <cell r="C528">
            <v>910220</v>
          </cell>
          <cell r="D528">
            <v>861140</v>
          </cell>
          <cell r="E528">
            <v>726130</v>
          </cell>
          <cell r="F528">
            <v>696130</v>
          </cell>
          <cell r="G528">
            <v>666130</v>
          </cell>
          <cell r="H528">
            <v>636130</v>
          </cell>
          <cell r="I528">
            <v>606130</v>
          </cell>
          <cell r="J528">
            <v>576130</v>
          </cell>
          <cell r="K528">
            <v>546130</v>
          </cell>
          <cell r="L528">
            <v>516130</v>
          </cell>
          <cell r="M528">
            <v>486130</v>
          </cell>
        </row>
        <row r="529">
          <cell r="A529">
            <v>7580</v>
          </cell>
          <cell r="B529">
            <v>7600</v>
          </cell>
          <cell r="C529">
            <v>914760</v>
          </cell>
          <cell r="D529">
            <v>865650</v>
          </cell>
          <cell r="E529">
            <v>730350</v>
          </cell>
          <cell r="F529">
            <v>700350</v>
          </cell>
          <cell r="G529">
            <v>670350</v>
          </cell>
          <cell r="H529">
            <v>640350</v>
          </cell>
          <cell r="I529">
            <v>610350</v>
          </cell>
          <cell r="J529">
            <v>580350</v>
          </cell>
          <cell r="K529">
            <v>550350</v>
          </cell>
          <cell r="L529">
            <v>520350</v>
          </cell>
          <cell r="M529">
            <v>490350</v>
          </cell>
        </row>
        <row r="530">
          <cell r="A530">
            <v>7600</v>
          </cell>
          <cell r="B530">
            <v>7620</v>
          </cell>
          <cell r="C530">
            <v>919290</v>
          </cell>
          <cell r="D530">
            <v>870160</v>
          </cell>
          <cell r="E530">
            <v>734580</v>
          </cell>
          <cell r="F530">
            <v>704580</v>
          </cell>
          <cell r="G530">
            <v>674580</v>
          </cell>
          <cell r="H530">
            <v>644580</v>
          </cell>
          <cell r="I530">
            <v>614580</v>
          </cell>
          <cell r="J530">
            <v>584580</v>
          </cell>
          <cell r="K530">
            <v>554580</v>
          </cell>
          <cell r="L530">
            <v>524580</v>
          </cell>
          <cell r="M530">
            <v>494580</v>
          </cell>
        </row>
        <row r="531">
          <cell r="A531">
            <v>7620</v>
          </cell>
          <cell r="B531">
            <v>7640</v>
          </cell>
          <cell r="C531">
            <v>923830</v>
          </cell>
          <cell r="D531">
            <v>874670</v>
          </cell>
          <cell r="E531">
            <v>738800</v>
          </cell>
          <cell r="F531">
            <v>708800</v>
          </cell>
          <cell r="G531">
            <v>678800</v>
          </cell>
          <cell r="H531">
            <v>648800</v>
          </cell>
          <cell r="I531">
            <v>618800</v>
          </cell>
          <cell r="J531">
            <v>588800</v>
          </cell>
          <cell r="K531">
            <v>558800</v>
          </cell>
          <cell r="L531">
            <v>528800</v>
          </cell>
          <cell r="M531">
            <v>498800</v>
          </cell>
        </row>
        <row r="532">
          <cell r="A532">
            <v>7640</v>
          </cell>
          <cell r="B532">
            <v>7660</v>
          </cell>
          <cell r="C532">
            <v>928360</v>
          </cell>
          <cell r="D532">
            <v>879180</v>
          </cell>
          <cell r="E532">
            <v>743020</v>
          </cell>
          <cell r="F532">
            <v>713020</v>
          </cell>
          <cell r="G532">
            <v>683020</v>
          </cell>
          <cell r="H532">
            <v>653020</v>
          </cell>
          <cell r="I532">
            <v>623020</v>
          </cell>
          <cell r="J532">
            <v>593020</v>
          </cell>
          <cell r="K532">
            <v>563020</v>
          </cell>
          <cell r="L532">
            <v>533020</v>
          </cell>
          <cell r="M532">
            <v>503020</v>
          </cell>
        </row>
        <row r="533">
          <cell r="A533">
            <v>7660</v>
          </cell>
          <cell r="B533">
            <v>7680</v>
          </cell>
          <cell r="C533">
            <v>932900</v>
          </cell>
          <cell r="D533">
            <v>883700</v>
          </cell>
          <cell r="E533">
            <v>747250</v>
          </cell>
          <cell r="F533">
            <v>717250</v>
          </cell>
          <cell r="G533">
            <v>687250</v>
          </cell>
          <cell r="H533">
            <v>657250</v>
          </cell>
          <cell r="I533">
            <v>627250</v>
          </cell>
          <cell r="J533">
            <v>597250</v>
          </cell>
          <cell r="K533">
            <v>567250</v>
          </cell>
          <cell r="L533">
            <v>537250</v>
          </cell>
          <cell r="M533">
            <v>507250</v>
          </cell>
        </row>
        <row r="534">
          <cell r="A534">
            <v>7680</v>
          </cell>
          <cell r="B534">
            <v>7700</v>
          </cell>
          <cell r="C534">
            <v>937440</v>
          </cell>
          <cell r="D534">
            <v>888210</v>
          </cell>
          <cell r="E534">
            <v>751470</v>
          </cell>
          <cell r="F534">
            <v>721470</v>
          </cell>
          <cell r="G534">
            <v>691470</v>
          </cell>
          <cell r="H534">
            <v>661470</v>
          </cell>
          <cell r="I534">
            <v>631470</v>
          </cell>
          <cell r="J534">
            <v>601470</v>
          </cell>
          <cell r="K534">
            <v>571470</v>
          </cell>
          <cell r="L534">
            <v>541470</v>
          </cell>
          <cell r="M534">
            <v>511470</v>
          </cell>
        </row>
        <row r="535">
          <cell r="A535">
            <v>7700</v>
          </cell>
          <cell r="B535">
            <v>7720</v>
          </cell>
          <cell r="C535">
            <v>941970</v>
          </cell>
          <cell r="D535">
            <v>892720</v>
          </cell>
          <cell r="E535">
            <v>755700</v>
          </cell>
          <cell r="F535">
            <v>725700</v>
          </cell>
          <cell r="G535">
            <v>695700</v>
          </cell>
          <cell r="H535">
            <v>665700</v>
          </cell>
          <cell r="I535">
            <v>635700</v>
          </cell>
          <cell r="J535">
            <v>605700</v>
          </cell>
          <cell r="K535">
            <v>575700</v>
          </cell>
          <cell r="L535">
            <v>545700</v>
          </cell>
          <cell r="M535">
            <v>515700</v>
          </cell>
        </row>
        <row r="536">
          <cell r="A536">
            <v>7720</v>
          </cell>
          <cell r="B536">
            <v>7740</v>
          </cell>
          <cell r="C536">
            <v>946510</v>
          </cell>
          <cell r="D536">
            <v>897230</v>
          </cell>
          <cell r="E536">
            <v>759920</v>
          </cell>
          <cell r="F536">
            <v>729920</v>
          </cell>
          <cell r="G536">
            <v>699920</v>
          </cell>
          <cell r="H536">
            <v>669920</v>
          </cell>
          <cell r="I536">
            <v>639920</v>
          </cell>
          <cell r="J536">
            <v>609920</v>
          </cell>
          <cell r="K536">
            <v>579920</v>
          </cell>
          <cell r="L536">
            <v>549920</v>
          </cell>
          <cell r="M536">
            <v>519920</v>
          </cell>
        </row>
        <row r="537">
          <cell r="A537">
            <v>7740</v>
          </cell>
          <cell r="B537">
            <v>7760</v>
          </cell>
          <cell r="C537">
            <v>951040</v>
          </cell>
          <cell r="D537">
            <v>901740</v>
          </cell>
          <cell r="E537">
            <v>764140</v>
          </cell>
          <cell r="F537">
            <v>734140</v>
          </cell>
          <cell r="G537">
            <v>704140</v>
          </cell>
          <cell r="H537">
            <v>674140</v>
          </cell>
          <cell r="I537">
            <v>644140</v>
          </cell>
          <cell r="J537">
            <v>614140</v>
          </cell>
          <cell r="K537">
            <v>584140</v>
          </cell>
          <cell r="L537">
            <v>554140</v>
          </cell>
          <cell r="M537">
            <v>524140</v>
          </cell>
        </row>
        <row r="538">
          <cell r="A538">
            <v>7760</v>
          </cell>
          <cell r="B538">
            <v>7780</v>
          </cell>
          <cell r="C538">
            <v>955580</v>
          </cell>
          <cell r="D538">
            <v>906260</v>
          </cell>
          <cell r="E538">
            <v>768370</v>
          </cell>
          <cell r="F538">
            <v>738370</v>
          </cell>
          <cell r="G538">
            <v>708370</v>
          </cell>
          <cell r="H538">
            <v>678370</v>
          </cell>
          <cell r="I538">
            <v>648370</v>
          </cell>
          <cell r="J538">
            <v>618370</v>
          </cell>
          <cell r="K538">
            <v>588370</v>
          </cell>
          <cell r="L538">
            <v>558370</v>
          </cell>
          <cell r="M538">
            <v>528370</v>
          </cell>
        </row>
        <row r="539">
          <cell r="A539">
            <v>7780</v>
          </cell>
          <cell r="B539">
            <v>7800</v>
          </cell>
          <cell r="C539">
            <v>960120</v>
          </cell>
          <cell r="D539">
            <v>910770</v>
          </cell>
          <cell r="E539">
            <v>772590</v>
          </cell>
          <cell r="F539">
            <v>742590</v>
          </cell>
          <cell r="G539">
            <v>712590</v>
          </cell>
          <cell r="H539">
            <v>682590</v>
          </cell>
          <cell r="I539">
            <v>652590</v>
          </cell>
          <cell r="J539">
            <v>622590</v>
          </cell>
          <cell r="K539">
            <v>592590</v>
          </cell>
          <cell r="L539">
            <v>562590</v>
          </cell>
          <cell r="M539">
            <v>532590</v>
          </cell>
        </row>
        <row r="540">
          <cell r="A540">
            <v>7800</v>
          </cell>
          <cell r="B540">
            <v>7820</v>
          </cell>
          <cell r="C540">
            <v>964650</v>
          </cell>
          <cell r="D540">
            <v>915280</v>
          </cell>
          <cell r="E540">
            <v>776820</v>
          </cell>
          <cell r="F540">
            <v>746820</v>
          </cell>
          <cell r="G540">
            <v>716820</v>
          </cell>
          <cell r="H540">
            <v>686820</v>
          </cell>
          <cell r="I540">
            <v>656820</v>
          </cell>
          <cell r="J540">
            <v>626820</v>
          </cell>
          <cell r="K540">
            <v>596820</v>
          </cell>
          <cell r="L540">
            <v>566820</v>
          </cell>
          <cell r="M540">
            <v>536820</v>
          </cell>
        </row>
        <row r="541">
          <cell r="A541">
            <v>7820</v>
          </cell>
          <cell r="B541">
            <v>7840</v>
          </cell>
          <cell r="C541">
            <v>969190</v>
          </cell>
          <cell r="D541">
            <v>919790</v>
          </cell>
          <cell r="E541">
            <v>781040</v>
          </cell>
          <cell r="F541">
            <v>751040</v>
          </cell>
          <cell r="G541">
            <v>721040</v>
          </cell>
          <cell r="H541">
            <v>691040</v>
          </cell>
          <cell r="I541">
            <v>661040</v>
          </cell>
          <cell r="J541">
            <v>631040</v>
          </cell>
          <cell r="K541">
            <v>601040</v>
          </cell>
          <cell r="L541">
            <v>571040</v>
          </cell>
          <cell r="M541">
            <v>541040</v>
          </cell>
        </row>
        <row r="542">
          <cell r="A542">
            <v>7840</v>
          </cell>
          <cell r="B542">
            <v>7860</v>
          </cell>
          <cell r="C542">
            <v>973720</v>
          </cell>
          <cell r="D542">
            <v>924300</v>
          </cell>
          <cell r="E542">
            <v>785260</v>
          </cell>
          <cell r="F542">
            <v>755260</v>
          </cell>
          <cell r="G542">
            <v>725260</v>
          </cell>
          <cell r="H542">
            <v>695260</v>
          </cell>
          <cell r="I542">
            <v>665260</v>
          </cell>
          <cell r="J542">
            <v>635260</v>
          </cell>
          <cell r="K542">
            <v>605260</v>
          </cell>
          <cell r="L542">
            <v>575260</v>
          </cell>
          <cell r="M542">
            <v>545260</v>
          </cell>
        </row>
        <row r="543">
          <cell r="A543">
            <v>7860</v>
          </cell>
          <cell r="B543">
            <v>7880</v>
          </cell>
          <cell r="C543">
            <v>978260</v>
          </cell>
          <cell r="D543">
            <v>928820</v>
          </cell>
          <cell r="E543">
            <v>789490</v>
          </cell>
          <cell r="F543">
            <v>759490</v>
          </cell>
          <cell r="G543">
            <v>729490</v>
          </cell>
          <cell r="H543">
            <v>699490</v>
          </cell>
          <cell r="I543">
            <v>669490</v>
          </cell>
          <cell r="J543">
            <v>639490</v>
          </cell>
          <cell r="K543">
            <v>609490</v>
          </cell>
          <cell r="L543">
            <v>579490</v>
          </cell>
          <cell r="M543">
            <v>549490</v>
          </cell>
        </row>
        <row r="544">
          <cell r="A544">
            <v>7880</v>
          </cell>
          <cell r="B544">
            <v>7900</v>
          </cell>
          <cell r="C544">
            <v>982800</v>
          </cell>
          <cell r="D544">
            <v>933330</v>
          </cell>
          <cell r="E544">
            <v>793710</v>
          </cell>
          <cell r="F544">
            <v>763710</v>
          </cell>
          <cell r="G544">
            <v>733710</v>
          </cell>
          <cell r="H544">
            <v>703710</v>
          </cell>
          <cell r="I544">
            <v>673710</v>
          </cell>
          <cell r="J544">
            <v>643710</v>
          </cell>
          <cell r="K544">
            <v>613710</v>
          </cell>
          <cell r="L544">
            <v>583710</v>
          </cell>
          <cell r="M544">
            <v>553710</v>
          </cell>
        </row>
        <row r="545">
          <cell r="A545">
            <v>7900</v>
          </cell>
          <cell r="B545">
            <v>7920</v>
          </cell>
          <cell r="C545">
            <v>987330</v>
          </cell>
          <cell r="D545">
            <v>937840</v>
          </cell>
          <cell r="E545">
            <v>797940</v>
          </cell>
          <cell r="F545">
            <v>767940</v>
          </cell>
          <cell r="G545">
            <v>737940</v>
          </cell>
          <cell r="H545">
            <v>707940</v>
          </cell>
          <cell r="I545">
            <v>677940</v>
          </cell>
          <cell r="J545">
            <v>647940</v>
          </cell>
          <cell r="K545">
            <v>617940</v>
          </cell>
          <cell r="L545">
            <v>587940</v>
          </cell>
          <cell r="M545">
            <v>557940</v>
          </cell>
        </row>
        <row r="546">
          <cell r="A546">
            <v>7920</v>
          </cell>
          <cell r="B546">
            <v>7940</v>
          </cell>
          <cell r="C546">
            <v>991870</v>
          </cell>
          <cell r="D546">
            <v>942350</v>
          </cell>
          <cell r="E546">
            <v>802160</v>
          </cell>
          <cell r="F546">
            <v>772160</v>
          </cell>
          <cell r="G546">
            <v>742160</v>
          </cell>
          <cell r="H546">
            <v>712160</v>
          </cell>
          <cell r="I546">
            <v>682160</v>
          </cell>
          <cell r="J546">
            <v>652160</v>
          </cell>
          <cell r="K546">
            <v>622160</v>
          </cell>
          <cell r="L546">
            <v>592160</v>
          </cell>
          <cell r="M546">
            <v>562160</v>
          </cell>
        </row>
        <row r="547">
          <cell r="A547">
            <v>7940</v>
          </cell>
          <cell r="B547">
            <v>7960</v>
          </cell>
          <cell r="C547">
            <v>996400</v>
          </cell>
          <cell r="D547">
            <v>946860</v>
          </cell>
          <cell r="E547">
            <v>806380</v>
          </cell>
          <cell r="F547">
            <v>776380</v>
          </cell>
          <cell r="G547">
            <v>746380</v>
          </cell>
          <cell r="H547">
            <v>716380</v>
          </cell>
          <cell r="I547">
            <v>686380</v>
          </cell>
          <cell r="J547">
            <v>656380</v>
          </cell>
          <cell r="K547">
            <v>626380</v>
          </cell>
          <cell r="L547">
            <v>596380</v>
          </cell>
          <cell r="M547">
            <v>566380</v>
          </cell>
        </row>
        <row r="548">
          <cell r="A548">
            <v>7960</v>
          </cell>
          <cell r="B548">
            <v>7980</v>
          </cell>
          <cell r="C548">
            <v>1000940</v>
          </cell>
          <cell r="D548">
            <v>951380</v>
          </cell>
          <cell r="E548">
            <v>810610</v>
          </cell>
          <cell r="F548">
            <v>780610</v>
          </cell>
          <cell r="G548">
            <v>750610</v>
          </cell>
          <cell r="H548">
            <v>720610</v>
          </cell>
          <cell r="I548">
            <v>690610</v>
          </cell>
          <cell r="J548">
            <v>660610</v>
          </cell>
          <cell r="K548">
            <v>630610</v>
          </cell>
          <cell r="L548">
            <v>600610</v>
          </cell>
          <cell r="M548">
            <v>570610</v>
          </cell>
        </row>
        <row r="549">
          <cell r="A549">
            <v>7980</v>
          </cell>
          <cell r="B549">
            <v>8000</v>
          </cell>
          <cell r="C549">
            <v>1005480</v>
          </cell>
          <cell r="D549">
            <v>955890</v>
          </cell>
          <cell r="E549">
            <v>814830</v>
          </cell>
          <cell r="F549">
            <v>784830</v>
          </cell>
          <cell r="G549">
            <v>754830</v>
          </cell>
          <cell r="H549">
            <v>724830</v>
          </cell>
          <cell r="I549">
            <v>694830</v>
          </cell>
          <cell r="J549">
            <v>664830</v>
          </cell>
          <cell r="K549">
            <v>634830</v>
          </cell>
          <cell r="L549">
            <v>604830</v>
          </cell>
          <cell r="M549">
            <v>574830</v>
          </cell>
        </row>
        <row r="550">
          <cell r="A550">
            <v>8000</v>
          </cell>
          <cell r="B550">
            <v>8020</v>
          </cell>
          <cell r="C550">
            <v>1010010</v>
          </cell>
          <cell r="D550">
            <v>960400</v>
          </cell>
          <cell r="E550">
            <v>819060</v>
          </cell>
          <cell r="F550">
            <v>789060</v>
          </cell>
          <cell r="G550">
            <v>759060</v>
          </cell>
          <cell r="H550">
            <v>729060</v>
          </cell>
          <cell r="I550">
            <v>699060</v>
          </cell>
          <cell r="J550">
            <v>669060</v>
          </cell>
          <cell r="K550">
            <v>639060</v>
          </cell>
          <cell r="L550">
            <v>609060</v>
          </cell>
          <cell r="M550">
            <v>579060</v>
          </cell>
        </row>
        <row r="551">
          <cell r="A551">
            <v>8020</v>
          </cell>
          <cell r="B551">
            <v>8040</v>
          </cell>
          <cell r="C551">
            <v>1014550</v>
          </cell>
          <cell r="D551">
            <v>964910</v>
          </cell>
          <cell r="E551">
            <v>823280</v>
          </cell>
          <cell r="F551">
            <v>793280</v>
          </cell>
          <cell r="G551">
            <v>763280</v>
          </cell>
          <cell r="H551">
            <v>733280</v>
          </cell>
          <cell r="I551">
            <v>703280</v>
          </cell>
          <cell r="J551">
            <v>673280</v>
          </cell>
          <cell r="K551">
            <v>643280</v>
          </cell>
          <cell r="L551">
            <v>613280</v>
          </cell>
          <cell r="M551">
            <v>583280</v>
          </cell>
        </row>
        <row r="552">
          <cell r="A552">
            <v>8040</v>
          </cell>
          <cell r="B552">
            <v>8060</v>
          </cell>
          <cell r="C552">
            <v>1019080</v>
          </cell>
          <cell r="D552">
            <v>969420</v>
          </cell>
          <cell r="E552">
            <v>827500</v>
          </cell>
          <cell r="F552">
            <v>797500</v>
          </cell>
          <cell r="G552">
            <v>767500</v>
          </cell>
          <cell r="H552">
            <v>737500</v>
          </cell>
          <cell r="I552">
            <v>707500</v>
          </cell>
          <cell r="J552">
            <v>677500</v>
          </cell>
          <cell r="K552">
            <v>647500</v>
          </cell>
          <cell r="L552">
            <v>617500</v>
          </cell>
          <cell r="M552">
            <v>587500</v>
          </cell>
        </row>
        <row r="553">
          <cell r="A553">
            <v>8060</v>
          </cell>
          <cell r="B553">
            <v>8080</v>
          </cell>
          <cell r="C553">
            <v>1023620</v>
          </cell>
          <cell r="D553">
            <v>973940</v>
          </cell>
          <cell r="E553">
            <v>831730</v>
          </cell>
          <cell r="F553">
            <v>801730</v>
          </cell>
          <cell r="G553">
            <v>771730</v>
          </cell>
          <cell r="H553">
            <v>741730</v>
          </cell>
          <cell r="I553">
            <v>711730</v>
          </cell>
          <cell r="J553">
            <v>681730</v>
          </cell>
          <cell r="K553">
            <v>651730</v>
          </cell>
          <cell r="L553">
            <v>621730</v>
          </cell>
          <cell r="M553">
            <v>591730</v>
          </cell>
        </row>
        <row r="554">
          <cell r="A554">
            <v>8080</v>
          </cell>
          <cell r="B554">
            <v>8100</v>
          </cell>
          <cell r="C554">
            <v>1028160</v>
          </cell>
          <cell r="D554">
            <v>978450</v>
          </cell>
          <cell r="E554">
            <v>835950</v>
          </cell>
          <cell r="F554">
            <v>805950</v>
          </cell>
          <cell r="G554">
            <v>775950</v>
          </cell>
          <cell r="H554">
            <v>745950</v>
          </cell>
          <cell r="I554">
            <v>715950</v>
          </cell>
          <cell r="J554">
            <v>685950</v>
          </cell>
          <cell r="K554">
            <v>655950</v>
          </cell>
          <cell r="L554">
            <v>625950</v>
          </cell>
          <cell r="M554">
            <v>595950</v>
          </cell>
        </row>
        <row r="555">
          <cell r="A555">
            <v>8100</v>
          </cell>
          <cell r="B555">
            <v>8120</v>
          </cell>
          <cell r="C555">
            <v>1032690</v>
          </cell>
          <cell r="D555">
            <v>982960</v>
          </cell>
          <cell r="E555">
            <v>840180</v>
          </cell>
          <cell r="F555">
            <v>810180</v>
          </cell>
          <cell r="G555">
            <v>780180</v>
          </cell>
          <cell r="H555">
            <v>750180</v>
          </cell>
          <cell r="I555">
            <v>720180</v>
          </cell>
          <cell r="J555">
            <v>690180</v>
          </cell>
          <cell r="K555">
            <v>660180</v>
          </cell>
          <cell r="L555">
            <v>630180</v>
          </cell>
          <cell r="M555">
            <v>600180</v>
          </cell>
        </row>
        <row r="556">
          <cell r="A556">
            <v>8120</v>
          </cell>
          <cell r="B556">
            <v>8140</v>
          </cell>
          <cell r="C556">
            <v>1037230</v>
          </cell>
          <cell r="D556">
            <v>987470</v>
          </cell>
          <cell r="E556">
            <v>844400</v>
          </cell>
          <cell r="F556">
            <v>814400</v>
          </cell>
          <cell r="G556">
            <v>784400</v>
          </cell>
          <cell r="H556">
            <v>754400</v>
          </cell>
          <cell r="I556">
            <v>724400</v>
          </cell>
          <cell r="J556">
            <v>694400</v>
          </cell>
          <cell r="K556">
            <v>664400</v>
          </cell>
          <cell r="L556">
            <v>634400</v>
          </cell>
          <cell r="M556">
            <v>604400</v>
          </cell>
        </row>
        <row r="557">
          <cell r="A557">
            <v>8140</v>
          </cell>
          <cell r="B557">
            <v>8160</v>
          </cell>
          <cell r="C557">
            <v>1041760</v>
          </cell>
          <cell r="D557">
            <v>991980</v>
          </cell>
          <cell r="E557">
            <v>848620</v>
          </cell>
          <cell r="F557">
            <v>818620</v>
          </cell>
          <cell r="G557">
            <v>788620</v>
          </cell>
          <cell r="H557">
            <v>758620</v>
          </cell>
          <cell r="I557">
            <v>728620</v>
          </cell>
          <cell r="J557">
            <v>698620</v>
          </cell>
          <cell r="K557">
            <v>668620</v>
          </cell>
          <cell r="L557">
            <v>638620</v>
          </cell>
          <cell r="M557">
            <v>608620</v>
          </cell>
        </row>
        <row r="558">
          <cell r="A558">
            <v>8160</v>
          </cell>
          <cell r="B558">
            <v>8180</v>
          </cell>
          <cell r="C558">
            <v>1046300</v>
          </cell>
          <cell r="D558">
            <v>996500</v>
          </cell>
          <cell r="E558">
            <v>852850</v>
          </cell>
          <cell r="F558">
            <v>822850</v>
          </cell>
          <cell r="G558">
            <v>792850</v>
          </cell>
          <cell r="H558">
            <v>762850</v>
          </cell>
          <cell r="I558">
            <v>732850</v>
          </cell>
          <cell r="J558">
            <v>702850</v>
          </cell>
          <cell r="K558">
            <v>672850</v>
          </cell>
          <cell r="L558">
            <v>642850</v>
          </cell>
          <cell r="M558">
            <v>612850</v>
          </cell>
        </row>
        <row r="559">
          <cell r="A559">
            <v>8180</v>
          </cell>
          <cell r="B559">
            <v>8200</v>
          </cell>
          <cell r="C559">
            <v>1050840</v>
          </cell>
          <cell r="D559">
            <v>1001010</v>
          </cell>
          <cell r="E559">
            <v>857070</v>
          </cell>
          <cell r="F559">
            <v>827070</v>
          </cell>
          <cell r="G559">
            <v>797070</v>
          </cell>
          <cell r="H559">
            <v>767070</v>
          </cell>
          <cell r="I559">
            <v>737070</v>
          </cell>
          <cell r="J559">
            <v>707070</v>
          </cell>
          <cell r="K559">
            <v>677070</v>
          </cell>
          <cell r="L559">
            <v>647070</v>
          </cell>
          <cell r="M559">
            <v>617070</v>
          </cell>
        </row>
        <row r="560">
          <cell r="A560">
            <v>8200</v>
          </cell>
          <cell r="B560">
            <v>8220</v>
          </cell>
          <cell r="C560">
            <v>1055370</v>
          </cell>
          <cell r="D560">
            <v>1005520</v>
          </cell>
          <cell r="E560">
            <v>861300</v>
          </cell>
          <cell r="F560">
            <v>831300</v>
          </cell>
          <cell r="G560">
            <v>801300</v>
          </cell>
          <cell r="H560">
            <v>771300</v>
          </cell>
          <cell r="I560">
            <v>741300</v>
          </cell>
          <cell r="J560">
            <v>711300</v>
          </cell>
          <cell r="K560">
            <v>681300</v>
          </cell>
          <cell r="L560">
            <v>651300</v>
          </cell>
          <cell r="M560">
            <v>621300</v>
          </cell>
        </row>
        <row r="561">
          <cell r="A561">
            <v>8220</v>
          </cell>
          <cell r="B561">
            <v>8240</v>
          </cell>
          <cell r="C561">
            <v>1059910</v>
          </cell>
          <cell r="D561">
            <v>1010030</v>
          </cell>
          <cell r="E561">
            <v>865520</v>
          </cell>
          <cell r="F561">
            <v>835520</v>
          </cell>
          <cell r="G561">
            <v>805520</v>
          </cell>
          <cell r="H561">
            <v>775520</v>
          </cell>
          <cell r="I561">
            <v>745520</v>
          </cell>
          <cell r="J561">
            <v>715520</v>
          </cell>
          <cell r="K561">
            <v>685520</v>
          </cell>
          <cell r="L561">
            <v>655520</v>
          </cell>
          <cell r="M561">
            <v>625520</v>
          </cell>
        </row>
        <row r="562">
          <cell r="A562">
            <v>8240</v>
          </cell>
          <cell r="B562">
            <v>8260</v>
          </cell>
          <cell r="C562">
            <v>1064440</v>
          </cell>
          <cell r="D562">
            <v>1014540</v>
          </cell>
          <cell r="E562">
            <v>869740</v>
          </cell>
          <cell r="F562">
            <v>839740</v>
          </cell>
          <cell r="G562">
            <v>809740</v>
          </cell>
          <cell r="H562">
            <v>779740</v>
          </cell>
          <cell r="I562">
            <v>749740</v>
          </cell>
          <cell r="J562">
            <v>719740</v>
          </cell>
          <cell r="K562">
            <v>689740</v>
          </cell>
          <cell r="L562">
            <v>659740</v>
          </cell>
          <cell r="M562">
            <v>629740</v>
          </cell>
        </row>
        <row r="563">
          <cell r="A563">
            <v>8260</v>
          </cell>
          <cell r="B563">
            <v>8280</v>
          </cell>
          <cell r="C563">
            <v>1068980</v>
          </cell>
          <cell r="D563">
            <v>1019060</v>
          </cell>
          <cell r="E563">
            <v>873970</v>
          </cell>
          <cell r="F563">
            <v>843970</v>
          </cell>
          <cell r="G563">
            <v>813970</v>
          </cell>
          <cell r="H563">
            <v>783970</v>
          </cell>
          <cell r="I563">
            <v>753970</v>
          </cell>
          <cell r="J563">
            <v>723970</v>
          </cell>
          <cell r="K563">
            <v>693970</v>
          </cell>
          <cell r="L563">
            <v>663970</v>
          </cell>
          <cell r="M563">
            <v>633970</v>
          </cell>
        </row>
        <row r="564">
          <cell r="A564">
            <v>8280</v>
          </cell>
          <cell r="B564">
            <v>8300</v>
          </cell>
          <cell r="C564">
            <v>1073520</v>
          </cell>
          <cell r="D564">
            <v>1023570</v>
          </cell>
          <cell r="E564">
            <v>878190</v>
          </cell>
          <cell r="F564">
            <v>848190</v>
          </cell>
          <cell r="G564">
            <v>818190</v>
          </cell>
          <cell r="H564">
            <v>788190</v>
          </cell>
          <cell r="I564">
            <v>758190</v>
          </cell>
          <cell r="J564">
            <v>728190</v>
          </cell>
          <cell r="K564">
            <v>698190</v>
          </cell>
          <cell r="L564">
            <v>668190</v>
          </cell>
          <cell r="M564">
            <v>638190</v>
          </cell>
        </row>
        <row r="565">
          <cell r="A565">
            <v>8300</v>
          </cell>
          <cell r="B565">
            <v>8320</v>
          </cell>
          <cell r="C565">
            <v>1078050</v>
          </cell>
          <cell r="D565">
            <v>1028080</v>
          </cell>
          <cell r="E565">
            <v>882420</v>
          </cell>
          <cell r="F565">
            <v>852420</v>
          </cell>
          <cell r="G565">
            <v>822420</v>
          </cell>
          <cell r="H565">
            <v>792420</v>
          </cell>
          <cell r="I565">
            <v>762420</v>
          </cell>
          <cell r="J565">
            <v>732420</v>
          </cell>
          <cell r="K565">
            <v>702420</v>
          </cell>
          <cell r="L565">
            <v>672420</v>
          </cell>
          <cell r="M565">
            <v>642420</v>
          </cell>
        </row>
        <row r="566">
          <cell r="A566">
            <v>8320</v>
          </cell>
          <cell r="B566">
            <v>8340</v>
          </cell>
          <cell r="C566">
            <v>1082590</v>
          </cell>
          <cell r="D566">
            <v>1032590</v>
          </cell>
          <cell r="E566">
            <v>886640</v>
          </cell>
          <cell r="F566">
            <v>856640</v>
          </cell>
          <cell r="G566">
            <v>826640</v>
          </cell>
          <cell r="H566">
            <v>796640</v>
          </cell>
          <cell r="I566">
            <v>766640</v>
          </cell>
          <cell r="J566">
            <v>736640</v>
          </cell>
          <cell r="K566">
            <v>706640</v>
          </cell>
          <cell r="L566">
            <v>676640</v>
          </cell>
          <cell r="M566">
            <v>646640</v>
          </cell>
        </row>
        <row r="567">
          <cell r="A567">
            <v>8340</v>
          </cell>
          <cell r="B567">
            <v>8360</v>
          </cell>
          <cell r="C567">
            <v>1087240</v>
          </cell>
          <cell r="D567">
            <v>1037220</v>
          </cell>
          <cell r="E567">
            <v>890980</v>
          </cell>
          <cell r="F567">
            <v>860980</v>
          </cell>
          <cell r="G567">
            <v>830980</v>
          </cell>
          <cell r="H567">
            <v>800980</v>
          </cell>
          <cell r="I567">
            <v>770980</v>
          </cell>
          <cell r="J567">
            <v>740980</v>
          </cell>
          <cell r="K567">
            <v>710980</v>
          </cell>
          <cell r="L567">
            <v>680980</v>
          </cell>
          <cell r="M567">
            <v>650980</v>
          </cell>
        </row>
        <row r="568">
          <cell r="A568">
            <v>8360</v>
          </cell>
          <cell r="B568">
            <v>8380</v>
          </cell>
          <cell r="C568">
            <v>1091920</v>
          </cell>
          <cell r="D568">
            <v>1041880</v>
          </cell>
          <cell r="E568">
            <v>895350</v>
          </cell>
          <cell r="F568">
            <v>865350</v>
          </cell>
          <cell r="G568">
            <v>835350</v>
          </cell>
          <cell r="H568">
            <v>805350</v>
          </cell>
          <cell r="I568">
            <v>775350</v>
          </cell>
          <cell r="J568">
            <v>745350</v>
          </cell>
          <cell r="K568">
            <v>715350</v>
          </cell>
          <cell r="L568">
            <v>685350</v>
          </cell>
          <cell r="M568">
            <v>655350</v>
          </cell>
        </row>
        <row r="569">
          <cell r="A569">
            <v>8380</v>
          </cell>
          <cell r="B569">
            <v>8400</v>
          </cell>
          <cell r="C569">
            <v>1096600</v>
          </cell>
          <cell r="D569">
            <v>1046540</v>
          </cell>
          <cell r="E569">
            <v>899720</v>
          </cell>
          <cell r="F569">
            <v>869720</v>
          </cell>
          <cell r="G569">
            <v>839720</v>
          </cell>
          <cell r="H569">
            <v>809720</v>
          </cell>
          <cell r="I569">
            <v>779720</v>
          </cell>
          <cell r="J569">
            <v>749720</v>
          </cell>
          <cell r="K569">
            <v>719720</v>
          </cell>
          <cell r="L569">
            <v>689720</v>
          </cell>
          <cell r="M569">
            <v>659720</v>
          </cell>
        </row>
        <row r="570">
          <cell r="A570">
            <v>8400</v>
          </cell>
          <cell r="B570">
            <v>8420</v>
          </cell>
          <cell r="C570">
            <v>1101280</v>
          </cell>
          <cell r="D570">
            <v>1051190</v>
          </cell>
          <cell r="E570">
            <v>904090</v>
          </cell>
          <cell r="F570">
            <v>874090</v>
          </cell>
          <cell r="G570">
            <v>844090</v>
          </cell>
          <cell r="H570">
            <v>814090</v>
          </cell>
          <cell r="I570">
            <v>784090</v>
          </cell>
          <cell r="J570">
            <v>754090</v>
          </cell>
          <cell r="K570">
            <v>724090</v>
          </cell>
          <cell r="L570">
            <v>694090</v>
          </cell>
          <cell r="M570">
            <v>664090</v>
          </cell>
        </row>
        <row r="571">
          <cell r="A571">
            <v>8420</v>
          </cell>
          <cell r="B571">
            <v>8440</v>
          </cell>
          <cell r="C571">
            <v>1105960</v>
          </cell>
          <cell r="D571">
            <v>1055850</v>
          </cell>
          <cell r="E571">
            <v>908460</v>
          </cell>
          <cell r="F571">
            <v>878460</v>
          </cell>
          <cell r="G571">
            <v>848460</v>
          </cell>
          <cell r="H571">
            <v>818460</v>
          </cell>
          <cell r="I571">
            <v>788460</v>
          </cell>
          <cell r="J571">
            <v>758460</v>
          </cell>
          <cell r="K571">
            <v>728460</v>
          </cell>
          <cell r="L571">
            <v>698460</v>
          </cell>
          <cell r="M571">
            <v>668460</v>
          </cell>
        </row>
        <row r="572">
          <cell r="A572">
            <v>8440</v>
          </cell>
          <cell r="B572">
            <v>8460</v>
          </cell>
          <cell r="C572">
            <v>1110640</v>
          </cell>
          <cell r="D572">
            <v>1060500</v>
          </cell>
          <cell r="E572">
            <v>912820</v>
          </cell>
          <cell r="F572">
            <v>882820</v>
          </cell>
          <cell r="G572">
            <v>852820</v>
          </cell>
          <cell r="H572">
            <v>822820</v>
          </cell>
          <cell r="I572">
            <v>792820</v>
          </cell>
          <cell r="J572">
            <v>762820</v>
          </cell>
          <cell r="K572">
            <v>732820</v>
          </cell>
          <cell r="L572">
            <v>702820</v>
          </cell>
          <cell r="M572">
            <v>672820</v>
          </cell>
        </row>
        <row r="573">
          <cell r="A573">
            <v>8460</v>
          </cell>
          <cell r="B573">
            <v>8480</v>
          </cell>
          <cell r="C573">
            <v>1115320</v>
          </cell>
          <cell r="D573">
            <v>1065160</v>
          </cell>
          <cell r="E573">
            <v>917190</v>
          </cell>
          <cell r="F573">
            <v>887190</v>
          </cell>
          <cell r="G573">
            <v>857190</v>
          </cell>
          <cell r="H573">
            <v>827190</v>
          </cell>
          <cell r="I573">
            <v>797190</v>
          </cell>
          <cell r="J573">
            <v>767190</v>
          </cell>
          <cell r="K573">
            <v>737190</v>
          </cell>
          <cell r="L573">
            <v>707190</v>
          </cell>
          <cell r="M573">
            <v>677190</v>
          </cell>
        </row>
        <row r="574">
          <cell r="A574">
            <v>8480</v>
          </cell>
          <cell r="B574">
            <v>8500</v>
          </cell>
          <cell r="C574">
            <v>1120000</v>
          </cell>
          <cell r="D574">
            <v>1069820</v>
          </cell>
          <cell r="E574">
            <v>921560</v>
          </cell>
          <cell r="F574">
            <v>891560</v>
          </cell>
          <cell r="G574">
            <v>861560</v>
          </cell>
          <cell r="H574">
            <v>831560</v>
          </cell>
          <cell r="I574">
            <v>801560</v>
          </cell>
          <cell r="J574">
            <v>771560</v>
          </cell>
          <cell r="K574">
            <v>741560</v>
          </cell>
          <cell r="L574">
            <v>711560</v>
          </cell>
          <cell r="M574">
            <v>681560</v>
          </cell>
        </row>
        <row r="575">
          <cell r="A575">
            <v>8500</v>
          </cell>
          <cell r="B575">
            <v>8520</v>
          </cell>
          <cell r="C575">
            <v>1124680</v>
          </cell>
          <cell r="D575">
            <v>1074470</v>
          </cell>
          <cell r="E575">
            <v>925930</v>
          </cell>
          <cell r="F575">
            <v>895930</v>
          </cell>
          <cell r="G575">
            <v>865930</v>
          </cell>
          <cell r="H575">
            <v>835930</v>
          </cell>
          <cell r="I575">
            <v>805930</v>
          </cell>
          <cell r="J575">
            <v>775930</v>
          </cell>
          <cell r="K575">
            <v>745930</v>
          </cell>
          <cell r="L575">
            <v>715930</v>
          </cell>
          <cell r="M575">
            <v>685930</v>
          </cell>
        </row>
        <row r="576">
          <cell r="A576">
            <v>8520</v>
          </cell>
          <cell r="B576">
            <v>8540</v>
          </cell>
          <cell r="C576">
            <v>1129360</v>
          </cell>
          <cell r="D576">
            <v>1079130</v>
          </cell>
          <cell r="E576">
            <v>930300</v>
          </cell>
          <cell r="F576">
            <v>900300</v>
          </cell>
          <cell r="G576">
            <v>870300</v>
          </cell>
          <cell r="H576">
            <v>840300</v>
          </cell>
          <cell r="I576">
            <v>810300</v>
          </cell>
          <cell r="J576">
            <v>780300</v>
          </cell>
          <cell r="K576">
            <v>750300</v>
          </cell>
          <cell r="L576">
            <v>720300</v>
          </cell>
          <cell r="M576">
            <v>690300</v>
          </cell>
        </row>
        <row r="577">
          <cell r="A577">
            <v>8540</v>
          </cell>
          <cell r="B577">
            <v>8560</v>
          </cell>
          <cell r="C577">
            <v>1134040</v>
          </cell>
          <cell r="D577">
            <v>1083780</v>
          </cell>
          <cell r="E577">
            <v>934660</v>
          </cell>
          <cell r="F577">
            <v>904660</v>
          </cell>
          <cell r="G577">
            <v>874660</v>
          </cell>
          <cell r="H577">
            <v>844660</v>
          </cell>
          <cell r="I577">
            <v>814660</v>
          </cell>
          <cell r="J577">
            <v>784660</v>
          </cell>
          <cell r="K577">
            <v>754660</v>
          </cell>
          <cell r="L577">
            <v>724660</v>
          </cell>
          <cell r="M577">
            <v>694660</v>
          </cell>
        </row>
        <row r="578">
          <cell r="A578">
            <v>8560</v>
          </cell>
          <cell r="B578">
            <v>8580</v>
          </cell>
          <cell r="C578">
            <v>1138720</v>
          </cell>
          <cell r="D578">
            <v>1088440</v>
          </cell>
          <cell r="E578">
            <v>939030</v>
          </cell>
          <cell r="F578">
            <v>909030</v>
          </cell>
          <cell r="G578">
            <v>879030</v>
          </cell>
          <cell r="H578">
            <v>849030</v>
          </cell>
          <cell r="I578">
            <v>819030</v>
          </cell>
          <cell r="J578">
            <v>789030</v>
          </cell>
          <cell r="K578">
            <v>759030</v>
          </cell>
          <cell r="L578">
            <v>729030</v>
          </cell>
          <cell r="M578">
            <v>699030</v>
          </cell>
        </row>
        <row r="579">
          <cell r="A579">
            <v>8580</v>
          </cell>
          <cell r="B579">
            <v>8600</v>
          </cell>
          <cell r="C579">
            <v>1143400</v>
          </cell>
          <cell r="D579">
            <v>1093100</v>
          </cell>
          <cell r="E579">
            <v>943400</v>
          </cell>
          <cell r="F579">
            <v>913400</v>
          </cell>
          <cell r="G579">
            <v>883400</v>
          </cell>
          <cell r="H579">
            <v>853400</v>
          </cell>
          <cell r="I579">
            <v>823400</v>
          </cell>
          <cell r="J579">
            <v>793400</v>
          </cell>
          <cell r="K579">
            <v>763400</v>
          </cell>
          <cell r="L579">
            <v>733400</v>
          </cell>
          <cell r="M579">
            <v>703400</v>
          </cell>
        </row>
        <row r="580">
          <cell r="A580">
            <v>8600</v>
          </cell>
          <cell r="B580">
            <v>8620</v>
          </cell>
          <cell r="C580">
            <v>1148080</v>
          </cell>
          <cell r="D580">
            <v>1097750</v>
          </cell>
          <cell r="E580">
            <v>947770</v>
          </cell>
          <cell r="F580">
            <v>917770</v>
          </cell>
          <cell r="G580">
            <v>887770</v>
          </cell>
          <cell r="H580">
            <v>857770</v>
          </cell>
          <cell r="I580">
            <v>827770</v>
          </cell>
          <cell r="J580">
            <v>797770</v>
          </cell>
          <cell r="K580">
            <v>767770</v>
          </cell>
          <cell r="L580">
            <v>737770</v>
          </cell>
          <cell r="M580">
            <v>707770</v>
          </cell>
        </row>
        <row r="581">
          <cell r="A581">
            <v>8620</v>
          </cell>
          <cell r="B581">
            <v>8640</v>
          </cell>
          <cell r="C581">
            <v>1152760</v>
          </cell>
          <cell r="D581">
            <v>1102410</v>
          </cell>
          <cell r="E581">
            <v>952140</v>
          </cell>
          <cell r="F581">
            <v>922140</v>
          </cell>
          <cell r="G581">
            <v>892140</v>
          </cell>
          <cell r="H581">
            <v>862140</v>
          </cell>
          <cell r="I581">
            <v>832140</v>
          </cell>
          <cell r="J581">
            <v>802140</v>
          </cell>
          <cell r="K581">
            <v>772140</v>
          </cell>
          <cell r="L581">
            <v>742140</v>
          </cell>
          <cell r="M581">
            <v>712140</v>
          </cell>
        </row>
        <row r="582">
          <cell r="A582">
            <v>8640</v>
          </cell>
          <cell r="B582">
            <v>8660</v>
          </cell>
          <cell r="C582">
            <v>1157440</v>
          </cell>
          <cell r="D582">
            <v>1107060</v>
          </cell>
          <cell r="E582">
            <v>956500</v>
          </cell>
          <cell r="F582">
            <v>926500</v>
          </cell>
          <cell r="G582">
            <v>896500</v>
          </cell>
          <cell r="H582">
            <v>866500</v>
          </cell>
          <cell r="I582">
            <v>836500</v>
          </cell>
          <cell r="J582">
            <v>806500</v>
          </cell>
          <cell r="K582">
            <v>776500</v>
          </cell>
          <cell r="L582">
            <v>746500</v>
          </cell>
          <cell r="M582">
            <v>716500</v>
          </cell>
        </row>
        <row r="583">
          <cell r="A583">
            <v>8660</v>
          </cell>
          <cell r="B583">
            <v>8680</v>
          </cell>
          <cell r="C583">
            <v>1162120</v>
          </cell>
          <cell r="D583">
            <v>1111720</v>
          </cell>
          <cell r="E583">
            <v>960870</v>
          </cell>
          <cell r="F583">
            <v>930870</v>
          </cell>
          <cell r="G583">
            <v>900870</v>
          </cell>
          <cell r="H583">
            <v>870870</v>
          </cell>
          <cell r="I583">
            <v>840870</v>
          </cell>
          <cell r="J583">
            <v>810870</v>
          </cell>
          <cell r="K583">
            <v>780870</v>
          </cell>
          <cell r="L583">
            <v>750870</v>
          </cell>
          <cell r="M583">
            <v>720870</v>
          </cell>
        </row>
        <row r="584">
          <cell r="A584">
            <v>8680</v>
          </cell>
          <cell r="B584">
            <v>8700</v>
          </cell>
          <cell r="C584">
            <v>1166800</v>
          </cell>
          <cell r="D584">
            <v>1116380</v>
          </cell>
          <cell r="E584">
            <v>965240</v>
          </cell>
          <cell r="F584">
            <v>935240</v>
          </cell>
          <cell r="G584">
            <v>905240</v>
          </cell>
          <cell r="H584">
            <v>875240</v>
          </cell>
          <cell r="I584">
            <v>845240</v>
          </cell>
          <cell r="J584">
            <v>815240</v>
          </cell>
          <cell r="K584">
            <v>785240</v>
          </cell>
          <cell r="L584">
            <v>755240</v>
          </cell>
          <cell r="M584">
            <v>725240</v>
          </cell>
        </row>
        <row r="585">
          <cell r="A585">
            <v>8700</v>
          </cell>
          <cell r="B585">
            <v>8720</v>
          </cell>
          <cell r="C585">
            <v>1171480</v>
          </cell>
          <cell r="D585">
            <v>1121030</v>
          </cell>
          <cell r="E585">
            <v>969610</v>
          </cell>
          <cell r="F585">
            <v>939610</v>
          </cell>
          <cell r="G585">
            <v>909610</v>
          </cell>
          <cell r="H585">
            <v>879610</v>
          </cell>
          <cell r="I585">
            <v>849610</v>
          </cell>
          <cell r="J585">
            <v>819610</v>
          </cell>
          <cell r="K585">
            <v>789610</v>
          </cell>
          <cell r="L585">
            <v>759610</v>
          </cell>
          <cell r="M585">
            <v>729610</v>
          </cell>
        </row>
        <row r="586">
          <cell r="A586">
            <v>8720</v>
          </cell>
          <cell r="B586">
            <v>8740</v>
          </cell>
          <cell r="C586">
            <v>1176160</v>
          </cell>
          <cell r="D586">
            <v>1125690</v>
          </cell>
          <cell r="E586">
            <v>973980</v>
          </cell>
          <cell r="F586">
            <v>943980</v>
          </cell>
          <cell r="G586">
            <v>913980</v>
          </cell>
          <cell r="H586">
            <v>883980</v>
          </cell>
          <cell r="I586">
            <v>853980</v>
          </cell>
          <cell r="J586">
            <v>823980</v>
          </cell>
          <cell r="K586">
            <v>793980</v>
          </cell>
          <cell r="L586">
            <v>763980</v>
          </cell>
          <cell r="M586">
            <v>733980</v>
          </cell>
        </row>
        <row r="587">
          <cell r="A587">
            <v>8740</v>
          </cell>
          <cell r="B587">
            <v>8760</v>
          </cell>
          <cell r="C587">
            <v>1180840</v>
          </cell>
          <cell r="D587">
            <v>1130340</v>
          </cell>
          <cell r="E587">
            <v>978340</v>
          </cell>
          <cell r="F587">
            <v>948340</v>
          </cell>
          <cell r="G587">
            <v>918340</v>
          </cell>
          <cell r="H587">
            <v>888340</v>
          </cell>
          <cell r="I587">
            <v>858340</v>
          </cell>
          <cell r="J587">
            <v>828340</v>
          </cell>
          <cell r="K587">
            <v>798340</v>
          </cell>
          <cell r="L587">
            <v>768340</v>
          </cell>
          <cell r="M587">
            <v>738340</v>
          </cell>
        </row>
        <row r="588">
          <cell r="A588">
            <v>8760</v>
          </cell>
          <cell r="B588">
            <v>8780</v>
          </cell>
          <cell r="C588">
            <v>1185520</v>
          </cell>
          <cell r="D588">
            <v>1135000</v>
          </cell>
          <cell r="E588">
            <v>982710</v>
          </cell>
          <cell r="F588">
            <v>952710</v>
          </cell>
          <cell r="G588">
            <v>922710</v>
          </cell>
          <cell r="H588">
            <v>892710</v>
          </cell>
          <cell r="I588">
            <v>862710</v>
          </cell>
          <cell r="J588">
            <v>832710</v>
          </cell>
          <cell r="K588">
            <v>802710</v>
          </cell>
          <cell r="L588">
            <v>772710</v>
          </cell>
          <cell r="M588">
            <v>742710</v>
          </cell>
        </row>
        <row r="589">
          <cell r="A589">
            <v>8780</v>
          </cell>
          <cell r="B589">
            <v>8800</v>
          </cell>
          <cell r="C589">
            <v>1190200</v>
          </cell>
          <cell r="D589">
            <v>1139660</v>
          </cell>
          <cell r="E589">
            <v>987080</v>
          </cell>
          <cell r="F589">
            <v>957080</v>
          </cell>
          <cell r="G589">
            <v>927080</v>
          </cell>
          <cell r="H589">
            <v>897080</v>
          </cell>
          <cell r="I589">
            <v>867080</v>
          </cell>
          <cell r="J589">
            <v>837080</v>
          </cell>
          <cell r="K589">
            <v>807080</v>
          </cell>
          <cell r="L589">
            <v>777080</v>
          </cell>
          <cell r="M589">
            <v>747080</v>
          </cell>
        </row>
        <row r="590">
          <cell r="A590">
            <v>8800</v>
          </cell>
          <cell r="B590">
            <v>8820</v>
          </cell>
          <cell r="C590">
            <v>1194880</v>
          </cell>
          <cell r="D590">
            <v>1144310</v>
          </cell>
          <cell r="E590">
            <v>991450</v>
          </cell>
          <cell r="F590">
            <v>961450</v>
          </cell>
          <cell r="G590">
            <v>931450</v>
          </cell>
          <cell r="H590">
            <v>901450</v>
          </cell>
          <cell r="I590">
            <v>871450</v>
          </cell>
          <cell r="J590">
            <v>841450</v>
          </cell>
          <cell r="K590">
            <v>811450</v>
          </cell>
          <cell r="L590">
            <v>781450</v>
          </cell>
          <cell r="M590">
            <v>751450</v>
          </cell>
        </row>
        <row r="591">
          <cell r="A591">
            <v>8820</v>
          </cell>
          <cell r="B591">
            <v>8840</v>
          </cell>
          <cell r="C591">
            <v>1199560</v>
          </cell>
          <cell r="D591">
            <v>1148970</v>
          </cell>
          <cell r="E591">
            <v>995820</v>
          </cell>
          <cell r="F591">
            <v>965820</v>
          </cell>
          <cell r="G591">
            <v>935820</v>
          </cell>
          <cell r="H591">
            <v>905820</v>
          </cell>
          <cell r="I591">
            <v>875820</v>
          </cell>
          <cell r="J591">
            <v>845820</v>
          </cell>
          <cell r="K591">
            <v>815820</v>
          </cell>
          <cell r="L591">
            <v>785820</v>
          </cell>
          <cell r="M591">
            <v>755820</v>
          </cell>
        </row>
        <row r="592">
          <cell r="A592">
            <v>8840</v>
          </cell>
          <cell r="B592">
            <v>8860</v>
          </cell>
          <cell r="C592">
            <v>1204240</v>
          </cell>
          <cell r="D592">
            <v>1153620</v>
          </cell>
          <cell r="E592">
            <v>1000180</v>
          </cell>
          <cell r="F592">
            <v>970180</v>
          </cell>
          <cell r="G592">
            <v>940180</v>
          </cell>
          <cell r="H592">
            <v>910180</v>
          </cell>
          <cell r="I592">
            <v>880180</v>
          </cell>
          <cell r="J592">
            <v>850180</v>
          </cell>
          <cell r="K592">
            <v>820180</v>
          </cell>
          <cell r="L592">
            <v>790180</v>
          </cell>
          <cell r="M592">
            <v>760180</v>
          </cell>
        </row>
        <row r="593">
          <cell r="A593">
            <v>8860</v>
          </cell>
          <cell r="B593">
            <v>8880</v>
          </cell>
          <cell r="C593">
            <v>1208920</v>
          </cell>
          <cell r="D593">
            <v>1158280</v>
          </cell>
          <cell r="E593">
            <v>1004550</v>
          </cell>
          <cell r="F593">
            <v>974550</v>
          </cell>
          <cell r="G593">
            <v>944550</v>
          </cell>
          <cell r="H593">
            <v>914550</v>
          </cell>
          <cell r="I593">
            <v>884550</v>
          </cell>
          <cell r="J593">
            <v>854550</v>
          </cell>
          <cell r="K593">
            <v>824550</v>
          </cell>
          <cell r="L593">
            <v>794550</v>
          </cell>
          <cell r="M593">
            <v>764550</v>
          </cell>
        </row>
        <row r="594">
          <cell r="A594">
            <v>8880</v>
          </cell>
          <cell r="B594">
            <v>8900</v>
          </cell>
          <cell r="C594">
            <v>1213600</v>
          </cell>
          <cell r="D594">
            <v>1162940</v>
          </cell>
          <cell r="E594">
            <v>1008920</v>
          </cell>
          <cell r="F594">
            <v>978920</v>
          </cell>
          <cell r="G594">
            <v>948920</v>
          </cell>
          <cell r="H594">
            <v>918920</v>
          </cell>
          <cell r="I594">
            <v>888920</v>
          </cell>
          <cell r="J594">
            <v>858920</v>
          </cell>
          <cell r="K594">
            <v>828920</v>
          </cell>
          <cell r="L594">
            <v>798920</v>
          </cell>
          <cell r="M594">
            <v>768920</v>
          </cell>
        </row>
        <row r="595">
          <cell r="A595">
            <v>8900</v>
          </cell>
          <cell r="B595">
            <v>8920</v>
          </cell>
          <cell r="C595">
            <v>1218280</v>
          </cell>
          <cell r="D595">
            <v>1167590</v>
          </cell>
          <cell r="E595">
            <v>1013290</v>
          </cell>
          <cell r="F595">
            <v>983290</v>
          </cell>
          <cell r="G595">
            <v>953290</v>
          </cell>
          <cell r="H595">
            <v>923290</v>
          </cell>
          <cell r="I595">
            <v>893290</v>
          </cell>
          <cell r="J595">
            <v>863290</v>
          </cell>
          <cell r="K595">
            <v>833290</v>
          </cell>
          <cell r="L595">
            <v>803290</v>
          </cell>
          <cell r="M595">
            <v>773290</v>
          </cell>
        </row>
        <row r="596">
          <cell r="A596">
            <v>8920</v>
          </cell>
          <cell r="B596">
            <v>8940</v>
          </cell>
          <cell r="C596">
            <v>1222960</v>
          </cell>
          <cell r="D596">
            <v>1172250</v>
          </cell>
          <cell r="E596">
            <v>1017660</v>
          </cell>
          <cell r="F596">
            <v>987660</v>
          </cell>
          <cell r="G596">
            <v>957660</v>
          </cell>
          <cell r="H596">
            <v>927660</v>
          </cell>
          <cell r="I596">
            <v>897660</v>
          </cell>
          <cell r="J596">
            <v>867660</v>
          </cell>
          <cell r="K596">
            <v>837660</v>
          </cell>
          <cell r="L596">
            <v>807660</v>
          </cell>
          <cell r="M596">
            <v>777660</v>
          </cell>
        </row>
        <row r="597">
          <cell r="A597">
            <v>8940</v>
          </cell>
          <cell r="B597">
            <v>8960</v>
          </cell>
          <cell r="C597">
            <v>1227640</v>
          </cell>
          <cell r="D597">
            <v>1176900</v>
          </cell>
          <cell r="E597">
            <v>1022020</v>
          </cell>
          <cell r="F597">
            <v>992020</v>
          </cell>
          <cell r="G597">
            <v>962020</v>
          </cell>
          <cell r="H597">
            <v>932020</v>
          </cell>
          <cell r="I597">
            <v>902020</v>
          </cell>
          <cell r="J597">
            <v>872020</v>
          </cell>
          <cell r="K597">
            <v>842020</v>
          </cell>
          <cell r="L597">
            <v>812020</v>
          </cell>
          <cell r="M597">
            <v>782020</v>
          </cell>
        </row>
        <row r="598">
          <cell r="A598">
            <v>8960</v>
          </cell>
          <cell r="B598">
            <v>8980</v>
          </cell>
          <cell r="C598">
            <v>1232320</v>
          </cell>
          <cell r="D598">
            <v>1181560</v>
          </cell>
          <cell r="E598">
            <v>1026390</v>
          </cell>
          <cell r="F598">
            <v>996390</v>
          </cell>
          <cell r="G598">
            <v>966390</v>
          </cell>
          <cell r="H598">
            <v>936390</v>
          </cell>
          <cell r="I598">
            <v>906390</v>
          </cell>
          <cell r="J598">
            <v>876390</v>
          </cell>
          <cell r="K598">
            <v>846390</v>
          </cell>
          <cell r="L598">
            <v>816390</v>
          </cell>
          <cell r="M598">
            <v>786390</v>
          </cell>
        </row>
        <row r="599">
          <cell r="A599">
            <v>8980</v>
          </cell>
          <cell r="B599">
            <v>9000</v>
          </cell>
          <cell r="C599">
            <v>1237000</v>
          </cell>
          <cell r="D599">
            <v>1186220</v>
          </cell>
          <cell r="E599">
            <v>1030760</v>
          </cell>
          <cell r="F599">
            <v>1000760</v>
          </cell>
          <cell r="G599">
            <v>970760</v>
          </cell>
          <cell r="H599">
            <v>940760</v>
          </cell>
          <cell r="I599">
            <v>910760</v>
          </cell>
          <cell r="J599">
            <v>880760</v>
          </cell>
          <cell r="K599">
            <v>850760</v>
          </cell>
          <cell r="L599">
            <v>820760</v>
          </cell>
          <cell r="M599">
            <v>790760</v>
          </cell>
        </row>
        <row r="600">
          <cell r="A600">
            <v>9000</v>
          </cell>
          <cell r="B600">
            <v>9020</v>
          </cell>
          <cell r="C600">
            <v>1241680</v>
          </cell>
          <cell r="D600">
            <v>1190870</v>
          </cell>
          <cell r="E600">
            <v>1035130</v>
          </cell>
          <cell r="F600">
            <v>1005130</v>
          </cell>
          <cell r="G600">
            <v>975130</v>
          </cell>
          <cell r="H600">
            <v>945130</v>
          </cell>
          <cell r="I600">
            <v>915130</v>
          </cell>
          <cell r="J600">
            <v>885130</v>
          </cell>
          <cell r="K600">
            <v>855130</v>
          </cell>
          <cell r="L600">
            <v>825130</v>
          </cell>
          <cell r="M600">
            <v>795130</v>
          </cell>
        </row>
        <row r="601">
          <cell r="A601">
            <v>9020</v>
          </cell>
          <cell r="B601">
            <v>9040</v>
          </cell>
          <cell r="C601">
            <v>1246360</v>
          </cell>
          <cell r="D601">
            <v>1195530</v>
          </cell>
          <cell r="E601">
            <v>1039500</v>
          </cell>
          <cell r="F601">
            <v>1009500</v>
          </cell>
          <cell r="G601">
            <v>979500</v>
          </cell>
          <cell r="H601">
            <v>949500</v>
          </cell>
          <cell r="I601">
            <v>919500</v>
          </cell>
          <cell r="J601">
            <v>889500</v>
          </cell>
          <cell r="K601">
            <v>859500</v>
          </cell>
          <cell r="L601">
            <v>829500</v>
          </cell>
          <cell r="M601">
            <v>799500</v>
          </cell>
        </row>
        <row r="602">
          <cell r="A602">
            <v>9040</v>
          </cell>
          <cell r="B602">
            <v>9060</v>
          </cell>
          <cell r="C602">
            <v>1251040</v>
          </cell>
          <cell r="D602">
            <v>1200180</v>
          </cell>
          <cell r="E602">
            <v>1043860</v>
          </cell>
          <cell r="F602">
            <v>1013860</v>
          </cell>
          <cell r="G602">
            <v>983860</v>
          </cell>
          <cell r="H602">
            <v>953860</v>
          </cell>
          <cell r="I602">
            <v>923860</v>
          </cell>
          <cell r="J602">
            <v>893860</v>
          </cell>
          <cell r="K602">
            <v>863860</v>
          </cell>
          <cell r="L602">
            <v>833860</v>
          </cell>
          <cell r="M602">
            <v>803860</v>
          </cell>
        </row>
        <row r="603">
          <cell r="A603">
            <v>9060</v>
          </cell>
          <cell r="B603">
            <v>9080</v>
          </cell>
          <cell r="C603">
            <v>1255720</v>
          </cell>
          <cell r="D603">
            <v>1204840</v>
          </cell>
          <cell r="E603">
            <v>1048230</v>
          </cell>
          <cell r="F603">
            <v>1018230</v>
          </cell>
          <cell r="G603">
            <v>988230</v>
          </cell>
          <cell r="H603">
            <v>958230</v>
          </cell>
          <cell r="I603">
            <v>928230</v>
          </cell>
          <cell r="J603">
            <v>898230</v>
          </cell>
          <cell r="K603">
            <v>868230</v>
          </cell>
          <cell r="L603">
            <v>838230</v>
          </cell>
          <cell r="M603">
            <v>808230</v>
          </cell>
        </row>
        <row r="604">
          <cell r="A604">
            <v>9080</v>
          </cell>
          <cell r="B604">
            <v>9100</v>
          </cell>
          <cell r="C604">
            <v>1260400</v>
          </cell>
          <cell r="D604">
            <v>1209500</v>
          </cell>
          <cell r="E604">
            <v>1052600</v>
          </cell>
          <cell r="F604">
            <v>1022600</v>
          </cell>
          <cell r="G604">
            <v>992600</v>
          </cell>
          <cell r="H604">
            <v>962600</v>
          </cell>
          <cell r="I604">
            <v>932600</v>
          </cell>
          <cell r="J604">
            <v>902600</v>
          </cell>
          <cell r="K604">
            <v>872600</v>
          </cell>
          <cell r="L604">
            <v>842600</v>
          </cell>
          <cell r="M604">
            <v>812600</v>
          </cell>
        </row>
        <row r="605">
          <cell r="A605">
            <v>9100</v>
          </cell>
          <cell r="B605">
            <v>9120</v>
          </cell>
          <cell r="C605">
            <v>1265080</v>
          </cell>
          <cell r="D605">
            <v>1214150</v>
          </cell>
          <cell r="E605">
            <v>1056970</v>
          </cell>
          <cell r="F605">
            <v>1026970</v>
          </cell>
          <cell r="G605">
            <v>996970</v>
          </cell>
          <cell r="H605">
            <v>966970</v>
          </cell>
          <cell r="I605">
            <v>936970</v>
          </cell>
          <cell r="J605">
            <v>906970</v>
          </cell>
          <cell r="K605">
            <v>876970</v>
          </cell>
          <cell r="L605">
            <v>846970</v>
          </cell>
          <cell r="M605">
            <v>816970</v>
          </cell>
        </row>
        <row r="606">
          <cell r="A606">
            <v>9120</v>
          </cell>
          <cell r="B606">
            <v>9140</v>
          </cell>
          <cell r="C606">
            <v>1269760</v>
          </cell>
          <cell r="D606">
            <v>1218810</v>
          </cell>
          <cell r="E606">
            <v>1061340</v>
          </cell>
          <cell r="F606">
            <v>1031340</v>
          </cell>
          <cell r="G606">
            <v>1001340</v>
          </cell>
          <cell r="H606">
            <v>971340</v>
          </cell>
          <cell r="I606">
            <v>941340</v>
          </cell>
          <cell r="J606">
            <v>911340</v>
          </cell>
          <cell r="K606">
            <v>881340</v>
          </cell>
          <cell r="L606">
            <v>851340</v>
          </cell>
          <cell r="M606">
            <v>821340</v>
          </cell>
        </row>
        <row r="607">
          <cell r="A607">
            <v>9140</v>
          </cell>
          <cell r="B607">
            <v>9160</v>
          </cell>
          <cell r="C607">
            <v>1274440</v>
          </cell>
          <cell r="D607">
            <v>1223460</v>
          </cell>
          <cell r="E607">
            <v>1065700</v>
          </cell>
          <cell r="F607">
            <v>1035700</v>
          </cell>
          <cell r="G607">
            <v>1005700</v>
          </cell>
          <cell r="H607">
            <v>975700</v>
          </cell>
          <cell r="I607">
            <v>945700</v>
          </cell>
          <cell r="J607">
            <v>915700</v>
          </cell>
          <cell r="K607">
            <v>885700</v>
          </cell>
          <cell r="L607">
            <v>855700</v>
          </cell>
          <cell r="M607">
            <v>825700</v>
          </cell>
        </row>
        <row r="608">
          <cell r="A608">
            <v>9160</v>
          </cell>
          <cell r="B608">
            <v>9180</v>
          </cell>
          <cell r="C608">
            <v>1279120</v>
          </cell>
          <cell r="D608">
            <v>1228120</v>
          </cell>
          <cell r="E608">
            <v>1070070</v>
          </cell>
          <cell r="F608">
            <v>1040070</v>
          </cell>
          <cell r="G608">
            <v>1010070</v>
          </cell>
          <cell r="H608">
            <v>980070</v>
          </cell>
          <cell r="I608">
            <v>950070</v>
          </cell>
          <cell r="J608">
            <v>920070</v>
          </cell>
          <cell r="K608">
            <v>890070</v>
          </cell>
          <cell r="L608">
            <v>860070</v>
          </cell>
          <cell r="M608">
            <v>830070</v>
          </cell>
        </row>
        <row r="609">
          <cell r="A609">
            <v>9180</v>
          </cell>
          <cell r="B609">
            <v>9200</v>
          </cell>
          <cell r="C609">
            <v>1284020</v>
          </cell>
          <cell r="D609">
            <v>1232780</v>
          </cell>
          <cell r="E609">
            <v>1074440</v>
          </cell>
          <cell r="F609">
            <v>1044440</v>
          </cell>
          <cell r="G609">
            <v>1014440</v>
          </cell>
          <cell r="H609">
            <v>984440</v>
          </cell>
          <cell r="I609">
            <v>954440</v>
          </cell>
          <cell r="J609">
            <v>924440</v>
          </cell>
          <cell r="K609">
            <v>894440</v>
          </cell>
          <cell r="L609">
            <v>864440</v>
          </cell>
          <cell r="M609">
            <v>834440</v>
          </cell>
        </row>
        <row r="610">
          <cell r="A610">
            <v>9200</v>
          </cell>
          <cell r="B610">
            <v>9220</v>
          </cell>
          <cell r="C610">
            <v>1290850</v>
          </cell>
          <cell r="D610">
            <v>1237430</v>
          </cell>
          <cell r="E610">
            <v>1078810</v>
          </cell>
          <cell r="F610">
            <v>1048810</v>
          </cell>
          <cell r="G610">
            <v>1018810</v>
          </cell>
          <cell r="H610">
            <v>988810</v>
          </cell>
          <cell r="I610">
            <v>958810</v>
          </cell>
          <cell r="J610">
            <v>928810</v>
          </cell>
          <cell r="K610">
            <v>898810</v>
          </cell>
          <cell r="L610">
            <v>868810</v>
          </cell>
          <cell r="M610">
            <v>838810</v>
          </cell>
        </row>
        <row r="611">
          <cell r="A611">
            <v>9220</v>
          </cell>
          <cell r="B611">
            <v>9240</v>
          </cell>
          <cell r="C611">
            <v>1297670</v>
          </cell>
          <cell r="D611">
            <v>1242090</v>
          </cell>
          <cell r="E611">
            <v>1083180</v>
          </cell>
          <cell r="F611">
            <v>1053180</v>
          </cell>
          <cell r="G611">
            <v>1023180</v>
          </cell>
          <cell r="H611">
            <v>993180</v>
          </cell>
          <cell r="I611">
            <v>963180</v>
          </cell>
          <cell r="J611">
            <v>933180</v>
          </cell>
          <cell r="K611">
            <v>903180</v>
          </cell>
          <cell r="L611">
            <v>873180</v>
          </cell>
          <cell r="M611">
            <v>843180</v>
          </cell>
        </row>
        <row r="612">
          <cell r="A612">
            <v>9240</v>
          </cell>
          <cell r="B612">
            <v>9260</v>
          </cell>
          <cell r="C612">
            <v>1304500</v>
          </cell>
          <cell r="D612">
            <v>1246740</v>
          </cell>
          <cell r="E612">
            <v>1087540</v>
          </cell>
          <cell r="F612">
            <v>1057540</v>
          </cell>
          <cell r="G612">
            <v>1027540</v>
          </cell>
          <cell r="H612">
            <v>997540</v>
          </cell>
          <cell r="I612">
            <v>967540</v>
          </cell>
          <cell r="J612">
            <v>937540</v>
          </cell>
          <cell r="K612">
            <v>907540</v>
          </cell>
          <cell r="L612">
            <v>877540</v>
          </cell>
          <cell r="M612">
            <v>847540</v>
          </cell>
        </row>
        <row r="613">
          <cell r="A613">
            <v>9260</v>
          </cell>
          <cell r="B613">
            <v>9280</v>
          </cell>
          <cell r="C613">
            <v>1311320</v>
          </cell>
          <cell r="D613">
            <v>1251400</v>
          </cell>
          <cell r="E613">
            <v>1091910</v>
          </cell>
          <cell r="F613">
            <v>1061910</v>
          </cell>
          <cell r="G613">
            <v>1031910</v>
          </cell>
          <cell r="H613">
            <v>1001910</v>
          </cell>
          <cell r="I613">
            <v>971910</v>
          </cell>
          <cell r="J613">
            <v>941910</v>
          </cell>
          <cell r="K613">
            <v>911910</v>
          </cell>
          <cell r="L613">
            <v>881910</v>
          </cell>
          <cell r="M613">
            <v>851910</v>
          </cell>
        </row>
        <row r="614">
          <cell r="A614">
            <v>9280</v>
          </cell>
          <cell r="B614">
            <v>9300</v>
          </cell>
          <cell r="C614">
            <v>1318150</v>
          </cell>
          <cell r="D614">
            <v>1256060</v>
          </cell>
          <cell r="E614">
            <v>1096280</v>
          </cell>
          <cell r="F614">
            <v>1066280</v>
          </cell>
          <cell r="G614">
            <v>1036280</v>
          </cell>
          <cell r="H614">
            <v>1006280</v>
          </cell>
          <cell r="I614">
            <v>976280</v>
          </cell>
          <cell r="J614">
            <v>946280</v>
          </cell>
          <cell r="K614">
            <v>916280</v>
          </cell>
          <cell r="L614">
            <v>886280</v>
          </cell>
          <cell r="M614">
            <v>856280</v>
          </cell>
        </row>
        <row r="615">
          <cell r="A615">
            <v>9300</v>
          </cell>
          <cell r="B615">
            <v>9320</v>
          </cell>
          <cell r="C615">
            <v>1324970</v>
          </cell>
          <cell r="D615">
            <v>1260710</v>
          </cell>
          <cell r="E615">
            <v>1100650</v>
          </cell>
          <cell r="F615">
            <v>1070650</v>
          </cell>
          <cell r="G615">
            <v>1040650</v>
          </cell>
          <cell r="H615">
            <v>1010650</v>
          </cell>
          <cell r="I615">
            <v>980650</v>
          </cell>
          <cell r="J615">
            <v>950650</v>
          </cell>
          <cell r="K615">
            <v>920650</v>
          </cell>
          <cell r="L615">
            <v>890650</v>
          </cell>
          <cell r="M615">
            <v>860650</v>
          </cell>
        </row>
        <row r="616">
          <cell r="A616">
            <v>9320</v>
          </cell>
          <cell r="B616">
            <v>9340</v>
          </cell>
          <cell r="C616">
            <v>1331800</v>
          </cell>
          <cell r="D616">
            <v>1265370</v>
          </cell>
          <cell r="E616">
            <v>1105020</v>
          </cell>
          <cell r="F616">
            <v>1075020</v>
          </cell>
          <cell r="G616">
            <v>1045020</v>
          </cell>
          <cell r="H616">
            <v>1015020</v>
          </cell>
          <cell r="I616">
            <v>985020</v>
          </cell>
          <cell r="J616">
            <v>955020</v>
          </cell>
          <cell r="K616">
            <v>925020</v>
          </cell>
          <cell r="L616">
            <v>895020</v>
          </cell>
          <cell r="M616">
            <v>865020</v>
          </cell>
        </row>
        <row r="617">
          <cell r="A617">
            <v>9340</v>
          </cell>
          <cell r="B617">
            <v>9360</v>
          </cell>
          <cell r="C617">
            <v>1338620</v>
          </cell>
          <cell r="D617">
            <v>1270020</v>
          </cell>
          <cell r="E617">
            <v>1109380</v>
          </cell>
          <cell r="F617">
            <v>1079380</v>
          </cell>
          <cell r="G617">
            <v>1049380</v>
          </cell>
          <cell r="H617">
            <v>1019380</v>
          </cell>
          <cell r="I617">
            <v>989380</v>
          </cell>
          <cell r="J617">
            <v>959380</v>
          </cell>
          <cell r="K617">
            <v>929380</v>
          </cell>
          <cell r="L617">
            <v>899380</v>
          </cell>
          <cell r="M617">
            <v>869380</v>
          </cell>
        </row>
        <row r="618">
          <cell r="A618">
            <v>9360</v>
          </cell>
          <cell r="B618">
            <v>9380</v>
          </cell>
          <cell r="C618">
            <v>1345450</v>
          </cell>
          <cell r="D618">
            <v>1274680</v>
          </cell>
          <cell r="E618">
            <v>1113750</v>
          </cell>
          <cell r="F618">
            <v>1083750</v>
          </cell>
          <cell r="G618">
            <v>1053750</v>
          </cell>
          <cell r="H618">
            <v>1023750</v>
          </cell>
          <cell r="I618">
            <v>993750</v>
          </cell>
          <cell r="J618">
            <v>963750</v>
          </cell>
          <cell r="K618">
            <v>933750</v>
          </cell>
          <cell r="L618">
            <v>903750</v>
          </cell>
          <cell r="M618">
            <v>873750</v>
          </cell>
        </row>
        <row r="619">
          <cell r="A619">
            <v>9380</v>
          </cell>
          <cell r="B619">
            <v>9400</v>
          </cell>
          <cell r="C619">
            <v>1352270</v>
          </cell>
          <cell r="D619">
            <v>1279340</v>
          </cell>
          <cell r="E619">
            <v>1118120</v>
          </cell>
          <cell r="F619">
            <v>1088120</v>
          </cell>
          <cell r="G619">
            <v>1058120</v>
          </cell>
          <cell r="H619">
            <v>1028120</v>
          </cell>
          <cell r="I619">
            <v>998120</v>
          </cell>
          <cell r="J619">
            <v>968120</v>
          </cell>
          <cell r="K619">
            <v>938120</v>
          </cell>
          <cell r="L619">
            <v>908120</v>
          </cell>
          <cell r="M619">
            <v>878120</v>
          </cell>
        </row>
        <row r="620">
          <cell r="A620">
            <v>9400</v>
          </cell>
          <cell r="B620">
            <v>9420</v>
          </cell>
          <cell r="C620">
            <v>1359100</v>
          </cell>
          <cell r="D620">
            <v>1284300</v>
          </cell>
          <cell r="E620">
            <v>1122490</v>
          </cell>
          <cell r="F620">
            <v>1092490</v>
          </cell>
          <cell r="G620">
            <v>1062490</v>
          </cell>
          <cell r="H620">
            <v>1032490</v>
          </cell>
          <cell r="I620">
            <v>1002490</v>
          </cell>
          <cell r="J620">
            <v>972490</v>
          </cell>
          <cell r="K620">
            <v>942490</v>
          </cell>
          <cell r="L620">
            <v>912490</v>
          </cell>
          <cell r="M620">
            <v>882490</v>
          </cell>
        </row>
        <row r="621">
          <cell r="A621">
            <v>9420</v>
          </cell>
          <cell r="B621">
            <v>9440</v>
          </cell>
          <cell r="C621">
            <v>1365920</v>
          </cell>
          <cell r="D621">
            <v>1291090</v>
          </cell>
          <cell r="E621">
            <v>1126860</v>
          </cell>
          <cell r="F621">
            <v>1096860</v>
          </cell>
          <cell r="G621">
            <v>1066860</v>
          </cell>
          <cell r="H621">
            <v>1036860</v>
          </cell>
          <cell r="I621">
            <v>1006860</v>
          </cell>
          <cell r="J621">
            <v>976860</v>
          </cell>
          <cell r="K621">
            <v>946860</v>
          </cell>
          <cell r="L621">
            <v>916860</v>
          </cell>
          <cell r="M621">
            <v>886860</v>
          </cell>
        </row>
        <row r="622">
          <cell r="A622">
            <v>9440</v>
          </cell>
          <cell r="B622">
            <v>9460</v>
          </cell>
          <cell r="C622">
            <v>1372750</v>
          </cell>
          <cell r="D622">
            <v>1297880</v>
          </cell>
          <cell r="E622">
            <v>1131220</v>
          </cell>
          <cell r="F622">
            <v>1101220</v>
          </cell>
          <cell r="G622">
            <v>1071220</v>
          </cell>
          <cell r="H622">
            <v>1041220</v>
          </cell>
          <cell r="I622">
            <v>1011220</v>
          </cell>
          <cell r="J622">
            <v>981220</v>
          </cell>
          <cell r="K622">
            <v>951220</v>
          </cell>
          <cell r="L622">
            <v>921220</v>
          </cell>
          <cell r="M622">
            <v>891220</v>
          </cell>
        </row>
        <row r="623">
          <cell r="A623">
            <v>9460</v>
          </cell>
          <cell r="B623">
            <v>9480</v>
          </cell>
          <cell r="C623">
            <v>1379570</v>
          </cell>
          <cell r="D623">
            <v>1304670</v>
          </cell>
          <cell r="E623">
            <v>1135590</v>
          </cell>
          <cell r="F623">
            <v>1105590</v>
          </cell>
          <cell r="G623">
            <v>1075590</v>
          </cell>
          <cell r="H623">
            <v>1045590</v>
          </cell>
          <cell r="I623">
            <v>1015590</v>
          </cell>
          <cell r="J623">
            <v>985590</v>
          </cell>
          <cell r="K623">
            <v>955590</v>
          </cell>
          <cell r="L623">
            <v>925590</v>
          </cell>
          <cell r="M623">
            <v>895590</v>
          </cell>
        </row>
        <row r="624">
          <cell r="A624">
            <v>9480</v>
          </cell>
          <cell r="B624">
            <v>9500</v>
          </cell>
          <cell r="C624">
            <v>1386400</v>
          </cell>
          <cell r="D624">
            <v>1311460</v>
          </cell>
          <cell r="E624">
            <v>1139960</v>
          </cell>
          <cell r="F624">
            <v>1109960</v>
          </cell>
          <cell r="G624">
            <v>1079960</v>
          </cell>
          <cell r="H624">
            <v>1049960</v>
          </cell>
          <cell r="I624">
            <v>1019960</v>
          </cell>
          <cell r="J624">
            <v>989960</v>
          </cell>
          <cell r="K624">
            <v>959960</v>
          </cell>
          <cell r="L624">
            <v>929960</v>
          </cell>
          <cell r="M624">
            <v>899960</v>
          </cell>
        </row>
        <row r="625">
          <cell r="A625">
            <v>9500</v>
          </cell>
          <cell r="B625">
            <v>9520</v>
          </cell>
          <cell r="C625">
            <v>1393220</v>
          </cell>
          <cell r="D625">
            <v>1318250</v>
          </cell>
          <cell r="E625">
            <v>1144330</v>
          </cell>
          <cell r="F625">
            <v>1114330</v>
          </cell>
          <cell r="G625">
            <v>1084330</v>
          </cell>
          <cell r="H625">
            <v>1054330</v>
          </cell>
          <cell r="I625">
            <v>1024330</v>
          </cell>
          <cell r="J625">
            <v>994330</v>
          </cell>
          <cell r="K625">
            <v>964330</v>
          </cell>
          <cell r="L625">
            <v>934330</v>
          </cell>
          <cell r="M625">
            <v>904330</v>
          </cell>
        </row>
        <row r="626">
          <cell r="A626">
            <v>9520</v>
          </cell>
          <cell r="B626">
            <v>9540</v>
          </cell>
          <cell r="C626">
            <v>1400050</v>
          </cell>
          <cell r="D626">
            <v>1325040</v>
          </cell>
          <cell r="E626">
            <v>1148700</v>
          </cell>
          <cell r="F626">
            <v>1118700</v>
          </cell>
          <cell r="G626">
            <v>1088700</v>
          </cell>
          <cell r="H626">
            <v>1058700</v>
          </cell>
          <cell r="I626">
            <v>1028700</v>
          </cell>
          <cell r="J626">
            <v>998700</v>
          </cell>
          <cell r="K626">
            <v>968700</v>
          </cell>
          <cell r="L626">
            <v>938700</v>
          </cell>
          <cell r="M626">
            <v>908700</v>
          </cell>
        </row>
        <row r="627">
          <cell r="A627">
            <v>9540</v>
          </cell>
          <cell r="B627">
            <v>9560</v>
          </cell>
          <cell r="C627">
            <v>1406870</v>
          </cell>
          <cell r="D627">
            <v>1331830</v>
          </cell>
          <cell r="E627">
            <v>1153060</v>
          </cell>
          <cell r="F627">
            <v>1123060</v>
          </cell>
          <cell r="G627">
            <v>1093060</v>
          </cell>
          <cell r="H627">
            <v>1063060</v>
          </cell>
          <cell r="I627">
            <v>1033060</v>
          </cell>
          <cell r="J627">
            <v>1003060</v>
          </cell>
          <cell r="K627">
            <v>973060</v>
          </cell>
          <cell r="L627">
            <v>943060</v>
          </cell>
          <cell r="M627">
            <v>913060</v>
          </cell>
        </row>
        <row r="628">
          <cell r="A628">
            <v>9560</v>
          </cell>
          <cell r="B628">
            <v>9580</v>
          </cell>
          <cell r="C628">
            <v>1413700</v>
          </cell>
          <cell r="D628">
            <v>1338620</v>
          </cell>
          <cell r="E628">
            <v>1157430</v>
          </cell>
          <cell r="F628">
            <v>1127430</v>
          </cell>
          <cell r="G628">
            <v>1097430</v>
          </cell>
          <cell r="H628">
            <v>1067430</v>
          </cell>
          <cell r="I628">
            <v>1037430</v>
          </cell>
          <cell r="J628">
            <v>1007430</v>
          </cell>
          <cell r="K628">
            <v>977430</v>
          </cell>
          <cell r="L628">
            <v>947430</v>
          </cell>
          <cell r="M628">
            <v>917430</v>
          </cell>
        </row>
        <row r="629">
          <cell r="A629">
            <v>9580</v>
          </cell>
          <cell r="B629">
            <v>9600</v>
          </cell>
          <cell r="C629">
            <v>1420520</v>
          </cell>
          <cell r="D629">
            <v>1345410</v>
          </cell>
          <cell r="E629">
            <v>1161800</v>
          </cell>
          <cell r="F629">
            <v>1131800</v>
          </cell>
          <cell r="G629">
            <v>1101800</v>
          </cell>
          <cell r="H629">
            <v>1071800</v>
          </cell>
          <cell r="I629">
            <v>1041800</v>
          </cell>
          <cell r="J629">
            <v>1011800</v>
          </cell>
          <cell r="K629">
            <v>981800</v>
          </cell>
          <cell r="L629">
            <v>951800</v>
          </cell>
          <cell r="M629">
            <v>921800</v>
          </cell>
        </row>
        <row r="630">
          <cell r="A630">
            <v>9600</v>
          </cell>
          <cell r="B630">
            <v>9620</v>
          </cell>
          <cell r="C630">
            <v>1427350</v>
          </cell>
          <cell r="D630">
            <v>1352200</v>
          </cell>
          <cell r="E630">
            <v>1166170</v>
          </cell>
          <cell r="F630">
            <v>1136170</v>
          </cell>
          <cell r="G630">
            <v>1106170</v>
          </cell>
          <cell r="H630">
            <v>1076170</v>
          </cell>
          <cell r="I630">
            <v>1046170</v>
          </cell>
          <cell r="J630">
            <v>1016170</v>
          </cell>
          <cell r="K630">
            <v>986170</v>
          </cell>
          <cell r="L630">
            <v>956170</v>
          </cell>
          <cell r="M630">
            <v>926170</v>
          </cell>
        </row>
        <row r="631">
          <cell r="A631">
            <v>9620</v>
          </cell>
          <cell r="B631">
            <v>9640</v>
          </cell>
          <cell r="C631">
            <v>1434170</v>
          </cell>
          <cell r="D631">
            <v>1358990</v>
          </cell>
          <cell r="E631">
            <v>1170540</v>
          </cell>
          <cell r="F631">
            <v>1140540</v>
          </cell>
          <cell r="G631">
            <v>1110540</v>
          </cell>
          <cell r="H631">
            <v>1080540</v>
          </cell>
          <cell r="I631">
            <v>1050540</v>
          </cell>
          <cell r="J631">
            <v>1020540</v>
          </cell>
          <cell r="K631">
            <v>990540</v>
          </cell>
          <cell r="L631">
            <v>960540</v>
          </cell>
          <cell r="M631">
            <v>930540</v>
          </cell>
        </row>
        <row r="632">
          <cell r="A632">
            <v>9640</v>
          </cell>
          <cell r="B632">
            <v>9660</v>
          </cell>
          <cell r="C632">
            <v>1441000</v>
          </cell>
          <cell r="D632">
            <v>1365780</v>
          </cell>
          <cell r="E632">
            <v>1174900</v>
          </cell>
          <cell r="F632">
            <v>1144900</v>
          </cell>
          <cell r="G632">
            <v>1114900</v>
          </cell>
          <cell r="H632">
            <v>1084900</v>
          </cell>
          <cell r="I632">
            <v>1054900</v>
          </cell>
          <cell r="J632">
            <v>1024900</v>
          </cell>
          <cell r="K632">
            <v>994900</v>
          </cell>
          <cell r="L632">
            <v>964900</v>
          </cell>
          <cell r="M632">
            <v>934900</v>
          </cell>
        </row>
        <row r="633">
          <cell r="A633">
            <v>9660</v>
          </cell>
          <cell r="B633">
            <v>9680</v>
          </cell>
          <cell r="C633">
            <v>1447820</v>
          </cell>
          <cell r="D633">
            <v>1372570</v>
          </cell>
          <cell r="E633">
            <v>1179270</v>
          </cell>
          <cell r="F633">
            <v>1149270</v>
          </cell>
          <cell r="G633">
            <v>1119270</v>
          </cell>
          <cell r="H633">
            <v>1089270</v>
          </cell>
          <cell r="I633">
            <v>1059270</v>
          </cell>
          <cell r="J633">
            <v>1029270</v>
          </cell>
          <cell r="K633">
            <v>999270</v>
          </cell>
          <cell r="L633">
            <v>969270</v>
          </cell>
          <cell r="M633">
            <v>939270</v>
          </cell>
        </row>
        <row r="634">
          <cell r="A634">
            <v>9680</v>
          </cell>
          <cell r="B634">
            <v>9700</v>
          </cell>
          <cell r="C634">
            <v>1454650</v>
          </cell>
          <cell r="D634">
            <v>1379360</v>
          </cell>
          <cell r="E634">
            <v>1183640</v>
          </cell>
          <cell r="F634">
            <v>1153640</v>
          </cell>
          <cell r="G634">
            <v>1123640</v>
          </cell>
          <cell r="H634">
            <v>1093640</v>
          </cell>
          <cell r="I634">
            <v>1063640</v>
          </cell>
          <cell r="J634">
            <v>1033640</v>
          </cell>
          <cell r="K634">
            <v>1003640</v>
          </cell>
          <cell r="L634">
            <v>973640</v>
          </cell>
          <cell r="M634">
            <v>943640</v>
          </cell>
        </row>
        <row r="635">
          <cell r="A635">
            <v>9700</v>
          </cell>
          <cell r="B635">
            <v>9720</v>
          </cell>
          <cell r="C635">
            <v>1461470</v>
          </cell>
          <cell r="D635">
            <v>1386150</v>
          </cell>
          <cell r="E635">
            <v>1188010</v>
          </cell>
          <cell r="F635">
            <v>1158010</v>
          </cell>
          <cell r="G635">
            <v>1128010</v>
          </cell>
          <cell r="H635">
            <v>1098010</v>
          </cell>
          <cell r="I635">
            <v>1068010</v>
          </cell>
          <cell r="J635">
            <v>1038010</v>
          </cell>
          <cell r="K635">
            <v>1008010</v>
          </cell>
          <cell r="L635">
            <v>978010</v>
          </cell>
          <cell r="M635">
            <v>948010</v>
          </cell>
        </row>
        <row r="636">
          <cell r="A636">
            <v>9720</v>
          </cell>
          <cell r="B636">
            <v>9740</v>
          </cell>
          <cell r="C636">
            <v>1468300</v>
          </cell>
          <cell r="D636">
            <v>1392940</v>
          </cell>
          <cell r="E636">
            <v>1192380</v>
          </cell>
          <cell r="F636">
            <v>1162380</v>
          </cell>
          <cell r="G636">
            <v>1132380</v>
          </cell>
          <cell r="H636">
            <v>1102380</v>
          </cell>
          <cell r="I636">
            <v>1072380</v>
          </cell>
          <cell r="J636">
            <v>1042380</v>
          </cell>
          <cell r="K636">
            <v>1012380</v>
          </cell>
          <cell r="L636">
            <v>982380</v>
          </cell>
          <cell r="M636">
            <v>952380</v>
          </cell>
        </row>
        <row r="637">
          <cell r="A637">
            <v>9740</v>
          </cell>
          <cell r="B637">
            <v>9760</v>
          </cell>
          <cell r="C637">
            <v>1475120</v>
          </cell>
          <cell r="D637">
            <v>1399730</v>
          </cell>
          <cell r="E637">
            <v>1196740</v>
          </cell>
          <cell r="F637">
            <v>1166740</v>
          </cell>
          <cell r="G637">
            <v>1136740</v>
          </cell>
          <cell r="H637">
            <v>1106740</v>
          </cell>
          <cell r="I637">
            <v>1076740</v>
          </cell>
          <cell r="J637">
            <v>1046740</v>
          </cell>
          <cell r="K637">
            <v>1016740</v>
          </cell>
          <cell r="L637">
            <v>986740</v>
          </cell>
          <cell r="M637">
            <v>956740</v>
          </cell>
        </row>
        <row r="638">
          <cell r="A638">
            <v>9760</v>
          </cell>
          <cell r="B638">
            <v>9780</v>
          </cell>
          <cell r="C638">
            <v>1481950</v>
          </cell>
          <cell r="D638">
            <v>1406520</v>
          </cell>
          <cell r="E638">
            <v>1201110</v>
          </cell>
          <cell r="F638">
            <v>1171110</v>
          </cell>
          <cell r="G638">
            <v>1141110</v>
          </cell>
          <cell r="H638">
            <v>1111110</v>
          </cell>
          <cell r="I638">
            <v>1081110</v>
          </cell>
          <cell r="J638">
            <v>1051110</v>
          </cell>
          <cell r="K638">
            <v>1021110</v>
          </cell>
          <cell r="L638">
            <v>991110</v>
          </cell>
          <cell r="M638">
            <v>961110</v>
          </cell>
        </row>
        <row r="639">
          <cell r="A639">
            <v>9780</v>
          </cell>
          <cell r="B639">
            <v>9800</v>
          </cell>
          <cell r="C639">
            <v>1488770</v>
          </cell>
          <cell r="D639">
            <v>1413310</v>
          </cell>
          <cell r="E639">
            <v>1205480</v>
          </cell>
          <cell r="F639">
            <v>1175480</v>
          </cell>
          <cell r="G639">
            <v>1145480</v>
          </cell>
          <cell r="H639">
            <v>1115480</v>
          </cell>
          <cell r="I639">
            <v>1085480</v>
          </cell>
          <cell r="J639">
            <v>1055480</v>
          </cell>
          <cell r="K639">
            <v>1025480</v>
          </cell>
          <cell r="L639">
            <v>995480</v>
          </cell>
          <cell r="M639">
            <v>965480</v>
          </cell>
        </row>
        <row r="640">
          <cell r="A640">
            <v>9800</v>
          </cell>
          <cell r="B640">
            <v>9820</v>
          </cell>
          <cell r="C640">
            <v>1495600</v>
          </cell>
          <cell r="D640">
            <v>1420100</v>
          </cell>
          <cell r="E640">
            <v>1209850</v>
          </cell>
          <cell r="F640">
            <v>1179850</v>
          </cell>
          <cell r="G640">
            <v>1149850</v>
          </cell>
          <cell r="H640">
            <v>1119850</v>
          </cell>
          <cell r="I640">
            <v>1089850</v>
          </cell>
          <cell r="J640">
            <v>1059850</v>
          </cell>
          <cell r="K640">
            <v>1029850</v>
          </cell>
          <cell r="L640">
            <v>999850</v>
          </cell>
          <cell r="M640">
            <v>969850</v>
          </cell>
        </row>
        <row r="641">
          <cell r="A641">
            <v>9820</v>
          </cell>
          <cell r="B641">
            <v>9840</v>
          </cell>
          <cell r="C641">
            <v>1502420</v>
          </cell>
          <cell r="D641">
            <v>1426890</v>
          </cell>
          <cell r="E641">
            <v>1214220</v>
          </cell>
          <cell r="F641">
            <v>1184220</v>
          </cell>
          <cell r="G641">
            <v>1154220</v>
          </cell>
          <cell r="H641">
            <v>1124220</v>
          </cell>
          <cell r="I641">
            <v>1094220</v>
          </cell>
          <cell r="J641">
            <v>1064220</v>
          </cell>
          <cell r="K641">
            <v>1034220</v>
          </cell>
          <cell r="L641">
            <v>1004220</v>
          </cell>
          <cell r="M641">
            <v>974220</v>
          </cell>
        </row>
        <row r="642">
          <cell r="A642">
            <v>9840</v>
          </cell>
          <cell r="B642">
            <v>9860</v>
          </cell>
          <cell r="C642">
            <v>1509250</v>
          </cell>
          <cell r="D642">
            <v>1433680</v>
          </cell>
          <cell r="E642">
            <v>1218580</v>
          </cell>
          <cell r="F642">
            <v>1188580</v>
          </cell>
          <cell r="G642">
            <v>1158580</v>
          </cell>
          <cell r="H642">
            <v>1128580</v>
          </cell>
          <cell r="I642">
            <v>1098580</v>
          </cell>
          <cell r="J642">
            <v>1068580</v>
          </cell>
          <cell r="K642">
            <v>1038580</v>
          </cell>
          <cell r="L642">
            <v>1008580</v>
          </cell>
          <cell r="M642">
            <v>978580</v>
          </cell>
        </row>
        <row r="643">
          <cell r="A643">
            <v>9860</v>
          </cell>
          <cell r="B643">
            <v>9880</v>
          </cell>
          <cell r="C643">
            <v>1516070</v>
          </cell>
          <cell r="D643">
            <v>1440470</v>
          </cell>
          <cell r="E643">
            <v>1222950</v>
          </cell>
          <cell r="F643">
            <v>1192950</v>
          </cell>
          <cell r="G643">
            <v>1162950</v>
          </cell>
          <cell r="H643">
            <v>1132950</v>
          </cell>
          <cell r="I643">
            <v>1102950</v>
          </cell>
          <cell r="J643">
            <v>1072950</v>
          </cell>
          <cell r="K643">
            <v>1042950</v>
          </cell>
          <cell r="L643">
            <v>1012950</v>
          </cell>
          <cell r="M643">
            <v>982950</v>
          </cell>
        </row>
        <row r="644">
          <cell r="A644">
            <v>9880</v>
          </cell>
          <cell r="B644">
            <v>9900</v>
          </cell>
          <cell r="C644">
            <v>1522900</v>
          </cell>
          <cell r="D644">
            <v>1447260</v>
          </cell>
          <cell r="E644">
            <v>1227320</v>
          </cell>
          <cell r="F644">
            <v>1197320</v>
          </cell>
          <cell r="G644">
            <v>1167320</v>
          </cell>
          <cell r="H644">
            <v>1137320</v>
          </cell>
          <cell r="I644">
            <v>1107320</v>
          </cell>
          <cell r="J644">
            <v>1077320</v>
          </cell>
          <cell r="K644">
            <v>1047320</v>
          </cell>
          <cell r="L644">
            <v>1017320</v>
          </cell>
          <cell r="M644">
            <v>987320</v>
          </cell>
        </row>
        <row r="645">
          <cell r="A645">
            <v>9900</v>
          </cell>
          <cell r="B645">
            <v>9920</v>
          </cell>
          <cell r="C645">
            <v>1529720</v>
          </cell>
          <cell r="D645">
            <v>1454050</v>
          </cell>
          <cell r="E645">
            <v>1231690</v>
          </cell>
          <cell r="F645">
            <v>1201690</v>
          </cell>
          <cell r="G645">
            <v>1171690</v>
          </cell>
          <cell r="H645">
            <v>1141690</v>
          </cell>
          <cell r="I645">
            <v>1111690</v>
          </cell>
          <cell r="J645">
            <v>1081690</v>
          </cell>
          <cell r="K645">
            <v>1051690</v>
          </cell>
          <cell r="L645">
            <v>1021690</v>
          </cell>
          <cell r="M645">
            <v>991690</v>
          </cell>
        </row>
        <row r="646">
          <cell r="A646">
            <v>9920</v>
          </cell>
          <cell r="B646">
            <v>9940</v>
          </cell>
          <cell r="C646">
            <v>1536550</v>
          </cell>
          <cell r="D646">
            <v>1460840</v>
          </cell>
          <cell r="E646">
            <v>1236060</v>
          </cell>
          <cell r="F646">
            <v>1206060</v>
          </cell>
          <cell r="G646">
            <v>1176060</v>
          </cell>
          <cell r="H646">
            <v>1146060</v>
          </cell>
          <cell r="I646">
            <v>1116060</v>
          </cell>
          <cell r="J646">
            <v>1086060</v>
          </cell>
          <cell r="K646">
            <v>1056060</v>
          </cell>
          <cell r="L646">
            <v>1026060</v>
          </cell>
          <cell r="M646">
            <v>996060</v>
          </cell>
        </row>
        <row r="647">
          <cell r="A647">
            <v>9940</v>
          </cell>
          <cell r="B647">
            <v>9960</v>
          </cell>
          <cell r="C647">
            <v>1543370</v>
          </cell>
          <cell r="D647">
            <v>1467630</v>
          </cell>
          <cell r="E647">
            <v>1240420</v>
          </cell>
          <cell r="F647">
            <v>1210420</v>
          </cell>
          <cell r="G647">
            <v>1180420</v>
          </cell>
          <cell r="H647">
            <v>1150420</v>
          </cell>
          <cell r="I647">
            <v>1120420</v>
          </cell>
          <cell r="J647">
            <v>1090420</v>
          </cell>
          <cell r="K647">
            <v>1060420</v>
          </cell>
          <cell r="L647">
            <v>1030420</v>
          </cell>
          <cell r="M647">
            <v>1000420</v>
          </cell>
        </row>
        <row r="648">
          <cell r="A648">
            <v>9960</v>
          </cell>
          <cell r="B648">
            <v>9980</v>
          </cell>
          <cell r="C648">
            <v>1550200</v>
          </cell>
          <cell r="D648">
            <v>1474420</v>
          </cell>
          <cell r="E648">
            <v>1244790</v>
          </cell>
          <cell r="F648">
            <v>1214790</v>
          </cell>
          <cell r="G648">
            <v>1184790</v>
          </cell>
          <cell r="H648">
            <v>1154790</v>
          </cell>
          <cell r="I648">
            <v>1124790</v>
          </cell>
          <cell r="J648">
            <v>1094790</v>
          </cell>
          <cell r="K648">
            <v>1064790</v>
          </cell>
          <cell r="L648">
            <v>1034790</v>
          </cell>
          <cell r="M648">
            <v>1004790</v>
          </cell>
        </row>
        <row r="649">
          <cell r="A649">
            <v>9980</v>
          </cell>
          <cell r="B649">
            <v>10000</v>
          </cell>
          <cell r="C649">
            <v>1557020</v>
          </cell>
          <cell r="D649">
            <v>1481210</v>
          </cell>
          <cell r="E649">
            <v>1249160</v>
          </cell>
          <cell r="F649">
            <v>1219160</v>
          </cell>
          <cell r="G649">
            <v>1189160</v>
          </cell>
          <cell r="H649">
            <v>1159160</v>
          </cell>
          <cell r="I649">
            <v>1129160</v>
          </cell>
          <cell r="J649">
            <v>1099160</v>
          </cell>
          <cell r="K649">
            <v>1069160</v>
          </cell>
          <cell r="L649">
            <v>1039160</v>
          </cell>
          <cell r="M649">
            <v>1009160</v>
          </cell>
        </row>
        <row r="650">
          <cell r="A650">
            <v>10000</v>
          </cell>
          <cell r="B650">
            <v>10000</v>
          </cell>
          <cell r="C650">
            <v>1560440</v>
          </cell>
          <cell r="D650">
            <v>1484600</v>
          </cell>
          <cell r="E650">
            <v>1251340</v>
          </cell>
          <cell r="F650">
            <v>1221340</v>
          </cell>
          <cell r="G650">
            <v>1191340</v>
          </cell>
          <cell r="H650">
            <v>1161340</v>
          </cell>
          <cell r="I650">
            <v>1131340</v>
          </cell>
          <cell r="J650">
            <v>1101340</v>
          </cell>
          <cell r="K650">
            <v>1071340</v>
          </cell>
          <cell r="L650">
            <v>1041340</v>
          </cell>
          <cell r="M650">
            <v>1011340</v>
          </cell>
        </row>
      </sheetData>
      <sheetData sheetId="14" refreshError="1">
        <row r="5">
          <cell r="H5">
            <v>5030000</v>
          </cell>
          <cell r="I5">
            <v>320000</v>
          </cell>
        </row>
        <row r="6">
          <cell r="D6">
            <v>4.4999999999999998E-2</v>
          </cell>
          <cell r="H6">
            <v>226350</v>
          </cell>
          <cell r="I6">
            <v>14400</v>
          </cell>
        </row>
        <row r="16">
          <cell r="E16">
            <v>3.4299999999999997E-2</v>
          </cell>
        </row>
        <row r="17">
          <cell r="D17">
            <v>6.5500000000000003E-2</v>
          </cell>
        </row>
        <row r="26">
          <cell r="D26">
            <v>8.0000000000000002E-3</v>
          </cell>
        </row>
      </sheetData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selection activeCell="E36" sqref="E36"/>
    </sheetView>
  </sheetViews>
  <sheetFormatPr defaultColWidth="9" defaultRowHeight="35.1" customHeight="1" x14ac:dyDescent="0.3"/>
  <cols>
    <col min="1" max="1" width="4.875" style="59" bestFit="1" customWidth="1"/>
    <col min="2" max="2" width="7.125" style="59" customWidth="1"/>
    <col min="3" max="3" width="8.75" style="59" bestFit="1" customWidth="1"/>
    <col min="4" max="4" width="13.5" style="59" customWidth="1"/>
    <col min="5" max="5" width="60.5" style="59" customWidth="1"/>
    <col min="6" max="6" width="14.25" style="59" customWidth="1"/>
    <col min="7" max="7" width="14.875" style="59" hidden="1" customWidth="1"/>
    <col min="8" max="9" width="9" style="59" hidden="1" customWidth="1"/>
    <col min="10" max="10" width="14.875" style="59" hidden="1" customWidth="1"/>
    <col min="11" max="11" width="11.375" style="59" customWidth="1"/>
    <col min="12" max="12" width="9" style="59"/>
    <col min="13" max="13" width="10.375" style="59" bestFit="1" customWidth="1"/>
    <col min="14" max="14" width="9.625" style="59" customWidth="1"/>
    <col min="15" max="16" width="9.5" style="59" bestFit="1" customWidth="1"/>
    <col min="17" max="16384" width="9" style="59"/>
  </cols>
  <sheetData>
    <row r="1" spans="1:16" s="2" customFormat="1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s="12" customFormat="1" ht="12" x14ac:dyDescent="0.3">
      <c r="A2" s="3">
        <v>1</v>
      </c>
      <c r="B2" s="4" t="s">
        <v>13</v>
      </c>
      <c r="C2" s="4" t="s">
        <v>14</v>
      </c>
      <c r="D2" s="4" t="s">
        <v>15</v>
      </c>
      <c r="E2" s="5" t="s">
        <v>16</v>
      </c>
      <c r="F2" s="4" t="s">
        <v>17</v>
      </c>
      <c r="G2" s="6"/>
      <c r="H2" s="6"/>
      <c r="I2" s="6"/>
      <c r="J2" s="6"/>
      <c r="K2" s="7">
        <v>40683</v>
      </c>
      <c r="L2" s="8"/>
      <c r="M2" s="9">
        <v>2100000</v>
      </c>
      <c r="N2" s="10"/>
      <c r="O2" s="11"/>
    </row>
    <row r="3" spans="1:16" s="12" customFormat="1" ht="12" x14ac:dyDescent="0.3">
      <c r="A3" s="3">
        <f>A2+1</f>
        <v>2</v>
      </c>
      <c r="B3" s="4" t="s">
        <v>18</v>
      </c>
      <c r="C3" s="4" t="s">
        <v>19</v>
      </c>
      <c r="D3" s="4" t="s">
        <v>20</v>
      </c>
      <c r="E3" s="5" t="s">
        <v>21</v>
      </c>
      <c r="F3" s="4" t="s">
        <v>22</v>
      </c>
      <c r="G3" s="13"/>
      <c r="H3" s="6"/>
      <c r="I3" s="6"/>
      <c r="J3" s="6"/>
      <c r="K3" s="7">
        <v>44964</v>
      </c>
      <c r="L3" s="8"/>
      <c r="M3" s="9">
        <v>2100000</v>
      </c>
      <c r="N3" s="10"/>
      <c r="O3" s="11"/>
    </row>
    <row r="4" spans="1:16" s="12" customFormat="1" ht="12" x14ac:dyDescent="0.3">
      <c r="A4" s="3">
        <f t="shared" ref="A4:A8" si="0">A3+1</f>
        <v>3</v>
      </c>
      <c r="B4" s="4" t="s">
        <v>23</v>
      </c>
      <c r="C4" s="4" t="s">
        <v>24</v>
      </c>
      <c r="D4" s="4" t="s">
        <v>25</v>
      </c>
      <c r="E4" s="5" t="s">
        <v>26</v>
      </c>
      <c r="F4" s="4" t="s">
        <v>27</v>
      </c>
      <c r="G4" s="6"/>
      <c r="H4" s="6"/>
      <c r="I4" s="6"/>
      <c r="J4" s="6"/>
      <c r="K4" s="7">
        <v>45108</v>
      </c>
      <c r="L4" s="8"/>
      <c r="M4" s="9">
        <v>2100000</v>
      </c>
      <c r="N4" s="10"/>
      <c r="O4" s="11"/>
      <c r="P4" s="11"/>
    </row>
    <row r="5" spans="1:16" s="12" customFormat="1" ht="12" x14ac:dyDescent="0.3">
      <c r="A5" s="3">
        <f t="shared" si="0"/>
        <v>4</v>
      </c>
      <c r="B5" s="4" t="s">
        <v>28</v>
      </c>
      <c r="C5" s="4" t="s">
        <v>29</v>
      </c>
      <c r="D5" s="4" t="s">
        <v>30</v>
      </c>
      <c r="E5" s="5" t="s">
        <v>31</v>
      </c>
      <c r="F5" s="4" t="s">
        <v>32</v>
      </c>
      <c r="G5" s="6"/>
      <c r="H5" s="6"/>
      <c r="I5" s="6"/>
      <c r="J5" s="6"/>
      <c r="K5" s="7">
        <v>45184</v>
      </c>
      <c r="L5" s="8"/>
      <c r="M5" s="9">
        <v>2100000</v>
      </c>
      <c r="N5" s="10"/>
      <c r="O5" s="11"/>
    </row>
    <row r="6" spans="1:16" s="12" customFormat="1" ht="12" x14ac:dyDescent="0.3">
      <c r="A6" s="3">
        <f t="shared" si="0"/>
        <v>5</v>
      </c>
      <c r="B6" s="4" t="s">
        <v>33</v>
      </c>
      <c r="C6" s="4"/>
      <c r="D6" s="4" t="s">
        <v>34</v>
      </c>
      <c r="E6" s="5" t="s">
        <v>35</v>
      </c>
      <c r="F6" s="4" t="s">
        <v>36</v>
      </c>
      <c r="G6" s="6"/>
      <c r="H6" s="6"/>
      <c r="I6" s="6"/>
      <c r="J6" s="6"/>
      <c r="K6" s="7">
        <v>43070</v>
      </c>
      <c r="L6" s="8"/>
      <c r="M6" s="9">
        <v>2100000</v>
      </c>
      <c r="N6" s="10"/>
      <c r="O6" s="11"/>
    </row>
    <row r="7" spans="1:16" s="12" customFormat="1" ht="12" x14ac:dyDescent="0.3">
      <c r="A7" s="3">
        <f t="shared" si="0"/>
        <v>6</v>
      </c>
      <c r="B7" s="4" t="s">
        <v>37</v>
      </c>
      <c r="C7" s="4" t="s">
        <v>24</v>
      </c>
      <c r="D7" s="4" t="s">
        <v>38</v>
      </c>
      <c r="E7" s="5" t="s">
        <v>39</v>
      </c>
      <c r="F7" s="4" t="s">
        <v>40</v>
      </c>
      <c r="G7" s="6"/>
      <c r="H7" s="6"/>
      <c r="I7" s="6"/>
      <c r="J7" s="6"/>
      <c r="K7" s="7">
        <v>45170</v>
      </c>
      <c r="L7" s="8"/>
      <c r="M7" s="9">
        <v>2100000</v>
      </c>
      <c r="N7" s="10"/>
      <c r="O7" s="11"/>
    </row>
    <row r="8" spans="1:16" s="12" customFormat="1" ht="12" x14ac:dyDescent="0.3">
      <c r="A8" s="3">
        <f t="shared" si="0"/>
        <v>7</v>
      </c>
      <c r="B8" s="4" t="s">
        <v>41</v>
      </c>
      <c r="C8" s="4"/>
      <c r="D8" s="4" t="s">
        <v>42</v>
      </c>
      <c r="E8" s="5" t="s">
        <v>43</v>
      </c>
      <c r="F8" s="4"/>
      <c r="G8" s="6"/>
      <c r="H8" s="6"/>
      <c r="I8" s="6"/>
      <c r="J8" s="6"/>
      <c r="K8" s="7">
        <v>45246</v>
      </c>
      <c r="L8" s="8"/>
      <c r="M8" s="9">
        <v>2100000</v>
      </c>
      <c r="N8" s="10"/>
      <c r="O8" s="11"/>
    </row>
    <row r="9" spans="1:16" s="12" customFormat="1" ht="24" x14ac:dyDescent="0.3">
      <c r="A9" s="14">
        <v>8</v>
      </c>
      <c r="B9" s="4" t="s">
        <v>44</v>
      </c>
      <c r="C9" s="6" t="s">
        <v>45</v>
      </c>
      <c r="D9" s="15" t="s">
        <v>46</v>
      </c>
      <c r="E9" s="16"/>
      <c r="F9" s="6"/>
      <c r="G9" s="6"/>
      <c r="H9" s="6"/>
      <c r="I9" s="6"/>
      <c r="J9" s="6"/>
      <c r="K9" s="17" t="s">
        <v>47</v>
      </c>
      <c r="L9" s="18" t="s">
        <v>48</v>
      </c>
      <c r="M9" s="19">
        <v>2100000</v>
      </c>
      <c r="N9" s="10"/>
      <c r="O9" s="11"/>
    </row>
    <row r="10" spans="1:16" s="12" customFormat="1" ht="12" x14ac:dyDescent="0.3">
      <c r="A10" s="14">
        <v>9</v>
      </c>
      <c r="B10" s="20" t="s">
        <v>49</v>
      </c>
      <c r="C10" s="6" t="s">
        <v>50</v>
      </c>
      <c r="D10" s="21" t="s">
        <v>51</v>
      </c>
      <c r="E10" s="16"/>
      <c r="F10" s="6"/>
      <c r="G10" s="6"/>
      <c r="H10" s="6"/>
      <c r="I10" s="6"/>
      <c r="J10" s="6"/>
      <c r="K10" s="17" t="s">
        <v>52</v>
      </c>
      <c r="L10" s="18"/>
      <c r="M10" s="19">
        <v>2100000</v>
      </c>
      <c r="N10" s="10"/>
      <c r="O10" s="11"/>
    </row>
    <row r="11" spans="1:16" s="12" customFormat="1" ht="12" x14ac:dyDescent="0.3">
      <c r="A11" s="14">
        <v>10</v>
      </c>
      <c r="B11" s="6" t="s">
        <v>53</v>
      </c>
      <c r="C11" s="14" t="s">
        <v>54</v>
      </c>
      <c r="D11" s="14" t="s">
        <v>55</v>
      </c>
      <c r="E11" s="16"/>
      <c r="F11" s="6"/>
      <c r="G11" s="6"/>
      <c r="H11" s="6"/>
      <c r="I11" s="6"/>
      <c r="J11" s="6"/>
      <c r="K11" s="17" t="s">
        <v>52</v>
      </c>
      <c r="L11" s="18"/>
      <c r="M11" s="22">
        <v>2100000</v>
      </c>
      <c r="N11" s="10"/>
      <c r="O11" s="23"/>
    </row>
    <row r="12" spans="1:16" s="12" customFormat="1" ht="12" x14ac:dyDescent="0.3">
      <c r="A12" s="14">
        <v>11</v>
      </c>
      <c r="B12" s="24" t="s">
        <v>56</v>
      </c>
      <c r="C12" s="14" t="s">
        <v>57</v>
      </c>
      <c r="D12" s="21" t="s">
        <v>58</v>
      </c>
      <c r="E12" s="16"/>
      <c r="F12" s="6"/>
      <c r="G12" s="6"/>
      <c r="H12" s="6"/>
      <c r="I12" s="6"/>
      <c r="J12" s="6"/>
      <c r="K12" s="17" t="s">
        <v>52</v>
      </c>
      <c r="L12" s="18"/>
      <c r="M12" s="19">
        <v>2100000</v>
      </c>
      <c r="N12" s="25"/>
    </row>
    <row r="13" spans="1:16" s="35" customFormat="1" ht="12" x14ac:dyDescent="0.3">
      <c r="A13" s="26"/>
      <c r="B13" s="27"/>
      <c r="C13" s="26"/>
      <c r="D13" s="28"/>
      <c r="E13" s="16"/>
      <c r="F13" s="29"/>
      <c r="G13" s="30"/>
      <c r="H13" s="29"/>
      <c r="I13" s="29"/>
      <c r="J13" s="29"/>
      <c r="K13" s="31"/>
      <c r="L13" s="32"/>
      <c r="M13" s="33"/>
      <c r="N13" s="34"/>
    </row>
    <row r="14" spans="1:16" s="35" customFormat="1" ht="11.25" x14ac:dyDescent="0.3">
      <c r="A14" s="26"/>
      <c r="B14" s="29"/>
      <c r="C14" s="29"/>
      <c r="D14" s="26"/>
      <c r="E14" s="36"/>
      <c r="F14" s="29"/>
      <c r="G14" s="29"/>
      <c r="H14" s="29"/>
      <c r="I14" s="29"/>
      <c r="J14" s="29"/>
      <c r="K14" s="31"/>
      <c r="L14" s="32"/>
      <c r="M14" s="33"/>
      <c r="N14" s="34"/>
    </row>
    <row r="15" spans="1:16" s="35" customFormat="1" ht="12" x14ac:dyDescent="0.3">
      <c r="A15" s="29"/>
      <c r="B15" s="29"/>
      <c r="C15" s="29"/>
      <c r="D15" s="29"/>
      <c r="E15" s="37"/>
      <c r="F15" s="29"/>
      <c r="G15" s="30"/>
      <c r="H15" s="29"/>
      <c r="I15" s="29"/>
      <c r="J15" s="29"/>
      <c r="K15" s="31"/>
      <c r="L15" s="32"/>
      <c r="M15" s="38"/>
      <c r="N15" s="39"/>
    </row>
    <row r="16" spans="1:16" s="35" customFormat="1" ht="11.25" x14ac:dyDescent="0.3">
      <c r="A16" s="26"/>
      <c r="B16" s="40"/>
      <c r="C16" s="29"/>
      <c r="D16" s="29"/>
      <c r="E16" s="41"/>
      <c r="F16" s="29"/>
      <c r="G16" s="30"/>
      <c r="H16" s="29"/>
      <c r="I16" s="29"/>
      <c r="J16" s="29"/>
      <c r="K16" s="31"/>
      <c r="L16" s="32"/>
      <c r="M16" s="33"/>
      <c r="N16" s="39"/>
    </row>
    <row r="17" spans="1:24" s="35" customFormat="1" ht="11.25" x14ac:dyDescent="0.3">
      <c r="A17" s="26"/>
      <c r="B17" s="26"/>
      <c r="C17" s="29"/>
      <c r="D17" s="26"/>
      <c r="E17" s="36"/>
      <c r="F17" s="29"/>
      <c r="G17" s="29"/>
      <c r="H17" s="29"/>
      <c r="I17" s="29"/>
      <c r="J17" s="29"/>
      <c r="K17" s="31"/>
      <c r="L17" s="32"/>
      <c r="M17" s="38"/>
      <c r="N17" s="39"/>
      <c r="O17" s="42"/>
    </row>
    <row r="18" spans="1:24" s="46" customFormat="1" ht="11.25" x14ac:dyDescent="0.3">
      <c r="A18" s="43"/>
      <c r="B18" s="26"/>
      <c r="C18" s="44"/>
      <c r="D18" s="26"/>
      <c r="E18" s="36"/>
      <c r="F18" s="29"/>
      <c r="G18" s="29"/>
      <c r="H18" s="29"/>
      <c r="I18" s="29"/>
      <c r="J18" s="29"/>
      <c r="K18" s="31"/>
      <c r="L18" s="32"/>
      <c r="M18" s="38"/>
      <c r="N18" s="45"/>
    </row>
    <row r="19" spans="1:24" s="35" customFormat="1" ht="12" x14ac:dyDescent="0.3">
      <c r="A19" s="26"/>
      <c r="B19" s="28"/>
      <c r="C19" s="26"/>
      <c r="D19" s="28"/>
      <c r="E19" s="47"/>
      <c r="F19" s="29"/>
      <c r="G19" s="29"/>
      <c r="H19" s="29"/>
      <c r="I19" s="29"/>
      <c r="J19" s="29"/>
      <c r="K19" s="31"/>
      <c r="L19" s="32"/>
      <c r="M19" s="38"/>
      <c r="N19" s="39"/>
    </row>
    <row r="20" spans="1:24" s="35" customFormat="1" ht="12" x14ac:dyDescent="0.3">
      <c r="A20" s="26"/>
      <c r="B20" s="28"/>
      <c r="C20" s="26"/>
      <c r="D20" s="28"/>
      <c r="E20" s="47"/>
      <c r="F20" s="29"/>
      <c r="G20" s="29"/>
      <c r="H20" s="29"/>
      <c r="I20" s="29"/>
      <c r="J20" s="29"/>
      <c r="K20" s="31"/>
      <c r="L20" s="32"/>
      <c r="M20" s="38"/>
      <c r="N20" s="39"/>
    </row>
    <row r="21" spans="1:24" s="46" customFormat="1" ht="11.25" x14ac:dyDescent="0.3">
      <c r="A21" s="43"/>
      <c r="B21" s="48"/>
      <c r="C21" s="44"/>
      <c r="D21" s="44"/>
      <c r="E21" s="49"/>
      <c r="F21" s="44"/>
      <c r="G21" s="44"/>
      <c r="H21" s="44"/>
      <c r="I21" s="44"/>
      <c r="J21" s="44"/>
      <c r="K21" s="50"/>
      <c r="L21" s="32"/>
      <c r="M21" s="51"/>
      <c r="N21" s="45"/>
    </row>
    <row r="22" spans="1:24" s="46" customFormat="1" ht="11.25" x14ac:dyDescent="0.3">
      <c r="A22" s="43"/>
      <c r="B22" s="43"/>
      <c r="C22" s="43"/>
      <c r="D22" s="43"/>
      <c r="E22" s="52"/>
      <c r="F22" s="44"/>
      <c r="G22" s="44"/>
      <c r="H22" s="44"/>
      <c r="I22" s="44"/>
      <c r="J22" s="44"/>
      <c r="K22" s="50"/>
      <c r="L22" s="32"/>
      <c r="M22" s="53"/>
      <c r="N22" s="45"/>
    </row>
    <row r="23" spans="1:24" s="46" customFormat="1" ht="17.25" customHeight="1" x14ac:dyDescent="0.3">
      <c r="A23" s="43"/>
      <c r="B23" s="54"/>
      <c r="C23" s="43"/>
      <c r="D23" s="54"/>
      <c r="E23" s="55"/>
      <c r="F23" s="44"/>
      <c r="G23" s="44"/>
      <c r="H23" s="44"/>
      <c r="I23" s="44"/>
      <c r="J23" s="44"/>
      <c r="K23" s="50"/>
      <c r="L23" s="32"/>
      <c r="M23" s="51"/>
      <c r="N23" s="45"/>
      <c r="Q23" s="56"/>
      <c r="R23" s="56"/>
      <c r="S23" s="56"/>
      <c r="T23" s="56"/>
      <c r="U23" s="56"/>
      <c r="V23" s="56"/>
      <c r="W23" s="56"/>
      <c r="X23" s="56"/>
    </row>
    <row r="24" spans="1:24" s="46" customFormat="1" ht="11.25" x14ac:dyDescent="0.3">
      <c r="A24" s="43"/>
      <c r="B24" s="48"/>
      <c r="C24" s="44"/>
      <c r="D24" s="44"/>
      <c r="E24" s="49"/>
      <c r="F24" s="44"/>
      <c r="G24" s="44"/>
      <c r="H24" s="44"/>
      <c r="I24" s="44"/>
      <c r="J24" s="44"/>
      <c r="K24" s="50"/>
      <c r="L24" s="32"/>
      <c r="M24" s="51"/>
      <c r="N24" s="45"/>
    </row>
    <row r="25" spans="1:24" s="46" customFormat="1" ht="11.25" x14ac:dyDescent="0.3">
      <c r="A25" s="43"/>
      <c r="B25" s="43"/>
      <c r="C25" s="43"/>
      <c r="D25" s="43"/>
      <c r="E25" s="52"/>
      <c r="F25" s="44"/>
      <c r="G25" s="44"/>
      <c r="H25" s="44"/>
      <c r="I25" s="44"/>
      <c r="J25" s="44"/>
      <c r="K25" s="50"/>
      <c r="L25" s="32"/>
      <c r="M25" s="53"/>
      <c r="N25" s="45"/>
    </row>
    <row r="26" spans="1:24" s="46" customFormat="1" ht="11.25" x14ac:dyDescent="0.3">
      <c r="A26" s="43"/>
      <c r="B26" s="54"/>
      <c r="C26" s="43"/>
      <c r="D26" s="54"/>
      <c r="E26" s="52"/>
      <c r="F26" s="44"/>
      <c r="G26" s="44"/>
      <c r="H26" s="44"/>
      <c r="I26" s="44"/>
      <c r="J26" s="44"/>
      <c r="K26" s="50"/>
      <c r="L26" s="32"/>
      <c r="M26" s="51"/>
      <c r="N26" s="45"/>
      <c r="P26" s="57"/>
    </row>
    <row r="27" spans="1:24" s="46" customFormat="1" ht="11.25" x14ac:dyDescent="0.3">
      <c r="A27" s="43"/>
      <c r="B27" s="54"/>
      <c r="C27" s="43"/>
      <c r="D27" s="54"/>
      <c r="E27" s="52"/>
      <c r="F27" s="44"/>
      <c r="G27" s="44"/>
      <c r="H27" s="44"/>
      <c r="I27" s="44"/>
      <c r="J27" s="44"/>
      <c r="K27" s="50"/>
      <c r="L27" s="32"/>
      <c r="M27" s="51"/>
      <c r="N27" s="45"/>
    </row>
    <row r="28" spans="1:24" s="46" customFormat="1" ht="11.25" x14ac:dyDescent="0.3">
      <c r="A28" s="43"/>
      <c r="B28" s="54"/>
      <c r="C28" s="43"/>
      <c r="D28" s="54"/>
      <c r="E28" s="52"/>
      <c r="F28" s="44"/>
      <c r="G28" s="44"/>
      <c r="H28" s="44"/>
      <c r="I28" s="44"/>
      <c r="J28" s="44"/>
      <c r="K28" s="50"/>
      <c r="L28" s="32"/>
      <c r="M28" s="53"/>
      <c r="N28" s="45"/>
    </row>
    <row r="29" spans="1:24" s="46" customFormat="1" ht="11.25" x14ac:dyDescent="0.3">
      <c r="A29" s="43"/>
      <c r="B29" s="54"/>
      <c r="C29" s="43"/>
      <c r="D29" s="54"/>
      <c r="E29" s="52"/>
      <c r="F29" s="44"/>
      <c r="G29" s="44"/>
      <c r="H29" s="44"/>
      <c r="I29" s="44"/>
      <c r="J29" s="44"/>
      <c r="K29" s="50"/>
      <c r="L29" s="32"/>
      <c r="M29" s="51"/>
      <c r="N29" s="45"/>
    </row>
    <row r="30" spans="1:24" s="46" customFormat="1" ht="11.25" x14ac:dyDescent="0.3">
      <c r="A30" s="43"/>
      <c r="B30" s="54"/>
      <c r="C30" s="43"/>
      <c r="D30" s="58"/>
      <c r="E30" s="52"/>
      <c r="F30" s="44"/>
      <c r="G30" s="44"/>
      <c r="H30" s="44"/>
      <c r="I30" s="44"/>
      <c r="J30" s="44"/>
      <c r="K30" s="50"/>
      <c r="L30" s="32"/>
      <c r="M30" s="51"/>
      <c r="N30" s="45"/>
    </row>
    <row r="32" spans="1:24" ht="14.25" thickBot="1" x14ac:dyDescent="0.35">
      <c r="D32" s="60"/>
      <c r="E32" s="60"/>
      <c r="F32" s="60"/>
    </row>
    <row r="33" spans="4:6" ht="14.25" thickBot="1" x14ac:dyDescent="0.35">
      <c r="D33" s="60"/>
      <c r="E33" s="60"/>
      <c r="F33" s="61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6"/>
  <sheetViews>
    <sheetView workbookViewId="0">
      <selection activeCell="A16" sqref="A16:XFD16"/>
    </sheetView>
  </sheetViews>
  <sheetFormatPr defaultRowHeight="20.100000000000001" customHeight="1" x14ac:dyDescent="0.3"/>
  <cols>
    <col min="1" max="1" width="1.625" style="62" customWidth="1"/>
    <col min="2" max="2" width="4.625" style="62" bestFit="1" customWidth="1"/>
    <col min="3" max="3" width="7.625" style="62" bestFit="1" customWidth="1"/>
    <col min="4" max="4" width="8" style="62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62" customWidth="1"/>
    <col min="26" max="26" width="8.375" style="62" customWidth="1"/>
    <col min="27" max="27" width="7.25" style="62" customWidth="1"/>
    <col min="28" max="28" width="3.875" style="62" customWidth="1"/>
    <col min="29" max="29" width="8.375" style="62" bestFit="1" customWidth="1"/>
    <col min="30" max="257" width="9" style="62"/>
    <col min="258" max="258" width="4.625" style="62" bestFit="1" customWidth="1"/>
    <col min="259" max="259" width="7.5" style="62" bestFit="1" customWidth="1"/>
    <col min="260" max="260" width="6.25" style="62" customWidth="1"/>
    <col min="261" max="261" width="11" style="62" bestFit="1" customWidth="1"/>
    <col min="262" max="263" width="9.625" style="62" bestFit="1" customWidth="1"/>
    <col min="264" max="264" width="8.25" style="62" bestFit="1" customWidth="1"/>
    <col min="265" max="266" width="9.625" style="62" bestFit="1" customWidth="1"/>
    <col min="267" max="267" width="8.25" style="62" bestFit="1" customWidth="1"/>
    <col min="268" max="269" width="9.625" style="62" bestFit="1" customWidth="1"/>
    <col min="270" max="271" width="8.25" style="62" bestFit="1" customWidth="1"/>
    <col min="272" max="272" width="11" style="62" bestFit="1" customWidth="1"/>
    <col min="273" max="273" width="8" style="62" bestFit="1" customWidth="1"/>
    <col min="274" max="274" width="7.75" style="62" bestFit="1" customWidth="1"/>
    <col min="275" max="276" width="9.625" style="62" bestFit="1" customWidth="1"/>
    <col min="277" max="278" width="9.625" style="62" customWidth="1"/>
    <col min="279" max="279" width="9.25" style="62" bestFit="1" customWidth="1"/>
    <col min="280" max="280" width="11" style="62" bestFit="1" customWidth="1"/>
    <col min="281" max="513" width="9" style="62"/>
    <col min="514" max="514" width="4.625" style="62" bestFit="1" customWidth="1"/>
    <col min="515" max="515" width="7.5" style="62" bestFit="1" customWidth="1"/>
    <col min="516" max="516" width="6.25" style="62" customWidth="1"/>
    <col min="517" max="517" width="11" style="62" bestFit="1" customWidth="1"/>
    <col min="518" max="519" width="9.625" style="62" bestFit="1" customWidth="1"/>
    <col min="520" max="520" width="8.25" style="62" bestFit="1" customWidth="1"/>
    <col min="521" max="522" width="9.625" style="62" bestFit="1" customWidth="1"/>
    <col min="523" max="523" width="8.25" style="62" bestFit="1" customWidth="1"/>
    <col min="524" max="525" width="9.625" style="62" bestFit="1" customWidth="1"/>
    <col min="526" max="527" width="8.25" style="62" bestFit="1" customWidth="1"/>
    <col min="528" max="528" width="11" style="62" bestFit="1" customWidth="1"/>
    <col min="529" max="529" width="8" style="62" bestFit="1" customWidth="1"/>
    <col min="530" max="530" width="7.75" style="62" bestFit="1" customWidth="1"/>
    <col min="531" max="532" width="9.625" style="62" bestFit="1" customWidth="1"/>
    <col min="533" max="534" width="9.625" style="62" customWidth="1"/>
    <col min="535" max="535" width="9.25" style="62" bestFit="1" customWidth="1"/>
    <col min="536" max="536" width="11" style="62" bestFit="1" customWidth="1"/>
    <col min="537" max="769" width="9" style="62"/>
    <col min="770" max="770" width="4.625" style="62" bestFit="1" customWidth="1"/>
    <col min="771" max="771" width="7.5" style="62" bestFit="1" customWidth="1"/>
    <col min="772" max="772" width="6.25" style="62" customWidth="1"/>
    <col min="773" max="773" width="11" style="62" bestFit="1" customWidth="1"/>
    <col min="774" max="775" width="9.625" style="62" bestFit="1" customWidth="1"/>
    <col min="776" max="776" width="8.25" style="62" bestFit="1" customWidth="1"/>
    <col min="777" max="778" width="9.625" style="62" bestFit="1" customWidth="1"/>
    <col min="779" max="779" width="8.25" style="62" bestFit="1" customWidth="1"/>
    <col min="780" max="781" width="9.625" style="62" bestFit="1" customWidth="1"/>
    <col min="782" max="783" width="8.25" style="62" bestFit="1" customWidth="1"/>
    <col min="784" max="784" width="11" style="62" bestFit="1" customWidth="1"/>
    <col min="785" max="785" width="8" style="62" bestFit="1" customWidth="1"/>
    <col min="786" max="786" width="7.75" style="62" bestFit="1" customWidth="1"/>
    <col min="787" max="788" width="9.625" style="62" bestFit="1" customWidth="1"/>
    <col min="789" max="790" width="9.625" style="62" customWidth="1"/>
    <col min="791" max="791" width="9.25" style="62" bestFit="1" customWidth="1"/>
    <col min="792" max="792" width="11" style="62" bestFit="1" customWidth="1"/>
    <col min="793" max="1025" width="9" style="62"/>
    <col min="1026" max="1026" width="4.625" style="62" bestFit="1" customWidth="1"/>
    <col min="1027" max="1027" width="7.5" style="62" bestFit="1" customWidth="1"/>
    <col min="1028" max="1028" width="6.25" style="62" customWidth="1"/>
    <col min="1029" max="1029" width="11" style="62" bestFit="1" customWidth="1"/>
    <col min="1030" max="1031" width="9.625" style="62" bestFit="1" customWidth="1"/>
    <col min="1032" max="1032" width="8.25" style="62" bestFit="1" customWidth="1"/>
    <col min="1033" max="1034" width="9.625" style="62" bestFit="1" customWidth="1"/>
    <col min="1035" max="1035" width="8.25" style="62" bestFit="1" customWidth="1"/>
    <col min="1036" max="1037" width="9.625" style="62" bestFit="1" customWidth="1"/>
    <col min="1038" max="1039" width="8.25" style="62" bestFit="1" customWidth="1"/>
    <col min="1040" max="1040" width="11" style="62" bestFit="1" customWidth="1"/>
    <col min="1041" max="1041" width="8" style="62" bestFit="1" customWidth="1"/>
    <col min="1042" max="1042" width="7.75" style="62" bestFit="1" customWidth="1"/>
    <col min="1043" max="1044" width="9.625" style="62" bestFit="1" customWidth="1"/>
    <col min="1045" max="1046" width="9.625" style="62" customWidth="1"/>
    <col min="1047" max="1047" width="9.25" style="62" bestFit="1" customWidth="1"/>
    <col min="1048" max="1048" width="11" style="62" bestFit="1" customWidth="1"/>
    <col min="1049" max="1281" width="9" style="62"/>
    <col min="1282" max="1282" width="4.625" style="62" bestFit="1" customWidth="1"/>
    <col min="1283" max="1283" width="7.5" style="62" bestFit="1" customWidth="1"/>
    <col min="1284" max="1284" width="6.25" style="62" customWidth="1"/>
    <col min="1285" max="1285" width="11" style="62" bestFit="1" customWidth="1"/>
    <col min="1286" max="1287" width="9.625" style="62" bestFit="1" customWidth="1"/>
    <col min="1288" max="1288" width="8.25" style="62" bestFit="1" customWidth="1"/>
    <col min="1289" max="1290" width="9.625" style="62" bestFit="1" customWidth="1"/>
    <col min="1291" max="1291" width="8.25" style="62" bestFit="1" customWidth="1"/>
    <col min="1292" max="1293" width="9.625" style="62" bestFit="1" customWidth="1"/>
    <col min="1294" max="1295" width="8.25" style="62" bestFit="1" customWidth="1"/>
    <col min="1296" max="1296" width="11" style="62" bestFit="1" customWidth="1"/>
    <col min="1297" max="1297" width="8" style="62" bestFit="1" customWidth="1"/>
    <col min="1298" max="1298" width="7.75" style="62" bestFit="1" customWidth="1"/>
    <col min="1299" max="1300" width="9.625" style="62" bestFit="1" customWidth="1"/>
    <col min="1301" max="1302" width="9.625" style="62" customWidth="1"/>
    <col min="1303" max="1303" width="9.25" style="62" bestFit="1" customWidth="1"/>
    <col min="1304" max="1304" width="11" style="62" bestFit="1" customWidth="1"/>
    <col min="1305" max="1537" width="9" style="62"/>
    <col min="1538" max="1538" width="4.625" style="62" bestFit="1" customWidth="1"/>
    <col min="1539" max="1539" width="7.5" style="62" bestFit="1" customWidth="1"/>
    <col min="1540" max="1540" width="6.25" style="62" customWidth="1"/>
    <col min="1541" max="1541" width="11" style="62" bestFit="1" customWidth="1"/>
    <col min="1542" max="1543" width="9.625" style="62" bestFit="1" customWidth="1"/>
    <col min="1544" max="1544" width="8.25" style="62" bestFit="1" customWidth="1"/>
    <col min="1545" max="1546" width="9.625" style="62" bestFit="1" customWidth="1"/>
    <col min="1547" max="1547" width="8.25" style="62" bestFit="1" customWidth="1"/>
    <col min="1548" max="1549" width="9.625" style="62" bestFit="1" customWidth="1"/>
    <col min="1550" max="1551" width="8.25" style="62" bestFit="1" customWidth="1"/>
    <col min="1552" max="1552" width="11" style="62" bestFit="1" customWidth="1"/>
    <col min="1553" max="1553" width="8" style="62" bestFit="1" customWidth="1"/>
    <col min="1554" max="1554" width="7.75" style="62" bestFit="1" customWidth="1"/>
    <col min="1555" max="1556" width="9.625" style="62" bestFit="1" customWidth="1"/>
    <col min="1557" max="1558" width="9.625" style="62" customWidth="1"/>
    <col min="1559" max="1559" width="9.25" style="62" bestFit="1" customWidth="1"/>
    <col min="1560" max="1560" width="11" style="62" bestFit="1" customWidth="1"/>
    <col min="1561" max="1793" width="9" style="62"/>
    <col min="1794" max="1794" width="4.625" style="62" bestFit="1" customWidth="1"/>
    <col min="1795" max="1795" width="7.5" style="62" bestFit="1" customWidth="1"/>
    <col min="1796" max="1796" width="6.25" style="62" customWidth="1"/>
    <col min="1797" max="1797" width="11" style="62" bestFit="1" customWidth="1"/>
    <col min="1798" max="1799" width="9.625" style="62" bestFit="1" customWidth="1"/>
    <col min="1800" max="1800" width="8.25" style="62" bestFit="1" customWidth="1"/>
    <col min="1801" max="1802" width="9.625" style="62" bestFit="1" customWidth="1"/>
    <col min="1803" max="1803" width="8.25" style="62" bestFit="1" customWidth="1"/>
    <col min="1804" max="1805" width="9.625" style="62" bestFit="1" customWidth="1"/>
    <col min="1806" max="1807" width="8.25" style="62" bestFit="1" customWidth="1"/>
    <col min="1808" max="1808" width="11" style="62" bestFit="1" customWidth="1"/>
    <col min="1809" max="1809" width="8" style="62" bestFit="1" customWidth="1"/>
    <col min="1810" max="1810" width="7.75" style="62" bestFit="1" customWidth="1"/>
    <col min="1811" max="1812" width="9.625" style="62" bestFit="1" customWidth="1"/>
    <col min="1813" max="1814" width="9.625" style="62" customWidth="1"/>
    <col min="1815" max="1815" width="9.25" style="62" bestFit="1" customWidth="1"/>
    <col min="1816" max="1816" width="11" style="62" bestFit="1" customWidth="1"/>
    <col min="1817" max="2049" width="9" style="62"/>
    <col min="2050" max="2050" width="4.625" style="62" bestFit="1" customWidth="1"/>
    <col min="2051" max="2051" width="7.5" style="62" bestFit="1" customWidth="1"/>
    <col min="2052" max="2052" width="6.25" style="62" customWidth="1"/>
    <col min="2053" max="2053" width="11" style="62" bestFit="1" customWidth="1"/>
    <col min="2054" max="2055" width="9.625" style="62" bestFit="1" customWidth="1"/>
    <col min="2056" max="2056" width="8.25" style="62" bestFit="1" customWidth="1"/>
    <col min="2057" max="2058" width="9.625" style="62" bestFit="1" customWidth="1"/>
    <col min="2059" max="2059" width="8.25" style="62" bestFit="1" customWidth="1"/>
    <col min="2060" max="2061" width="9.625" style="62" bestFit="1" customWidth="1"/>
    <col min="2062" max="2063" width="8.25" style="62" bestFit="1" customWidth="1"/>
    <col min="2064" max="2064" width="11" style="62" bestFit="1" customWidth="1"/>
    <col min="2065" max="2065" width="8" style="62" bestFit="1" customWidth="1"/>
    <col min="2066" max="2066" width="7.75" style="62" bestFit="1" customWidth="1"/>
    <col min="2067" max="2068" width="9.625" style="62" bestFit="1" customWidth="1"/>
    <col min="2069" max="2070" width="9.625" style="62" customWidth="1"/>
    <col min="2071" max="2071" width="9.25" style="62" bestFit="1" customWidth="1"/>
    <col min="2072" max="2072" width="11" style="62" bestFit="1" customWidth="1"/>
    <col min="2073" max="2305" width="9" style="62"/>
    <col min="2306" max="2306" width="4.625" style="62" bestFit="1" customWidth="1"/>
    <col min="2307" max="2307" width="7.5" style="62" bestFit="1" customWidth="1"/>
    <col min="2308" max="2308" width="6.25" style="62" customWidth="1"/>
    <col min="2309" max="2309" width="11" style="62" bestFit="1" customWidth="1"/>
    <col min="2310" max="2311" width="9.625" style="62" bestFit="1" customWidth="1"/>
    <col min="2312" max="2312" width="8.25" style="62" bestFit="1" customWidth="1"/>
    <col min="2313" max="2314" width="9.625" style="62" bestFit="1" customWidth="1"/>
    <col min="2315" max="2315" width="8.25" style="62" bestFit="1" customWidth="1"/>
    <col min="2316" max="2317" width="9.625" style="62" bestFit="1" customWidth="1"/>
    <col min="2318" max="2319" width="8.25" style="62" bestFit="1" customWidth="1"/>
    <col min="2320" max="2320" width="11" style="62" bestFit="1" customWidth="1"/>
    <col min="2321" max="2321" width="8" style="62" bestFit="1" customWidth="1"/>
    <col min="2322" max="2322" width="7.75" style="62" bestFit="1" customWidth="1"/>
    <col min="2323" max="2324" width="9.625" style="62" bestFit="1" customWidth="1"/>
    <col min="2325" max="2326" width="9.625" style="62" customWidth="1"/>
    <col min="2327" max="2327" width="9.25" style="62" bestFit="1" customWidth="1"/>
    <col min="2328" max="2328" width="11" style="62" bestFit="1" customWidth="1"/>
    <col min="2329" max="2561" width="9" style="62"/>
    <col min="2562" max="2562" width="4.625" style="62" bestFit="1" customWidth="1"/>
    <col min="2563" max="2563" width="7.5" style="62" bestFit="1" customWidth="1"/>
    <col min="2564" max="2564" width="6.25" style="62" customWidth="1"/>
    <col min="2565" max="2565" width="11" style="62" bestFit="1" customWidth="1"/>
    <col min="2566" max="2567" width="9.625" style="62" bestFit="1" customWidth="1"/>
    <col min="2568" max="2568" width="8.25" style="62" bestFit="1" customWidth="1"/>
    <col min="2569" max="2570" width="9.625" style="62" bestFit="1" customWidth="1"/>
    <col min="2571" max="2571" width="8.25" style="62" bestFit="1" customWidth="1"/>
    <col min="2572" max="2573" width="9.625" style="62" bestFit="1" customWidth="1"/>
    <col min="2574" max="2575" width="8.25" style="62" bestFit="1" customWidth="1"/>
    <col min="2576" max="2576" width="11" style="62" bestFit="1" customWidth="1"/>
    <col min="2577" max="2577" width="8" style="62" bestFit="1" customWidth="1"/>
    <col min="2578" max="2578" width="7.75" style="62" bestFit="1" customWidth="1"/>
    <col min="2579" max="2580" width="9.625" style="62" bestFit="1" customWidth="1"/>
    <col min="2581" max="2582" width="9.625" style="62" customWidth="1"/>
    <col min="2583" max="2583" width="9.25" style="62" bestFit="1" customWidth="1"/>
    <col min="2584" max="2584" width="11" style="62" bestFit="1" customWidth="1"/>
    <col min="2585" max="2817" width="9" style="62"/>
    <col min="2818" max="2818" width="4.625" style="62" bestFit="1" customWidth="1"/>
    <col min="2819" max="2819" width="7.5" style="62" bestFit="1" customWidth="1"/>
    <col min="2820" max="2820" width="6.25" style="62" customWidth="1"/>
    <col min="2821" max="2821" width="11" style="62" bestFit="1" customWidth="1"/>
    <col min="2822" max="2823" width="9.625" style="62" bestFit="1" customWidth="1"/>
    <col min="2824" max="2824" width="8.25" style="62" bestFit="1" customWidth="1"/>
    <col min="2825" max="2826" width="9.625" style="62" bestFit="1" customWidth="1"/>
    <col min="2827" max="2827" width="8.25" style="62" bestFit="1" customWidth="1"/>
    <col min="2828" max="2829" width="9.625" style="62" bestFit="1" customWidth="1"/>
    <col min="2830" max="2831" width="8.25" style="62" bestFit="1" customWidth="1"/>
    <col min="2832" max="2832" width="11" style="62" bestFit="1" customWidth="1"/>
    <col min="2833" max="2833" width="8" style="62" bestFit="1" customWidth="1"/>
    <col min="2834" max="2834" width="7.75" style="62" bestFit="1" customWidth="1"/>
    <col min="2835" max="2836" width="9.625" style="62" bestFit="1" customWidth="1"/>
    <col min="2837" max="2838" width="9.625" style="62" customWidth="1"/>
    <col min="2839" max="2839" width="9.25" style="62" bestFit="1" customWidth="1"/>
    <col min="2840" max="2840" width="11" style="62" bestFit="1" customWidth="1"/>
    <col min="2841" max="3073" width="9" style="62"/>
    <col min="3074" max="3074" width="4.625" style="62" bestFit="1" customWidth="1"/>
    <col min="3075" max="3075" width="7.5" style="62" bestFit="1" customWidth="1"/>
    <col min="3076" max="3076" width="6.25" style="62" customWidth="1"/>
    <col min="3077" max="3077" width="11" style="62" bestFit="1" customWidth="1"/>
    <col min="3078" max="3079" width="9.625" style="62" bestFit="1" customWidth="1"/>
    <col min="3080" max="3080" width="8.25" style="62" bestFit="1" customWidth="1"/>
    <col min="3081" max="3082" width="9.625" style="62" bestFit="1" customWidth="1"/>
    <col min="3083" max="3083" width="8.25" style="62" bestFit="1" customWidth="1"/>
    <col min="3084" max="3085" width="9.625" style="62" bestFit="1" customWidth="1"/>
    <col min="3086" max="3087" width="8.25" style="62" bestFit="1" customWidth="1"/>
    <col min="3088" max="3088" width="11" style="62" bestFit="1" customWidth="1"/>
    <col min="3089" max="3089" width="8" style="62" bestFit="1" customWidth="1"/>
    <col min="3090" max="3090" width="7.75" style="62" bestFit="1" customWidth="1"/>
    <col min="3091" max="3092" width="9.625" style="62" bestFit="1" customWidth="1"/>
    <col min="3093" max="3094" width="9.625" style="62" customWidth="1"/>
    <col min="3095" max="3095" width="9.25" style="62" bestFit="1" customWidth="1"/>
    <col min="3096" max="3096" width="11" style="62" bestFit="1" customWidth="1"/>
    <col min="3097" max="3329" width="9" style="62"/>
    <col min="3330" max="3330" width="4.625" style="62" bestFit="1" customWidth="1"/>
    <col min="3331" max="3331" width="7.5" style="62" bestFit="1" customWidth="1"/>
    <col min="3332" max="3332" width="6.25" style="62" customWidth="1"/>
    <col min="3333" max="3333" width="11" style="62" bestFit="1" customWidth="1"/>
    <col min="3334" max="3335" width="9.625" style="62" bestFit="1" customWidth="1"/>
    <col min="3336" max="3336" width="8.25" style="62" bestFit="1" customWidth="1"/>
    <col min="3337" max="3338" width="9.625" style="62" bestFit="1" customWidth="1"/>
    <col min="3339" max="3339" width="8.25" style="62" bestFit="1" customWidth="1"/>
    <col min="3340" max="3341" width="9.625" style="62" bestFit="1" customWidth="1"/>
    <col min="3342" max="3343" width="8.25" style="62" bestFit="1" customWidth="1"/>
    <col min="3344" max="3344" width="11" style="62" bestFit="1" customWidth="1"/>
    <col min="3345" max="3345" width="8" style="62" bestFit="1" customWidth="1"/>
    <col min="3346" max="3346" width="7.75" style="62" bestFit="1" customWidth="1"/>
    <col min="3347" max="3348" width="9.625" style="62" bestFit="1" customWidth="1"/>
    <col min="3349" max="3350" width="9.625" style="62" customWidth="1"/>
    <col min="3351" max="3351" width="9.25" style="62" bestFit="1" customWidth="1"/>
    <col min="3352" max="3352" width="11" style="62" bestFit="1" customWidth="1"/>
    <col min="3353" max="3585" width="9" style="62"/>
    <col min="3586" max="3586" width="4.625" style="62" bestFit="1" customWidth="1"/>
    <col min="3587" max="3587" width="7.5" style="62" bestFit="1" customWidth="1"/>
    <col min="3588" max="3588" width="6.25" style="62" customWidth="1"/>
    <col min="3589" max="3589" width="11" style="62" bestFit="1" customWidth="1"/>
    <col min="3590" max="3591" width="9.625" style="62" bestFit="1" customWidth="1"/>
    <col min="3592" max="3592" width="8.25" style="62" bestFit="1" customWidth="1"/>
    <col min="3593" max="3594" width="9.625" style="62" bestFit="1" customWidth="1"/>
    <col min="3595" max="3595" width="8.25" style="62" bestFit="1" customWidth="1"/>
    <col min="3596" max="3597" width="9.625" style="62" bestFit="1" customWidth="1"/>
    <col min="3598" max="3599" width="8.25" style="62" bestFit="1" customWidth="1"/>
    <col min="3600" max="3600" width="11" style="62" bestFit="1" customWidth="1"/>
    <col min="3601" max="3601" width="8" style="62" bestFit="1" customWidth="1"/>
    <col min="3602" max="3602" width="7.75" style="62" bestFit="1" customWidth="1"/>
    <col min="3603" max="3604" width="9.625" style="62" bestFit="1" customWidth="1"/>
    <col min="3605" max="3606" width="9.625" style="62" customWidth="1"/>
    <col min="3607" max="3607" width="9.25" style="62" bestFit="1" customWidth="1"/>
    <col min="3608" max="3608" width="11" style="62" bestFit="1" customWidth="1"/>
    <col min="3609" max="3841" width="9" style="62"/>
    <col min="3842" max="3842" width="4.625" style="62" bestFit="1" customWidth="1"/>
    <col min="3843" max="3843" width="7.5" style="62" bestFit="1" customWidth="1"/>
    <col min="3844" max="3844" width="6.25" style="62" customWidth="1"/>
    <col min="3845" max="3845" width="11" style="62" bestFit="1" customWidth="1"/>
    <col min="3846" max="3847" width="9.625" style="62" bestFit="1" customWidth="1"/>
    <col min="3848" max="3848" width="8.25" style="62" bestFit="1" customWidth="1"/>
    <col min="3849" max="3850" width="9.625" style="62" bestFit="1" customWidth="1"/>
    <col min="3851" max="3851" width="8.25" style="62" bestFit="1" customWidth="1"/>
    <col min="3852" max="3853" width="9.625" style="62" bestFit="1" customWidth="1"/>
    <col min="3854" max="3855" width="8.25" style="62" bestFit="1" customWidth="1"/>
    <col min="3856" max="3856" width="11" style="62" bestFit="1" customWidth="1"/>
    <col min="3857" max="3857" width="8" style="62" bestFit="1" customWidth="1"/>
    <col min="3858" max="3858" width="7.75" style="62" bestFit="1" customWidth="1"/>
    <col min="3859" max="3860" width="9.625" style="62" bestFit="1" customWidth="1"/>
    <col min="3861" max="3862" width="9.625" style="62" customWidth="1"/>
    <col min="3863" max="3863" width="9.25" style="62" bestFit="1" customWidth="1"/>
    <col min="3864" max="3864" width="11" style="62" bestFit="1" customWidth="1"/>
    <col min="3865" max="4097" width="9" style="62"/>
    <col min="4098" max="4098" width="4.625" style="62" bestFit="1" customWidth="1"/>
    <col min="4099" max="4099" width="7.5" style="62" bestFit="1" customWidth="1"/>
    <col min="4100" max="4100" width="6.25" style="62" customWidth="1"/>
    <col min="4101" max="4101" width="11" style="62" bestFit="1" customWidth="1"/>
    <col min="4102" max="4103" width="9.625" style="62" bestFit="1" customWidth="1"/>
    <col min="4104" max="4104" width="8.25" style="62" bestFit="1" customWidth="1"/>
    <col min="4105" max="4106" width="9.625" style="62" bestFit="1" customWidth="1"/>
    <col min="4107" max="4107" width="8.25" style="62" bestFit="1" customWidth="1"/>
    <col min="4108" max="4109" width="9.625" style="62" bestFit="1" customWidth="1"/>
    <col min="4110" max="4111" width="8.25" style="62" bestFit="1" customWidth="1"/>
    <col min="4112" max="4112" width="11" style="62" bestFit="1" customWidth="1"/>
    <col min="4113" max="4113" width="8" style="62" bestFit="1" customWidth="1"/>
    <col min="4114" max="4114" width="7.75" style="62" bestFit="1" customWidth="1"/>
    <col min="4115" max="4116" width="9.625" style="62" bestFit="1" customWidth="1"/>
    <col min="4117" max="4118" width="9.625" style="62" customWidth="1"/>
    <col min="4119" max="4119" width="9.25" style="62" bestFit="1" customWidth="1"/>
    <col min="4120" max="4120" width="11" style="62" bestFit="1" customWidth="1"/>
    <col min="4121" max="4353" width="9" style="62"/>
    <col min="4354" max="4354" width="4.625" style="62" bestFit="1" customWidth="1"/>
    <col min="4355" max="4355" width="7.5" style="62" bestFit="1" customWidth="1"/>
    <col min="4356" max="4356" width="6.25" style="62" customWidth="1"/>
    <col min="4357" max="4357" width="11" style="62" bestFit="1" customWidth="1"/>
    <col min="4358" max="4359" width="9.625" style="62" bestFit="1" customWidth="1"/>
    <col min="4360" max="4360" width="8.25" style="62" bestFit="1" customWidth="1"/>
    <col min="4361" max="4362" width="9.625" style="62" bestFit="1" customWidth="1"/>
    <col min="4363" max="4363" width="8.25" style="62" bestFit="1" customWidth="1"/>
    <col min="4364" max="4365" width="9.625" style="62" bestFit="1" customWidth="1"/>
    <col min="4366" max="4367" width="8.25" style="62" bestFit="1" customWidth="1"/>
    <col min="4368" max="4368" width="11" style="62" bestFit="1" customWidth="1"/>
    <col min="4369" max="4369" width="8" style="62" bestFit="1" customWidth="1"/>
    <col min="4370" max="4370" width="7.75" style="62" bestFit="1" customWidth="1"/>
    <col min="4371" max="4372" width="9.625" style="62" bestFit="1" customWidth="1"/>
    <col min="4373" max="4374" width="9.625" style="62" customWidth="1"/>
    <col min="4375" max="4375" width="9.25" style="62" bestFit="1" customWidth="1"/>
    <col min="4376" max="4376" width="11" style="62" bestFit="1" customWidth="1"/>
    <col min="4377" max="4609" width="9" style="62"/>
    <col min="4610" max="4610" width="4.625" style="62" bestFit="1" customWidth="1"/>
    <col min="4611" max="4611" width="7.5" style="62" bestFit="1" customWidth="1"/>
    <col min="4612" max="4612" width="6.25" style="62" customWidth="1"/>
    <col min="4613" max="4613" width="11" style="62" bestFit="1" customWidth="1"/>
    <col min="4614" max="4615" width="9.625" style="62" bestFit="1" customWidth="1"/>
    <col min="4616" max="4616" width="8.25" style="62" bestFit="1" customWidth="1"/>
    <col min="4617" max="4618" width="9.625" style="62" bestFit="1" customWidth="1"/>
    <col min="4619" max="4619" width="8.25" style="62" bestFit="1" customWidth="1"/>
    <col min="4620" max="4621" width="9.625" style="62" bestFit="1" customWidth="1"/>
    <col min="4622" max="4623" width="8.25" style="62" bestFit="1" customWidth="1"/>
    <col min="4624" max="4624" width="11" style="62" bestFit="1" customWidth="1"/>
    <col min="4625" max="4625" width="8" style="62" bestFit="1" customWidth="1"/>
    <col min="4626" max="4626" width="7.75" style="62" bestFit="1" customWidth="1"/>
    <col min="4627" max="4628" width="9.625" style="62" bestFit="1" customWidth="1"/>
    <col min="4629" max="4630" width="9.625" style="62" customWidth="1"/>
    <col min="4631" max="4631" width="9.25" style="62" bestFit="1" customWidth="1"/>
    <col min="4632" max="4632" width="11" style="62" bestFit="1" customWidth="1"/>
    <col min="4633" max="4865" width="9" style="62"/>
    <col min="4866" max="4866" width="4.625" style="62" bestFit="1" customWidth="1"/>
    <col min="4867" max="4867" width="7.5" style="62" bestFit="1" customWidth="1"/>
    <col min="4868" max="4868" width="6.25" style="62" customWidth="1"/>
    <col min="4869" max="4869" width="11" style="62" bestFit="1" customWidth="1"/>
    <col min="4870" max="4871" width="9.625" style="62" bestFit="1" customWidth="1"/>
    <col min="4872" max="4872" width="8.25" style="62" bestFit="1" customWidth="1"/>
    <col min="4873" max="4874" width="9.625" style="62" bestFit="1" customWidth="1"/>
    <col min="4875" max="4875" width="8.25" style="62" bestFit="1" customWidth="1"/>
    <col min="4876" max="4877" width="9.625" style="62" bestFit="1" customWidth="1"/>
    <col min="4878" max="4879" width="8.25" style="62" bestFit="1" customWidth="1"/>
    <col min="4880" max="4880" width="11" style="62" bestFit="1" customWidth="1"/>
    <col min="4881" max="4881" width="8" style="62" bestFit="1" customWidth="1"/>
    <col min="4882" max="4882" width="7.75" style="62" bestFit="1" customWidth="1"/>
    <col min="4883" max="4884" width="9.625" style="62" bestFit="1" customWidth="1"/>
    <col min="4885" max="4886" width="9.625" style="62" customWidth="1"/>
    <col min="4887" max="4887" width="9.25" style="62" bestFit="1" customWidth="1"/>
    <col min="4888" max="4888" width="11" style="62" bestFit="1" customWidth="1"/>
    <col min="4889" max="5121" width="9" style="62"/>
    <col min="5122" max="5122" width="4.625" style="62" bestFit="1" customWidth="1"/>
    <col min="5123" max="5123" width="7.5" style="62" bestFit="1" customWidth="1"/>
    <col min="5124" max="5124" width="6.25" style="62" customWidth="1"/>
    <col min="5125" max="5125" width="11" style="62" bestFit="1" customWidth="1"/>
    <col min="5126" max="5127" width="9.625" style="62" bestFit="1" customWidth="1"/>
    <col min="5128" max="5128" width="8.25" style="62" bestFit="1" customWidth="1"/>
    <col min="5129" max="5130" width="9.625" style="62" bestFit="1" customWidth="1"/>
    <col min="5131" max="5131" width="8.25" style="62" bestFit="1" customWidth="1"/>
    <col min="5132" max="5133" width="9.625" style="62" bestFit="1" customWidth="1"/>
    <col min="5134" max="5135" width="8.25" style="62" bestFit="1" customWidth="1"/>
    <col min="5136" max="5136" width="11" style="62" bestFit="1" customWidth="1"/>
    <col min="5137" max="5137" width="8" style="62" bestFit="1" customWidth="1"/>
    <col min="5138" max="5138" width="7.75" style="62" bestFit="1" customWidth="1"/>
    <col min="5139" max="5140" width="9.625" style="62" bestFit="1" customWidth="1"/>
    <col min="5141" max="5142" width="9.625" style="62" customWidth="1"/>
    <col min="5143" max="5143" width="9.25" style="62" bestFit="1" customWidth="1"/>
    <col min="5144" max="5144" width="11" style="62" bestFit="1" customWidth="1"/>
    <col min="5145" max="5377" width="9" style="62"/>
    <col min="5378" max="5378" width="4.625" style="62" bestFit="1" customWidth="1"/>
    <col min="5379" max="5379" width="7.5" style="62" bestFit="1" customWidth="1"/>
    <col min="5380" max="5380" width="6.25" style="62" customWidth="1"/>
    <col min="5381" max="5381" width="11" style="62" bestFit="1" customWidth="1"/>
    <col min="5382" max="5383" width="9.625" style="62" bestFit="1" customWidth="1"/>
    <col min="5384" max="5384" width="8.25" style="62" bestFit="1" customWidth="1"/>
    <col min="5385" max="5386" width="9.625" style="62" bestFit="1" customWidth="1"/>
    <col min="5387" max="5387" width="8.25" style="62" bestFit="1" customWidth="1"/>
    <col min="5388" max="5389" width="9.625" style="62" bestFit="1" customWidth="1"/>
    <col min="5390" max="5391" width="8.25" style="62" bestFit="1" customWidth="1"/>
    <col min="5392" max="5392" width="11" style="62" bestFit="1" customWidth="1"/>
    <col min="5393" max="5393" width="8" style="62" bestFit="1" customWidth="1"/>
    <col min="5394" max="5394" width="7.75" style="62" bestFit="1" customWidth="1"/>
    <col min="5395" max="5396" width="9.625" style="62" bestFit="1" customWidth="1"/>
    <col min="5397" max="5398" width="9.625" style="62" customWidth="1"/>
    <col min="5399" max="5399" width="9.25" style="62" bestFit="1" customWidth="1"/>
    <col min="5400" max="5400" width="11" style="62" bestFit="1" customWidth="1"/>
    <col min="5401" max="5633" width="9" style="62"/>
    <col min="5634" max="5634" width="4.625" style="62" bestFit="1" customWidth="1"/>
    <col min="5635" max="5635" width="7.5" style="62" bestFit="1" customWidth="1"/>
    <col min="5636" max="5636" width="6.25" style="62" customWidth="1"/>
    <col min="5637" max="5637" width="11" style="62" bestFit="1" customWidth="1"/>
    <col min="5638" max="5639" width="9.625" style="62" bestFit="1" customWidth="1"/>
    <col min="5640" max="5640" width="8.25" style="62" bestFit="1" customWidth="1"/>
    <col min="5641" max="5642" width="9.625" style="62" bestFit="1" customWidth="1"/>
    <col min="5643" max="5643" width="8.25" style="62" bestFit="1" customWidth="1"/>
    <col min="5644" max="5645" width="9.625" style="62" bestFit="1" customWidth="1"/>
    <col min="5646" max="5647" width="8.25" style="62" bestFit="1" customWidth="1"/>
    <col min="5648" max="5648" width="11" style="62" bestFit="1" customWidth="1"/>
    <col min="5649" max="5649" width="8" style="62" bestFit="1" customWidth="1"/>
    <col min="5650" max="5650" width="7.75" style="62" bestFit="1" customWidth="1"/>
    <col min="5651" max="5652" width="9.625" style="62" bestFit="1" customWidth="1"/>
    <col min="5653" max="5654" width="9.625" style="62" customWidth="1"/>
    <col min="5655" max="5655" width="9.25" style="62" bestFit="1" customWidth="1"/>
    <col min="5656" max="5656" width="11" style="62" bestFit="1" customWidth="1"/>
    <col min="5657" max="5889" width="9" style="62"/>
    <col min="5890" max="5890" width="4.625" style="62" bestFit="1" customWidth="1"/>
    <col min="5891" max="5891" width="7.5" style="62" bestFit="1" customWidth="1"/>
    <col min="5892" max="5892" width="6.25" style="62" customWidth="1"/>
    <col min="5893" max="5893" width="11" style="62" bestFit="1" customWidth="1"/>
    <col min="5894" max="5895" width="9.625" style="62" bestFit="1" customWidth="1"/>
    <col min="5896" max="5896" width="8.25" style="62" bestFit="1" customWidth="1"/>
    <col min="5897" max="5898" width="9.625" style="62" bestFit="1" customWidth="1"/>
    <col min="5899" max="5899" width="8.25" style="62" bestFit="1" customWidth="1"/>
    <col min="5900" max="5901" width="9.625" style="62" bestFit="1" customWidth="1"/>
    <col min="5902" max="5903" width="8.25" style="62" bestFit="1" customWidth="1"/>
    <col min="5904" max="5904" width="11" style="62" bestFit="1" customWidth="1"/>
    <col min="5905" max="5905" width="8" style="62" bestFit="1" customWidth="1"/>
    <col min="5906" max="5906" width="7.75" style="62" bestFit="1" customWidth="1"/>
    <col min="5907" max="5908" width="9.625" style="62" bestFit="1" customWidth="1"/>
    <col min="5909" max="5910" width="9.625" style="62" customWidth="1"/>
    <col min="5911" max="5911" width="9.25" style="62" bestFit="1" customWidth="1"/>
    <col min="5912" max="5912" width="11" style="62" bestFit="1" customWidth="1"/>
    <col min="5913" max="6145" width="9" style="62"/>
    <col min="6146" max="6146" width="4.625" style="62" bestFit="1" customWidth="1"/>
    <col min="6147" max="6147" width="7.5" style="62" bestFit="1" customWidth="1"/>
    <col min="6148" max="6148" width="6.25" style="62" customWidth="1"/>
    <col min="6149" max="6149" width="11" style="62" bestFit="1" customWidth="1"/>
    <col min="6150" max="6151" width="9.625" style="62" bestFit="1" customWidth="1"/>
    <col min="6152" max="6152" width="8.25" style="62" bestFit="1" customWidth="1"/>
    <col min="6153" max="6154" width="9.625" style="62" bestFit="1" customWidth="1"/>
    <col min="6155" max="6155" width="8.25" style="62" bestFit="1" customWidth="1"/>
    <col min="6156" max="6157" width="9.625" style="62" bestFit="1" customWidth="1"/>
    <col min="6158" max="6159" width="8.25" style="62" bestFit="1" customWidth="1"/>
    <col min="6160" max="6160" width="11" style="62" bestFit="1" customWidth="1"/>
    <col min="6161" max="6161" width="8" style="62" bestFit="1" customWidth="1"/>
    <col min="6162" max="6162" width="7.75" style="62" bestFit="1" customWidth="1"/>
    <col min="6163" max="6164" width="9.625" style="62" bestFit="1" customWidth="1"/>
    <col min="6165" max="6166" width="9.625" style="62" customWidth="1"/>
    <col min="6167" max="6167" width="9.25" style="62" bestFit="1" customWidth="1"/>
    <col min="6168" max="6168" width="11" style="62" bestFit="1" customWidth="1"/>
    <col min="6169" max="6401" width="9" style="62"/>
    <col min="6402" max="6402" width="4.625" style="62" bestFit="1" customWidth="1"/>
    <col min="6403" max="6403" width="7.5" style="62" bestFit="1" customWidth="1"/>
    <col min="6404" max="6404" width="6.25" style="62" customWidth="1"/>
    <col min="6405" max="6405" width="11" style="62" bestFit="1" customWidth="1"/>
    <col min="6406" max="6407" width="9.625" style="62" bestFit="1" customWidth="1"/>
    <col min="6408" max="6408" width="8.25" style="62" bestFit="1" customWidth="1"/>
    <col min="6409" max="6410" width="9.625" style="62" bestFit="1" customWidth="1"/>
    <col min="6411" max="6411" width="8.25" style="62" bestFit="1" customWidth="1"/>
    <col min="6412" max="6413" width="9.625" style="62" bestFit="1" customWidth="1"/>
    <col min="6414" max="6415" width="8.25" style="62" bestFit="1" customWidth="1"/>
    <col min="6416" max="6416" width="11" style="62" bestFit="1" customWidth="1"/>
    <col min="6417" max="6417" width="8" style="62" bestFit="1" customWidth="1"/>
    <col min="6418" max="6418" width="7.75" style="62" bestFit="1" customWidth="1"/>
    <col min="6419" max="6420" width="9.625" style="62" bestFit="1" customWidth="1"/>
    <col min="6421" max="6422" width="9.625" style="62" customWidth="1"/>
    <col min="6423" max="6423" width="9.25" style="62" bestFit="1" customWidth="1"/>
    <col min="6424" max="6424" width="11" style="62" bestFit="1" customWidth="1"/>
    <col min="6425" max="6657" width="9" style="62"/>
    <col min="6658" max="6658" width="4.625" style="62" bestFit="1" customWidth="1"/>
    <col min="6659" max="6659" width="7.5" style="62" bestFit="1" customWidth="1"/>
    <col min="6660" max="6660" width="6.25" style="62" customWidth="1"/>
    <col min="6661" max="6661" width="11" style="62" bestFit="1" customWidth="1"/>
    <col min="6662" max="6663" width="9.625" style="62" bestFit="1" customWidth="1"/>
    <col min="6664" max="6664" width="8.25" style="62" bestFit="1" customWidth="1"/>
    <col min="6665" max="6666" width="9.625" style="62" bestFit="1" customWidth="1"/>
    <col min="6667" max="6667" width="8.25" style="62" bestFit="1" customWidth="1"/>
    <col min="6668" max="6669" width="9.625" style="62" bestFit="1" customWidth="1"/>
    <col min="6670" max="6671" width="8.25" style="62" bestFit="1" customWidth="1"/>
    <col min="6672" max="6672" width="11" style="62" bestFit="1" customWidth="1"/>
    <col min="6673" max="6673" width="8" style="62" bestFit="1" customWidth="1"/>
    <col min="6674" max="6674" width="7.75" style="62" bestFit="1" customWidth="1"/>
    <col min="6675" max="6676" width="9.625" style="62" bestFit="1" customWidth="1"/>
    <col min="6677" max="6678" width="9.625" style="62" customWidth="1"/>
    <col min="6679" max="6679" width="9.25" style="62" bestFit="1" customWidth="1"/>
    <col min="6680" max="6680" width="11" style="62" bestFit="1" customWidth="1"/>
    <col min="6681" max="6913" width="9" style="62"/>
    <col min="6914" max="6914" width="4.625" style="62" bestFit="1" customWidth="1"/>
    <col min="6915" max="6915" width="7.5" style="62" bestFit="1" customWidth="1"/>
    <col min="6916" max="6916" width="6.25" style="62" customWidth="1"/>
    <col min="6917" max="6917" width="11" style="62" bestFit="1" customWidth="1"/>
    <col min="6918" max="6919" width="9.625" style="62" bestFit="1" customWidth="1"/>
    <col min="6920" max="6920" width="8.25" style="62" bestFit="1" customWidth="1"/>
    <col min="6921" max="6922" width="9.625" style="62" bestFit="1" customWidth="1"/>
    <col min="6923" max="6923" width="8.25" style="62" bestFit="1" customWidth="1"/>
    <col min="6924" max="6925" width="9.625" style="62" bestFit="1" customWidth="1"/>
    <col min="6926" max="6927" width="8.25" style="62" bestFit="1" customWidth="1"/>
    <col min="6928" max="6928" width="11" style="62" bestFit="1" customWidth="1"/>
    <col min="6929" max="6929" width="8" style="62" bestFit="1" customWidth="1"/>
    <col min="6930" max="6930" width="7.75" style="62" bestFit="1" customWidth="1"/>
    <col min="6931" max="6932" width="9.625" style="62" bestFit="1" customWidth="1"/>
    <col min="6933" max="6934" width="9.625" style="62" customWidth="1"/>
    <col min="6935" max="6935" width="9.25" style="62" bestFit="1" customWidth="1"/>
    <col min="6936" max="6936" width="11" style="62" bestFit="1" customWidth="1"/>
    <col min="6937" max="7169" width="9" style="62"/>
    <col min="7170" max="7170" width="4.625" style="62" bestFit="1" customWidth="1"/>
    <col min="7171" max="7171" width="7.5" style="62" bestFit="1" customWidth="1"/>
    <col min="7172" max="7172" width="6.25" style="62" customWidth="1"/>
    <col min="7173" max="7173" width="11" style="62" bestFit="1" customWidth="1"/>
    <col min="7174" max="7175" width="9.625" style="62" bestFit="1" customWidth="1"/>
    <col min="7176" max="7176" width="8.25" style="62" bestFit="1" customWidth="1"/>
    <col min="7177" max="7178" width="9.625" style="62" bestFit="1" customWidth="1"/>
    <col min="7179" max="7179" width="8.25" style="62" bestFit="1" customWidth="1"/>
    <col min="7180" max="7181" width="9.625" style="62" bestFit="1" customWidth="1"/>
    <col min="7182" max="7183" width="8.25" style="62" bestFit="1" customWidth="1"/>
    <col min="7184" max="7184" width="11" style="62" bestFit="1" customWidth="1"/>
    <col min="7185" max="7185" width="8" style="62" bestFit="1" customWidth="1"/>
    <col min="7186" max="7186" width="7.75" style="62" bestFit="1" customWidth="1"/>
    <col min="7187" max="7188" width="9.625" style="62" bestFit="1" customWidth="1"/>
    <col min="7189" max="7190" width="9.625" style="62" customWidth="1"/>
    <col min="7191" max="7191" width="9.25" style="62" bestFit="1" customWidth="1"/>
    <col min="7192" max="7192" width="11" style="62" bestFit="1" customWidth="1"/>
    <col min="7193" max="7425" width="9" style="62"/>
    <col min="7426" max="7426" width="4.625" style="62" bestFit="1" customWidth="1"/>
    <col min="7427" max="7427" width="7.5" style="62" bestFit="1" customWidth="1"/>
    <col min="7428" max="7428" width="6.25" style="62" customWidth="1"/>
    <col min="7429" max="7429" width="11" style="62" bestFit="1" customWidth="1"/>
    <col min="7430" max="7431" width="9.625" style="62" bestFit="1" customWidth="1"/>
    <col min="7432" max="7432" width="8.25" style="62" bestFit="1" customWidth="1"/>
    <col min="7433" max="7434" width="9.625" style="62" bestFit="1" customWidth="1"/>
    <col min="7435" max="7435" width="8.25" style="62" bestFit="1" customWidth="1"/>
    <col min="7436" max="7437" width="9.625" style="62" bestFit="1" customWidth="1"/>
    <col min="7438" max="7439" width="8.25" style="62" bestFit="1" customWidth="1"/>
    <col min="7440" max="7440" width="11" style="62" bestFit="1" customWidth="1"/>
    <col min="7441" max="7441" width="8" style="62" bestFit="1" customWidth="1"/>
    <col min="7442" max="7442" width="7.75" style="62" bestFit="1" customWidth="1"/>
    <col min="7443" max="7444" width="9.625" style="62" bestFit="1" customWidth="1"/>
    <col min="7445" max="7446" width="9.625" style="62" customWidth="1"/>
    <col min="7447" max="7447" width="9.25" style="62" bestFit="1" customWidth="1"/>
    <col min="7448" max="7448" width="11" style="62" bestFit="1" customWidth="1"/>
    <col min="7449" max="7681" width="9" style="62"/>
    <col min="7682" max="7682" width="4.625" style="62" bestFit="1" customWidth="1"/>
    <col min="7683" max="7683" width="7.5" style="62" bestFit="1" customWidth="1"/>
    <col min="7684" max="7684" width="6.25" style="62" customWidth="1"/>
    <col min="7685" max="7685" width="11" style="62" bestFit="1" customWidth="1"/>
    <col min="7686" max="7687" width="9.625" style="62" bestFit="1" customWidth="1"/>
    <col min="7688" max="7688" width="8.25" style="62" bestFit="1" customWidth="1"/>
    <col min="7689" max="7690" width="9.625" style="62" bestFit="1" customWidth="1"/>
    <col min="7691" max="7691" width="8.25" style="62" bestFit="1" customWidth="1"/>
    <col min="7692" max="7693" width="9.625" style="62" bestFit="1" customWidth="1"/>
    <col min="7694" max="7695" width="8.25" style="62" bestFit="1" customWidth="1"/>
    <col min="7696" max="7696" width="11" style="62" bestFit="1" customWidth="1"/>
    <col min="7697" max="7697" width="8" style="62" bestFit="1" customWidth="1"/>
    <col min="7698" max="7698" width="7.75" style="62" bestFit="1" customWidth="1"/>
    <col min="7699" max="7700" width="9.625" style="62" bestFit="1" customWidth="1"/>
    <col min="7701" max="7702" width="9.625" style="62" customWidth="1"/>
    <col min="7703" max="7703" width="9.25" style="62" bestFit="1" customWidth="1"/>
    <col min="7704" max="7704" width="11" style="62" bestFit="1" customWidth="1"/>
    <col min="7705" max="7937" width="9" style="62"/>
    <col min="7938" max="7938" width="4.625" style="62" bestFit="1" customWidth="1"/>
    <col min="7939" max="7939" width="7.5" style="62" bestFit="1" customWidth="1"/>
    <col min="7940" max="7940" width="6.25" style="62" customWidth="1"/>
    <col min="7941" max="7941" width="11" style="62" bestFit="1" customWidth="1"/>
    <col min="7942" max="7943" width="9.625" style="62" bestFit="1" customWidth="1"/>
    <col min="7944" max="7944" width="8.25" style="62" bestFit="1" customWidth="1"/>
    <col min="7945" max="7946" width="9.625" style="62" bestFit="1" customWidth="1"/>
    <col min="7947" max="7947" width="8.25" style="62" bestFit="1" customWidth="1"/>
    <col min="7948" max="7949" width="9.625" style="62" bestFit="1" customWidth="1"/>
    <col min="7950" max="7951" width="8.25" style="62" bestFit="1" customWidth="1"/>
    <col min="7952" max="7952" width="11" style="62" bestFit="1" customWidth="1"/>
    <col min="7953" max="7953" width="8" style="62" bestFit="1" customWidth="1"/>
    <col min="7954" max="7954" width="7.75" style="62" bestFit="1" customWidth="1"/>
    <col min="7955" max="7956" width="9.625" style="62" bestFit="1" customWidth="1"/>
    <col min="7957" max="7958" width="9.625" style="62" customWidth="1"/>
    <col min="7959" max="7959" width="9.25" style="62" bestFit="1" customWidth="1"/>
    <col min="7960" max="7960" width="11" style="62" bestFit="1" customWidth="1"/>
    <col min="7961" max="8193" width="9" style="62"/>
    <col min="8194" max="8194" width="4.625" style="62" bestFit="1" customWidth="1"/>
    <col min="8195" max="8195" width="7.5" style="62" bestFit="1" customWidth="1"/>
    <col min="8196" max="8196" width="6.25" style="62" customWidth="1"/>
    <col min="8197" max="8197" width="11" style="62" bestFit="1" customWidth="1"/>
    <col min="8198" max="8199" width="9.625" style="62" bestFit="1" customWidth="1"/>
    <col min="8200" max="8200" width="8.25" style="62" bestFit="1" customWidth="1"/>
    <col min="8201" max="8202" width="9.625" style="62" bestFit="1" customWidth="1"/>
    <col min="8203" max="8203" width="8.25" style="62" bestFit="1" customWidth="1"/>
    <col min="8204" max="8205" width="9.625" style="62" bestFit="1" customWidth="1"/>
    <col min="8206" max="8207" width="8.25" style="62" bestFit="1" customWidth="1"/>
    <col min="8208" max="8208" width="11" style="62" bestFit="1" customWidth="1"/>
    <col min="8209" max="8209" width="8" style="62" bestFit="1" customWidth="1"/>
    <col min="8210" max="8210" width="7.75" style="62" bestFit="1" customWidth="1"/>
    <col min="8211" max="8212" width="9.625" style="62" bestFit="1" customWidth="1"/>
    <col min="8213" max="8214" width="9.625" style="62" customWidth="1"/>
    <col min="8215" max="8215" width="9.25" style="62" bestFit="1" customWidth="1"/>
    <col min="8216" max="8216" width="11" style="62" bestFit="1" customWidth="1"/>
    <col min="8217" max="8449" width="9" style="62"/>
    <col min="8450" max="8450" width="4.625" style="62" bestFit="1" customWidth="1"/>
    <col min="8451" max="8451" width="7.5" style="62" bestFit="1" customWidth="1"/>
    <col min="8452" max="8452" width="6.25" style="62" customWidth="1"/>
    <col min="8453" max="8453" width="11" style="62" bestFit="1" customWidth="1"/>
    <col min="8454" max="8455" width="9.625" style="62" bestFit="1" customWidth="1"/>
    <col min="8456" max="8456" width="8.25" style="62" bestFit="1" customWidth="1"/>
    <col min="8457" max="8458" width="9.625" style="62" bestFit="1" customWidth="1"/>
    <col min="8459" max="8459" width="8.25" style="62" bestFit="1" customWidth="1"/>
    <col min="8460" max="8461" width="9.625" style="62" bestFit="1" customWidth="1"/>
    <col min="8462" max="8463" width="8.25" style="62" bestFit="1" customWidth="1"/>
    <col min="8464" max="8464" width="11" style="62" bestFit="1" customWidth="1"/>
    <col min="8465" max="8465" width="8" style="62" bestFit="1" customWidth="1"/>
    <col min="8466" max="8466" width="7.75" style="62" bestFit="1" customWidth="1"/>
    <col min="8467" max="8468" width="9.625" style="62" bestFit="1" customWidth="1"/>
    <col min="8469" max="8470" width="9.625" style="62" customWidth="1"/>
    <col min="8471" max="8471" width="9.25" style="62" bestFit="1" customWidth="1"/>
    <col min="8472" max="8472" width="11" style="62" bestFit="1" customWidth="1"/>
    <col min="8473" max="8705" width="9" style="62"/>
    <col min="8706" max="8706" width="4.625" style="62" bestFit="1" customWidth="1"/>
    <col min="8707" max="8707" width="7.5" style="62" bestFit="1" customWidth="1"/>
    <col min="8708" max="8708" width="6.25" style="62" customWidth="1"/>
    <col min="8709" max="8709" width="11" style="62" bestFit="1" customWidth="1"/>
    <col min="8710" max="8711" width="9.625" style="62" bestFit="1" customWidth="1"/>
    <col min="8712" max="8712" width="8.25" style="62" bestFit="1" customWidth="1"/>
    <col min="8713" max="8714" width="9.625" style="62" bestFit="1" customWidth="1"/>
    <col min="8715" max="8715" width="8.25" style="62" bestFit="1" customWidth="1"/>
    <col min="8716" max="8717" width="9.625" style="62" bestFit="1" customWidth="1"/>
    <col min="8718" max="8719" width="8.25" style="62" bestFit="1" customWidth="1"/>
    <col min="8720" max="8720" width="11" style="62" bestFit="1" customWidth="1"/>
    <col min="8721" max="8721" width="8" style="62" bestFit="1" customWidth="1"/>
    <col min="8722" max="8722" width="7.75" style="62" bestFit="1" customWidth="1"/>
    <col min="8723" max="8724" width="9.625" style="62" bestFit="1" customWidth="1"/>
    <col min="8725" max="8726" width="9.625" style="62" customWidth="1"/>
    <col min="8727" max="8727" width="9.25" style="62" bestFit="1" customWidth="1"/>
    <col min="8728" max="8728" width="11" style="62" bestFit="1" customWidth="1"/>
    <col min="8729" max="8961" width="9" style="62"/>
    <col min="8962" max="8962" width="4.625" style="62" bestFit="1" customWidth="1"/>
    <col min="8963" max="8963" width="7.5" style="62" bestFit="1" customWidth="1"/>
    <col min="8964" max="8964" width="6.25" style="62" customWidth="1"/>
    <col min="8965" max="8965" width="11" style="62" bestFit="1" customWidth="1"/>
    <col min="8966" max="8967" width="9.625" style="62" bestFit="1" customWidth="1"/>
    <col min="8968" max="8968" width="8.25" style="62" bestFit="1" customWidth="1"/>
    <col min="8969" max="8970" width="9.625" style="62" bestFit="1" customWidth="1"/>
    <col min="8971" max="8971" width="8.25" style="62" bestFit="1" customWidth="1"/>
    <col min="8972" max="8973" width="9.625" style="62" bestFit="1" customWidth="1"/>
    <col min="8974" max="8975" width="8.25" style="62" bestFit="1" customWidth="1"/>
    <col min="8976" max="8976" width="11" style="62" bestFit="1" customWidth="1"/>
    <col min="8977" max="8977" width="8" style="62" bestFit="1" customWidth="1"/>
    <col min="8978" max="8978" width="7.75" style="62" bestFit="1" customWidth="1"/>
    <col min="8979" max="8980" width="9.625" style="62" bestFit="1" customWidth="1"/>
    <col min="8981" max="8982" width="9.625" style="62" customWidth="1"/>
    <col min="8983" max="8983" width="9.25" style="62" bestFit="1" customWidth="1"/>
    <col min="8984" max="8984" width="11" style="62" bestFit="1" customWidth="1"/>
    <col min="8985" max="9217" width="9" style="62"/>
    <col min="9218" max="9218" width="4.625" style="62" bestFit="1" customWidth="1"/>
    <col min="9219" max="9219" width="7.5" style="62" bestFit="1" customWidth="1"/>
    <col min="9220" max="9220" width="6.25" style="62" customWidth="1"/>
    <col min="9221" max="9221" width="11" style="62" bestFit="1" customWidth="1"/>
    <col min="9222" max="9223" width="9.625" style="62" bestFit="1" customWidth="1"/>
    <col min="9224" max="9224" width="8.25" style="62" bestFit="1" customWidth="1"/>
    <col min="9225" max="9226" width="9.625" style="62" bestFit="1" customWidth="1"/>
    <col min="9227" max="9227" width="8.25" style="62" bestFit="1" customWidth="1"/>
    <col min="9228" max="9229" width="9.625" style="62" bestFit="1" customWidth="1"/>
    <col min="9230" max="9231" width="8.25" style="62" bestFit="1" customWidth="1"/>
    <col min="9232" max="9232" width="11" style="62" bestFit="1" customWidth="1"/>
    <col min="9233" max="9233" width="8" style="62" bestFit="1" customWidth="1"/>
    <col min="9234" max="9234" width="7.75" style="62" bestFit="1" customWidth="1"/>
    <col min="9235" max="9236" width="9.625" style="62" bestFit="1" customWidth="1"/>
    <col min="9237" max="9238" width="9.625" style="62" customWidth="1"/>
    <col min="9239" max="9239" width="9.25" style="62" bestFit="1" customWidth="1"/>
    <col min="9240" max="9240" width="11" style="62" bestFit="1" customWidth="1"/>
    <col min="9241" max="9473" width="9" style="62"/>
    <col min="9474" max="9474" width="4.625" style="62" bestFit="1" customWidth="1"/>
    <col min="9475" max="9475" width="7.5" style="62" bestFit="1" customWidth="1"/>
    <col min="9476" max="9476" width="6.25" style="62" customWidth="1"/>
    <col min="9477" max="9477" width="11" style="62" bestFit="1" customWidth="1"/>
    <col min="9478" max="9479" width="9.625" style="62" bestFit="1" customWidth="1"/>
    <col min="9480" max="9480" width="8.25" style="62" bestFit="1" customWidth="1"/>
    <col min="9481" max="9482" width="9.625" style="62" bestFit="1" customWidth="1"/>
    <col min="9483" max="9483" width="8.25" style="62" bestFit="1" customWidth="1"/>
    <col min="9484" max="9485" width="9.625" style="62" bestFit="1" customWidth="1"/>
    <col min="9486" max="9487" width="8.25" style="62" bestFit="1" customWidth="1"/>
    <col min="9488" max="9488" width="11" style="62" bestFit="1" customWidth="1"/>
    <col min="9489" max="9489" width="8" style="62" bestFit="1" customWidth="1"/>
    <col min="9490" max="9490" width="7.75" style="62" bestFit="1" customWidth="1"/>
    <col min="9491" max="9492" width="9.625" style="62" bestFit="1" customWidth="1"/>
    <col min="9493" max="9494" width="9.625" style="62" customWidth="1"/>
    <col min="9495" max="9495" width="9.25" style="62" bestFit="1" customWidth="1"/>
    <col min="9496" max="9496" width="11" style="62" bestFit="1" customWidth="1"/>
    <col min="9497" max="9729" width="9" style="62"/>
    <col min="9730" max="9730" width="4.625" style="62" bestFit="1" customWidth="1"/>
    <col min="9731" max="9731" width="7.5" style="62" bestFit="1" customWidth="1"/>
    <col min="9732" max="9732" width="6.25" style="62" customWidth="1"/>
    <col min="9733" max="9733" width="11" style="62" bestFit="1" customWidth="1"/>
    <col min="9734" max="9735" width="9.625" style="62" bestFit="1" customWidth="1"/>
    <col min="9736" max="9736" width="8.25" style="62" bestFit="1" customWidth="1"/>
    <col min="9737" max="9738" width="9.625" style="62" bestFit="1" customWidth="1"/>
    <col min="9739" max="9739" width="8.25" style="62" bestFit="1" customWidth="1"/>
    <col min="9740" max="9741" width="9.625" style="62" bestFit="1" customWidth="1"/>
    <col min="9742" max="9743" width="8.25" style="62" bestFit="1" customWidth="1"/>
    <col min="9744" max="9744" width="11" style="62" bestFit="1" customWidth="1"/>
    <col min="9745" max="9745" width="8" style="62" bestFit="1" customWidth="1"/>
    <col min="9746" max="9746" width="7.75" style="62" bestFit="1" customWidth="1"/>
    <col min="9747" max="9748" width="9.625" style="62" bestFit="1" customWidth="1"/>
    <col min="9749" max="9750" width="9.625" style="62" customWidth="1"/>
    <col min="9751" max="9751" width="9.25" style="62" bestFit="1" customWidth="1"/>
    <col min="9752" max="9752" width="11" style="62" bestFit="1" customWidth="1"/>
    <col min="9753" max="9985" width="9" style="62"/>
    <col min="9986" max="9986" width="4.625" style="62" bestFit="1" customWidth="1"/>
    <col min="9987" max="9987" width="7.5" style="62" bestFit="1" customWidth="1"/>
    <col min="9988" max="9988" width="6.25" style="62" customWidth="1"/>
    <col min="9989" max="9989" width="11" style="62" bestFit="1" customWidth="1"/>
    <col min="9990" max="9991" width="9.625" style="62" bestFit="1" customWidth="1"/>
    <col min="9992" max="9992" width="8.25" style="62" bestFit="1" customWidth="1"/>
    <col min="9993" max="9994" width="9.625" style="62" bestFit="1" customWidth="1"/>
    <col min="9995" max="9995" width="8.25" style="62" bestFit="1" customWidth="1"/>
    <col min="9996" max="9997" width="9.625" style="62" bestFit="1" customWidth="1"/>
    <col min="9998" max="9999" width="8.25" style="62" bestFit="1" customWidth="1"/>
    <col min="10000" max="10000" width="11" style="62" bestFit="1" customWidth="1"/>
    <col min="10001" max="10001" width="8" style="62" bestFit="1" customWidth="1"/>
    <col min="10002" max="10002" width="7.75" style="62" bestFit="1" customWidth="1"/>
    <col min="10003" max="10004" width="9.625" style="62" bestFit="1" customWidth="1"/>
    <col min="10005" max="10006" width="9.625" style="62" customWidth="1"/>
    <col min="10007" max="10007" width="9.25" style="62" bestFit="1" customWidth="1"/>
    <col min="10008" max="10008" width="11" style="62" bestFit="1" customWidth="1"/>
    <col min="10009" max="10241" width="9" style="62"/>
    <col min="10242" max="10242" width="4.625" style="62" bestFit="1" customWidth="1"/>
    <col min="10243" max="10243" width="7.5" style="62" bestFit="1" customWidth="1"/>
    <col min="10244" max="10244" width="6.25" style="62" customWidth="1"/>
    <col min="10245" max="10245" width="11" style="62" bestFit="1" customWidth="1"/>
    <col min="10246" max="10247" width="9.625" style="62" bestFit="1" customWidth="1"/>
    <col min="10248" max="10248" width="8.25" style="62" bestFit="1" customWidth="1"/>
    <col min="10249" max="10250" width="9.625" style="62" bestFit="1" customWidth="1"/>
    <col min="10251" max="10251" width="8.25" style="62" bestFit="1" customWidth="1"/>
    <col min="10252" max="10253" width="9.625" style="62" bestFit="1" customWidth="1"/>
    <col min="10254" max="10255" width="8.25" style="62" bestFit="1" customWidth="1"/>
    <col min="10256" max="10256" width="11" style="62" bestFit="1" customWidth="1"/>
    <col min="10257" max="10257" width="8" style="62" bestFit="1" customWidth="1"/>
    <col min="10258" max="10258" width="7.75" style="62" bestFit="1" customWidth="1"/>
    <col min="10259" max="10260" width="9.625" style="62" bestFit="1" customWidth="1"/>
    <col min="10261" max="10262" width="9.625" style="62" customWidth="1"/>
    <col min="10263" max="10263" width="9.25" style="62" bestFit="1" customWidth="1"/>
    <col min="10264" max="10264" width="11" style="62" bestFit="1" customWidth="1"/>
    <col min="10265" max="10497" width="9" style="62"/>
    <col min="10498" max="10498" width="4.625" style="62" bestFit="1" customWidth="1"/>
    <col min="10499" max="10499" width="7.5" style="62" bestFit="1" customWidth="1"/>
    <col min="10500" max="10500" width="6.25" style="62" customWidth="1"/>
    <col min="10501" max="10501" width="11" style="62" bestFit="1" customWidth="1"/>
    <col min="10502" max="10503" width="9.625" style="62" bestFit="1" customWidth="1"/>
    <col min="10504" max="10504" width="8.25" style="62" bestFit="1" customWidth="1"/>
    <col min="10505" max="10506" width="9.625" style="62" bestFit="1" customWidth="1"/>
    <col min="10507" max="10507" width="8.25" style="62" bestFit="1" customWidth="1"/>
    <col min="10508" max="10509" width="9.625" style="62" bestFit="1" customWidth="1"/>
    <col min="10510" max="10511" width="8.25" style="62" bestFit="1" customWidth="1"/>
    <col min="10512" max="10512" width="11" style="62" bestFit="1" customWidth="1"/>
    <col min="10513" max="10513" width="8" style="62" bestFit="1" customWidth="1"/>
    <col min="10514" max="10514" width="7.75" style="62" bestFit="1" customWidth="1"/>
    <col min="10515" max="10516" width="9.625" style="62" bestFit="1" customWidth="1"/>
    <col min="10517" max="10518" width="9.625" style="62" customWidth="1"/>
    <col min="10519" max="10519" width="9.25" style="62" bestFit="1" customWidth="1"/>
    <col min="10520" max="10520" width="11" style="62" bestFit="1" customWidth="1"/>
    <col min="10521" max="10753" width="9" style="62"/>
    <col min="10754" max="10754" width="4.625" style="62" bestFit="1" customWidth="1"/>
    <col min="10755" max="10755" width="7.5" style="62" bestFit="1" customWidth="1"/>
    <col min="10756" max="10756" width="6.25" style="62" customWidth="1"/>
    <col min="10757" max="10757" width="11" style="62" bestFit="1" customWidth="1"/>
    <col min="10758" max="10759" width="9.625" style="62" bestFit="1" customWidth="1"/>
    <col min="10760" max="10760" width="8.25" style="62" bestFit="1" customWidth="1"/>
    <col min="10761" max="10762" width="9.625" style="62" bestFit="1" customWidth="1"/>
    <col min="10763" max="10763" width="8.25" style="62" bestFit="1" customWidth="1"/>
    <col min="10764" max="10765" width="9.625" style="62" bestFit="1" customWidth="1"/>
    <col min="10766" max="10767" width="8.25" style="62" bestFit="1" customWidth="1"/>
    <col min="10768" max="10768" width="11" style="62" bestFit="1" customWidth="1"/>
    <col min="10769" max="10769" width="8" style="62" bestFit="1" customWidth="1"/>
    <col min="10770" max="10770" width="7.75" style="62" bestFit="1" customWidth="1"/>
    <col min="10771" max="10772" width="9.625" style="62" bestFit="1" customWidth="1"/>
    <col min="10773" max="10774" width="9.625" style="62" customWidth="1"/>
    <col min="10775" max="10775" width="9.25" style="62" bestFit="1" customWidth="1"/>
    <col min="10776" max="10776" width="11" style="62" bestFit="1" customWidth="1"/>
    <col min="10777" max="11009" width="9" style="62"/>
    <col min="11010" max="11010" width="4.625" style="62" bestFit="1" customWidth="1"/>
    <col min="11011" max="11011" width="7.5" style="62" bestFit="1" customWidth="1"/>
    <col min="11012" max="11012" width="6.25" style="62" customWidth="1"/>
    <col min="11013" max="11013" width="11" style="62" bestFit="1" customWidth="1"/>
    <col min="11014" max="11015" width="9.625" style="62" bestFit="1" customWidth="1"/>
    <col min="11016" max="11016" width="8.25" style="62" bestFit="1" customWidth="1"/>
    <col min="11017" max="11018" width="9.625" style="62" bestFit="1" customWidth="1"/>
    <col min="11019" max="11019" width="8.25" style="62" bestFit="1" customWidth="1"/>
    <col min="11020" max="11021" width="9.625" style="62" bestFit="1" customWidth="1"/>
    <col min="11022" max="11023" width="8.25" style="62" bestFit="1" customWidth="1"/>
    <col min="11024" max="11024" width="11" style="62" bestFit="1" customWidth="1"/>
    <col min="11025" max="11025" width="8" style="62" bestFit="1" customWidth="1"/>
    <col min="11026" max="11026" width="7.75" style="62" bestFit="1" customWidth="1"/>
    <col min="11027" max="11028" width="9.625" style="62" bestFit="1" customWidth="1"/>
    <col min="11029" max="11030" width="9.625" style="62" customWidth="1"/>
    <col min="11031" max="11031" width="9.25" style="62" bestFit="1" customWidth="1"/>
    <col min="11032" max="11032" width="11" style="62" bestFit="1" customWidth="1"/>
    <col min="11033" max="11265" width="9" style="62"/>
    <col min="11266" max="11266" width="4.625" style="62" bestFit="1" customWidth="1"/>
    <col min="11267" max="11267" width="7.5" style="62" bestFit="1" customWidth="1"/>
    <col min="11268" max="11268" width="6.25" style="62" customWidth="1"/>
    <col min="11269" max="11269" width="11" style="62" bestFit="1" customWidth="1"/>
    <col min="11270" max="11271" width="9.625" style="62" bestFit="1" customWidth="1"/>
    <col min="11272" max="11272" width="8.25" style="62" bestFit="1" customWidth="1"/>
    <col min="11273" max="11274" width="9.625" style="62" bestFit="1" customWidth="1"/>
    <col min="11275" max="11275" width="8.25" style="62" bestFit="1" customWidth="1"/>
    <col min="11276" max="11277" width="9.625" style="62" bestFit="1" customWidth="1"/>
    <col min="11278" max="11279" width="8.25" style="62" bestFit="1" customWidth="1"/>
    <col min="11280" max="11280" width="11" style="62" bestFit="1" customWidth="1"/>
    <col min="11281" max="11281" width="8" style="62" bestFit="1" customWidth="1"/>
    <col min="11282" max="11282" width="7.75" style="62" bestFit="1" customWidth="1"/>
    <col min="11283" max="11284" width="9.625" style="62" bestFit="1" customWidth="1"/>
    <col min="11285" max="11286" width="9.625" style="62" customWidth="1"/>
    <col min="11287" max="11287" width="9.25" style="62" bestFit="1" customWidth="1"/>
    <col min="11288" max="11288" width="11" style="62" bestFit="1" customWidth="1"/>
    <col min="11289" max="11521" width="9" style="62"/>
    <col min="11522" max="11522" width="4.625" style="62" bestFit="1" customWidth="1"/>
    <col min="11523" max="11523" width="7.5" style="62" bestFit="1" customWidth="1"/>
    <col min="11524" max="11524" width="6.25" style="62" customWidth="1"/>
    <col min="11525" max="11525" width="11" style="62" bestFit="1" customWidth="1"/>
    <col min="11526" max="11527" width="9.625" style="62" bestFit="1" customWidth="1"/>
    <col min="11528" max="11528" width="8.25" style="62" bestFit="1" customWidth="1"/>
    <col min="11529" max="11530" width="9.625" style="62" bestFit="1" customWidth="1"/>
    <col min="11531" max="11531" width="8.25" style="62" bestFit="1" customWidth="1"/>
    <col min="11532" max="11533" width="9.625" style="62" bestFit="1" customWidth="1"/>
    <col min="11534" max="11535" width="8.25" style="62" bestFit="1" customWidth="1"/>
    <col min="11536" max="11536" width="11" style="62" bestFit="1" customWidth="1"/>
    <col min="11537" max="11537" width="8" style="62" bestFit="1" customWidth="1"/>
    <col min="11538" max="11538" width="7.75" style="62" bestFit="1" customWidth="1"/>
    <col min="11539" max="11540" width="9.625" style="62" bestFit="1" customWidth="1"/>
    <col min="11541" max="11542" width="9.625" style="62" customWidth="1"/>
    <col min="11543" max="11543" width="9.25" style="62" bestFit="1" customWidth="1"/>
    <col min="11544" max="11544" width="11" style="62" bestFit="1" customWidth="1"/>
    <col min="11545" max="11777" width="9" style="62"/>
    <col min="11778" max="11778" width="4.625" style="62" bestFit="1" customWidth="1"/>
    <col min="11779" max="11779" width="7.5" style="62" bestFit="1" customWidth="1"/>
    <col min="11780" max="11780" width="6.25" style="62" customWidth="1"/>
    <col min="11781" max="11781" width="11" style="62" bestFit="1" customWidth="1"/>
    <col min="11782" max="11783" width="9.625" style="62" bestFit="1" customWidth="1"/>
    <col min="11784" max="11784" width="8.25" style="62" bestFit="1" customWidth="1"/>
    <col min="11785" max="11786" width="9.625" style="62" bestFit="1" customWidth="1"/>
    <col min="11787" max="11787" width="8.25" style="62" bestFit="1" customWidth="1"/>
    <col min="11788" max="11789" width="9.625" style="62" bestFit="1" customWidth="1"/>
    <col min="11790" max="11791" width="8.25" style="62" bestFit="1" customWidth="1"/>
    <col min="11792" max="11792" width="11" style="62" bestFit="1" customWidth="1"/>
    <col min="11793" max="11793" width="8" style="62" bestFit="1" customWidth="1"/>
    <col min="11794" max="11794" width="7.75" style="62" bestFit="1" customWidth="1"/>
    <col min="11795" max="11796" width="9.625" style="62" bestFit="1" customWidth="1"/>
    <col min="11797" max="11798" width="9.625" style="62" customWidth="1"/>
    <col min="11799" max="11799" width="9.25" style="62" bestFit="1" customWidth="1"/>
    <col min="11800" max="11800" width="11" style="62" bestFit="1" customWidth="1"/>
    <col min="11801" max="12033" width="9" style="62"/>
    <col min="12034" max="12034" width="4.625" style="62" bestFit="1" customWidth="1"/>
    <col min="12035" max="12035" width="7.5" style="62" bestFit="1" customWidth="1"/>
    <col min="12036" max="12036" width="6.25" style="62" customWidth="1"/>
    <col min="12037" max="12037" width="11" style="62" bestFit="1" customWidth="1"/>
    <col min="12038" max="12039" width="9.625" style="62" bestFit="1" customWidth="1"/>
    <col min="12040" max="12040" width="8.25" style="62" bestFit="1" customWidth="1"/>
    <col min="12041" max="12042" width="9.625" style="62" bestFit="1" customWidth="1"/>
    <col min="12043" max="12043" width="8.25" style="62" bestFit="1" customWidth="1"/>
    <col min="12044" max="12045" width="9.625" style="62" bestFit="1" customWidth="1"/>
    <col min="12046" max="12047" width="8.25" style="62" bestFit="1" customWidth="1"/>
    <col min="12048" max="12048" width="11" style="62" bestFit="1" customWidth="1"/>
    <col min="12049" max="12049" width="8" style="62" bestFit="1" customWidth="1"/>
    <col min="12050" max="12050" width="7.75" style="62" bestFit="1" customWidth="1"/>
    <col min="12051" max="12052" width="9.625" style="62" bestFit="1" customWidth="1"/>
    <col min="12053" max="12054" width="9.625" style="62" customWidth="1"/>
    <col min="12055" max="12055" width="9.25" style="62" bestFit="1" customWidth="1"/>
    <col min="12056" max="12056" width="11" style="62" bestFit="1" customWidth="1"/>
    <col min="12057" max="12289" width="9" style="62"/>
    <col min="12290" max="12290" width="4.625" style="62" bestFit="1" customWidth="1"/>
    <col min="12291" max="12291" width="7.5" style="62" bestFit="1" customWidth="1"/>
    <col min="12292" max="12292" width="6.25" style="62" customWidth="1"/>
    <col min="12293" max="12293" width="11" style="62" bestFit="1" customWidth="1"/>
    <col min="12294" max="12295" width="9.625" style="62" bestFit="1" customWidth="1"/>
    <col min="12296" max="12296" width="8.25" style="62" bestFit="1" customWidth="1"/>
    <col min="12297" max="12298" width="9.625" style="62" bestFit="1" customWidth="1"/>
    <col min="12299" max="12299" width="8.25" style="62" bestFit="1" customWidth="1"/>
    <col min="12300" max="12301" width="9.625" style="62" bestFit="1" customWidth="1"/>
    <col min="12302" max="12303" width="8.25" style="62" bestFit="1" customWidth="1"/>
    <col min="12304" max="12304" width="11" style="62" bestFit="1" customWidth="1"/>
    <col min="12305" max="12305" width="8" style="62" bestFit="1" customWidth="1"/>
    <col min="12306" max="12306" width="7.75" style="62" bestFit="1" customWidth="1"/>
    <col min="12307" max="12308" width="9.625" style="62" bestFit="1" customWidth="1"/>
    <col min="12309" max="12310" width="9.625" style="62" customWidth="1"/>
    <col min="12311" max="12311" width="9.25" style="62" bestFit="1" customWidth="1"/>
    <col min="12312" max="12312" width="11" style="62" bestFit="1" customWidth="1"/>
    <col min="12313" max="12545" width="9" style="62"/>
    <col min="12546" max="12546" width="4.625" style="62" bestFit="1" customWidth="1"/>
    <col min="12547" max="12547" width="7.5" style="62" bestFit="1" customWidth="1"/>
    <col min="12548" max="12548" width="6.25" style="62" customWidth="1"/>
    <col min="12549" max="12549" width="11" style="62" bestFit="1" customWidth="1"/>
    <col min="12550" max="12551" width="9.625" style="62" bestFit="1" customWidth="1"/>
    <col min="12552" max="12552" width="8.25" style="62" bestFit="1" customWidth="1"/>
    <col min="12553" max="12554" width="9.625" style="62" bestFit="1" customWidth="1"/>
    <col min="12555" max="12555" width="8.25" style="62" bestFit="1" customWidth="1"/>
    <col min="12556" max="12557" width="9.625" style="62" bestFit="1" customWidth="1"/>
    <col min="12558" max="12559" width="8.25" style="62" bestFit="1" customWidth="1"/>
    <col min="12560" max="12560" width="11" style="62" bestFit="1" customWidth="1"/>
    <col min="12561" max="12561" width="8" style="62" bestFit="1" customWidth="1"/>
    <col min="12562" max="12562" width="7.75" style="62" bestFit="1" customWidth="1"/>
    <col min="12563" max="12564" width="9.625" style="62" bestFit="1" customWidth="1"/>
    <col min="12565" max="12566" width="9.625" style="62" customWidth="1"/>
    <col min="12567" max="12567" width="9.25" style="62" bestFit="1" customWidth="1"/>
    <col min="12568" max="12568" width="11" style="62" bestFit="1" customWidth="1"/>
    <col min="12569" max="12801" width="9" style="62"/>
    <col min="12802" max="12802" width="4.625" style="62" bestFit="1" customWidth="1"/>
    <col min="12803" max="12803" width="7.5" style="62" bestFit="1" customWidth="1"/>
    <col min="12804" max="12804" width="6.25" style="62" customWidth="1"/>
    <col min="12805" max="12805" width="11" style="62" bestFit="1" customWidth="1"/>
    <col min="12806" max="12807" width="9.625" style="62" bestFit="1" customWidth="1"/>
    <col min="12808" max="12808" width="8.25" style="62" bestFit="1" customWidth="1"/>
    <col min="12809" max="12810" width="9.625" style="62" bestFit="1" customWidth="1"/>
    <col min="12811" max="12811" width="8.25" style="62" bestFit="1" customWidth="1"/>
    <col min="12812" max="12813" width="9.625" style="62" bestFit="1" customWidth="1"/>
    <col min="12814" max="12815" width="8.25" style="62" bestFit="1" customWidth="1"/>
    <col min="12816" max="12816" width="11" style="62" bestFit="1" customWidth="1"/>
    <col min="12817" max="12817" width="8" style="62" bestFit="1" customWidth="1"/>
    <col min="12818" max="12818" width="7.75" style="62" bestFit="1" customWidth="1"/>
    <col min="12819" max="12820" width="9.625" style="62" bestFit="1" customWidth="1"/>
    <col min="12821" max="12822" width="9.625" style="62" customWidth="1"/>
    <col min="12823" max="12823" width="9.25" style="62" bestFit="1" customWidth="1"/>
    <col min="12824" max="12824" width="11" style="62" bestFit="1" customWidth="1"/>
    <col min="12825" max="13057" width="9" style="62"/>
    <col min="13058" max="13058" width="4.625" style="62" bestFit="1" customWidth="1"/>
    <col min="13059" max="13059" width="7.5" style="62" bestFit="1" customWidth="1"/>
    <col min="13060" max="13060" width="6.25" style="62" customWidth="1"/>
    <col min="13061" max="13061" width="11" style="62" bestFit="1" customWidth="1"/>
    <col min="13062" max="13063" width="9.625" style="62" bestFit="1" customWidth="1"/>
    <col min="13064" max="13064" width="8.25" style="62" bestFit="1" customWidth="1"/>
    <col min="13065" max="13066" width="9.625" style="62" bestFit="1" customWidth="1"/>
    <col min="13067" max="13067" width="8.25" style="62" bestFit="1" customWidth="1"/>
    <col min="13068" max="13069" width="9.625" style="62" bestFit="1" customWidth="1"/>
    <col min="13070" max="13071" width="8.25" style="62" bestFit="1" customWidth="1"/>
    <col min="13072" max="13072" width="11" style="62" bestFit="1" customWidth="1"/>
    <col min="13073" max="13073" width="8" style="62" bestFit="1" customWidth="1"/>
    <col min="13074" max="13074" width="7.75" style="62" bestFit="1" customWidth="1"/>
    <col min="13075" max="13076" width="9.625" style="62" bestFit="1" customWidth="1"/>
    <col min="13077" max="13078" width="9.625" style="62" customWidth="1"/>
    <col min="13079" max="13079" width="9.25" style="62" bestFit="1" customWidth="1"/>
    <col min="13080" max="13080" width="11" style="62" bestFit="1" customWidth="1"/>
    <col min="13081" max="13313" width="9" style="62"/>
    <col min="13314" max="13314" width="4.625" style="62" bestFit="1" customWidth="1"/>
    <col min="13315" max="13315" width="7.5" style="62" bestFit="1" customWidth="1"/>
    <col min="13316" max="13316" width="6.25" style="62" customWidth="1"/>
    <col min="13317" max="13317" width="11" style="62" bestFit="1" customWidth="1"/>
    <col min="13318" max="13319" width="9.625" style="62" bestFit="1" customWidth="1"/>
    <col min="13320" max="13320" width="8.25" style="62" bestFit="1" customWidth="1"/>
    <col min="13321" max="13322" width="9.625" style="62" bestFit="1" customWidth="1"/>
    <col min="13323" max="13323" width="8.25" style="62" bestFit="1" customWidth="1"/>
    <col min="13324" max="13325" width="9.625" style="62" bestFit="1" customWidth="1"/>
    <col min="13326" max="13327" width="8.25" style="62" bestFit="1" customWidth="1"/>
    <col min="13328" max="13328" width="11" style="62" bestFit="1" customWidth="1"/>
    <col min="13329" max="13329" width="8" style="62" bestFit="1" customWidth="1"/>
    <col min="13330" max="13330" width="7.75" style="62" bestFit="1" customWidth="1"/>
    <col min="13331" max="13332" width="9.625" style="62" bestFit="1" customWidth="1"/>
    <col min="13333" max="13334" width="9.625" style="62" customWidth="1"/>
    <col min="13335" max="13335" width="9.25" style="62" bestFit="1" customWidth="1"/>
    <col min="13336" max="13336" width="11" style="62" bestFit="1" customWidth="1"/>
    <col min="13337" max="13569" width="9" style="62"/>
    <col min="13570" max="13570" width="4.625" style="62" bestFit="1" customWidth="1"/>
    <col min="13571" max="13571" width="7.5" style="62" bestFit="1" customWidth="1"/>
    <col min="13572" max="13572" width="6.25" style="62" customWidth="1"/>
    <col min="13573" max="13573" width="11" style="62" bestFit="1" customWidth="1"/>
    <col min="13574" max="13575" width="9.625" style="62" bestFit="1" customWidth="1"/>
    <col min="13576" max="13576" width="8.25" style="62" bestFit="1" customWidth="1"/>
    <col min="13577" max="13578" width="9.625" style="62" bestFit="1" customWidth="1"/>
    <col min="13579" max="13579" width="8.25" style="62" bestFit="1" customWidth="1"/>
    <col min="13580" max="13581" width="9.625" style="62" bestFit="1" customWidth="1"/>
    <col min="13582" max="13583" width="8.25" style="62" bestFit="1" customWidth="1"/>
    <col min="13584" max="13584" width="11" style="62" bestFit="1" customWidth="1"/>
    <col min="13585" max="13585" width="8" style="62" bestFit="1" customWidth="1"/>
    <col min="13586" max="13586" width="7.75" style="62" bestFit="1" customWidth="1"/>
    <col min="13587" max="13588" width="9.625" style="62" bestFit="1" customWidth="1"/>
    <col min="13589" max="13590" width="9.625" style="62" customWidth="1"/>
    <col min="13591" max="13591" width="9.25" style="62" bestFit="1" customWidth="1"/>
    <col min="13592" max="13592" width="11" style="62" bestFit="1" customWidth="1"/>
    <col min="13593" max="13825" width="9" style="62"/>
    <col min="13826" max="13826" width="4.625" style="62" bestFit="1" customWidth="1"/>
    <col min="13827" max="13827" width="7.5" style="62" bestFit="1" customWidth="1"/>
    <col min="13828" max="13828" width="6.25" style="62" customWidth="1"/>
    <col min="13829" max="13829" width="11" style="62" bestFit="1" customWidth="1"/>
    <col min="13830" max="13831" width="9.625" style="62" bestFit="1" customWidth="1"/>
    <col min="13832" max="13832" width="8.25" style="62" bestFit="1" customWidth="1"/>
    <col min="13833" max="13834" width="9.625" style="62" bestFit="1" customWidth="1"/>
    <col min="13835" max="13835" width="8.25" style="62" bestFit="1" customWidth="1"/>
    <col min="13836" max="13837" width="9.625" style="62" bestFit="1" customWidth="1"/>
    <col min="13838" max="13839" width="8.25" style="62" bestFit="1" customWidth="1"/>
    <col min="13840" max="13840" width="11" style="62" bestFit="1" customWidth="1"/>
    <col min="13841" max="13841" width="8" style="62" bestFit="1" customWidth="1"/>
    <col min="13842" max="13842" width="7.75" style="62" bestFit="1" customWidth="1"/>
    <col min="13843" max="13844" width="9.625" style="62" bestFit="1" customWidth="1"/>
    <col min="13845" max="13846" width="9.625" style="62" customWidth="1"/>
    <col min="13847" max="13847" width="9.25" style="62" bestFit="1" customWidth="1"/>
    <col min="13848" max="13848" width="11" style="62" bestFit="1" customWidth="1"/>
    <col min="13849" max="14081" width="9" style="62"/>
    <col min="14082" max="14082" width="4.625" style="62" bestFit="1" customWidth="1"/>
    <col min="14083" max="14083" width="7.5" style="62" bestFit="1" customWidth="1"/>
    <col min="14084" max="14084" width="6.25" style="62" customWidth="1"/>
    <col min="14085" max="14085" width="11" style="62" bestFit="1" customWidth="1"/>
    <col min="14086" max="14087" width="9.625" style="62" bestFit="1" customWidth="1"/>
    <col min="14088" max="14088" width="8.25" style="62" bestFit="1" customWidth="1"/>
    <col min="14089" max="14090" width="9.625" style="62" bestFit="1" customWidth="1"/>
    <col min="14091" max="14091" width="8.25" style="62" bestFit="1" customWidth="1"/>
    <col min="14092" max="14093" width="9.625" style="62" bestFit="1" customWidth="1"/>
    <col min="14094" max="14095" width="8.25" style="62" bestFit="1" customWidth="1"/>
    <col min="14096" max="14096" width="11" style="62" bestFit="1" customWidth="1"/>
    <col min="14097" max="14097" width="8" style="62" bestFit="1" customWidth="1"/>
    <col min="14098" max="14098" width="7.75" style="62" bestFit="1" customWidth="1"/>
    <col min="14099" max="14100" width="9.625" style="62" bestFit="1" customWidth="1"/>
    <col min="14101" max="14102" width="9.625" style="62" customWidth="1"/>
    <col min="14103" max="14103" width="9.25" style="62" bestFit="1" customWidth="1"/>
    <col min="14104" max="14104" width="11" style="62" bestFit="1" customWidth="1"/>
    <col min="14105" max="14337" width="9" style="62"/>
    <col min="14338" max="14338" width="4.625" style="62" bestFit="1" customWidth="1"/>
    <col min="14339" max="14339" width="7.5" style="62" bestFit="1" customWidth="1"/>
    <col min="14340" max="14340" width="6.25" style="62" customWidth="1"/>
    <col min="14341" max="14341" width="11" style="62" bestFit="1" customWidth="1"/>
    <col min="14342" max="14343" width="9.625" style="62" bestFit="1" customWidth="1"/>
    <col min="14344" max="14344" width="8.25" style="62" bestFit="1" customWidth="1"/>
    <col min="14345" max="14346" width="9.625" style="62" bestFit="1" customWidth="1"/>
    <col min="14347" max="14347" width="8.25" style="62" bestFit="1" customWidth="1"/>
    <col min="14348" max="14349" width="9.625" style="62" bestFit="1" customWidth="1"/>
    <col min="14350" max="14351" width="8.25" style="62" bestFit="1" customWidth="1"/>
    <col min="14352" max="14352" width="11" style="62" bestFit="1" customWidth="1"/>
    <col min="14353" max="14353" width="8" style="62" bestFit="1" customWidth="1"/>
    <col min="14354" max="14354" width="7.75" style="62" bestFit="1" customWidth="1"/>
    <col min="14355" max="14356" width="9.625" style="62" bestFit="1" customWidth="1"/>
    <col min="14357" max="14358" width="9.625" style="62" customWidth="1"/>
    <col min="14359" max="14359" width="9.25" style="62" bestFit="1" customWidth="1"/>
    <col min="14360" max="14360" width="11" style="62" bestFit="1" customWidth="1"/>
    <col min="14361" max="14593" width="9" style="62"/>
    <col min="14594" max="14594" width="4.625" style="62" bestFit="1" customWidth="1"/>
    <col min="14595" max="14595" width="7.5" style="62" bestFit="1" customWidth="1"/>
    <col min="14596" max="14596" width="6.25" style="62" customWidth="1"/>
    <col min="14597" max="14597" width="11" style="62" bestFit="1" customWidth="1"/>
    <col min="14598" max="14599" width="9.625" style="62" bestFit="1" customWidth="1"/>
    <col min="14600" max="14600" width="8.25" style="62" bestFit="1" customWidth="1"/>
    <col min="14601" max="14602" width="9.625" style="62" bestFit="1" customWidth="1"/>
    <col min="14603" max="14603" width="8.25" style="62" bestFit="1" customWidth="1"/>
    <col min="14604" max="14605" width="9.625" style="62" bestFit="1" customWidth="1"/>
    <col min="14606" max="14607" width="8.25" style="62" bestFit="1" customWidth="1"/>
    <col min="14608" max="14608" width="11" style="62" bestFit="1" customWidth="1"/>
    <col min="14609" max="14609" width="8" style="62" bestFit="1" customWidth="1"/>
    <col min="14610" max="14610" width="7.75" style="62" bestFit="1" customWidth="1"/>
    <col min="14611" max="14612" width="9.625" style="62" bestFit="1" customWidth="1"/>
    <col min="14613" max="14614" width="9.625" style="62" customWidth="1"/>
    <col min="14615" max="14615" width="9.25" style="62" bestFit="1" customWidth="1"/>
    <col min="14616" max="14616" width="11" style="62" bestFit="1" customWidth="1"/>
    <col min="14617" max="14849" width="9" style="62"/>
    <col min="14850" max="14850" width="4.625" style="62" bestFit="1" customWidth="1"/>
    <col min="14851" max="14851" width="7.5" style="62" bestFit="1" customWidth="1"/>
    <col min="14852" max="14852" width="6.25" style="62" customWidth="1"/>
    <col min="14853" max="14853" width="11" style="62" bestFit="1" customWidth="1"/>
    <col min="14854" max="14855" width="9.625" style="62" bestFit="1" customWidth="1"/>
    <col min="14856" max="14856" width="8.25" style="62" bestFit="1" customWidth="1"/>
    <col min="14857" max="14858" width="9.625" style="62" bestFit="1" customWidth="1"/>
    <col min="14859" max="14859" width="8.25" style="62" bestFit="1" customWidth="1"/>
    <col min="14860" max="14861" width="9.625" style="62" bestFit="1" customWidth="1"/>
    <col min="14862" max="14863" width="8.25" style="62" bestFit="1" customWidth="1"/>
    <col min="14864" max="14864" width="11" style="62" bestFit="1" customWidth="1"/>
    <col min="14865" max="14865" width="8" style="62" bestFit="1" customWidth="1"/>
    <col min="14866" max="14866" width="7.75" style="62" bestFit="1" customWidth="1"/>
    <col min="14867" max="14868" width="9.625" style="62" bestFit="1" customWidth="1"/>
    <col min="14869" max="14870" width="9.625" style="62" customWidth="1"/>
    <col min="14871" max="14871" width="9.25" style="62" bestFit="1" customWidth="1"/>
    <col min="14872" max="14872" width="11" style="62" bestFit="1" customWidth="1"/>
    <col min="14873" max="15105" width="9" style="62"/>
    <col min="15106" max="15106" width="4.625" style="62" bestFit="1" customWidth="1"/>
    <col min="15107" max="15107" width="7.5" style="62" bestFit="1" customWidth="1"/>
    <col min="15108" max="15108" width="6.25" style="62" customWidth="1"/>
    <col min="15109" max="15109" width="11" style="62" bestFit="1" customWidth="1"/>
    <col min="15110" max="15111" width="9.625" style="62" bestFit="1" customWidth="1"/>
    <col min="15112" max="15112" width="8.25" style="62" bestFit="1" customWidth="1"/>
    <col min="15113" max="15114" width="9.625" style="62" bestFit="1" customWidth="1"/>
    <col min="15115" max="15115" width="8.25" style="62" bestFit="1" customWidth="1"/>
    <col min="15116" max="15117" width="9.625" style="62" bestFit="1" customWidth="1"/>
    <col min="15118" max="15119" width="8.25" style="62" bestFit="1" customWidth="1"/>
    <col min="15120" max="15120" width="11" style="62" bestFit="1" customWidth="1"/>
    <col min="15121" max="15121" width="8" style="62" bestFit="1" customWidth="1"/>
    <col min="15122" max="15122" width="7.75" style="62" bestFit="1" customWidth="1"/>
    <col min="15123" max="15124" width="9.625" style="62" bestFit="1" customWidth="1"/>
    <col min="15125" max="15126" width="9.625" style="62" customWidth="1"/>
    <col min="15127" max="15127" width="9.25" style="62" bestFit="1" customWidth="1"/>
    <col min="15128" max="15128" width="11" style="62" bestFit="1" customWidth="1"/>
    <col min="15129" max="15361" width="9" style="62"/>
    <col min="15362" max="15362" width="4.625" style="62" bestFit="1" customWidth="1"/>
    <col min="15363" max="15363" width="7.5" style="62" bestFit="1" customWidth="1"/>
    <col min="15364" max="15364" width="6.25" style="62" customWidth="1"/>
    <col min="15365" max="15365" width="11" style="62" bestFit="1" customWidth="1"/>
    <col min="15366" max="15367" width="9.625" style="62" bestFit="1" customWidth="1"/>
    <col min="15368" max="15368" width="8.25" style="62" bestFit="1" customWidth="1"/>
    <col min="15369" max="15370" width="9.625" style="62" bestFit="1" customWidth="1"/>
    <col min="15371" max="15371" width="8.25" style="62" bestFit="1" customWidth="1"/>
    <col min="15372" max="15373" width="9.625" style="62" bestFit="1" customWidth="1"/>
    <col min="15374" max="15375" width="8.25" style="62" bestFit="1" customWidth="1"/>
    <col min="15376" max="15376" width="11" style="62" bestFit="1" customWidth="1"/>
    <col min="15377" max="15377" width="8" style="62" bestFit="1" customWidth="1"/>
    <col min="15378" max="15378" width="7.75" style="62" bestFit="1" customWidth="1"/>
    <col min="15379" max="15380" width="9.625" style="62" bestFit="1" customWidth="1"/>
    <col min="15381" max="15382" width="9.625" style="62" customWidth="1"/>
    <col min="15383" max="15383" width="9.25" style="62" bestFit="1" customWidth="1"/>
    <col min="15384" max="15384" width="11" style="62" bestFit="1" customWidth="1"/>
    <col min="15385" max="15617" width="9" style="62"/>
    <col min="15618" max="15618" width="4.625" style="62" bestFit="1" customWidth="1"/>
    <col min="15619" max="15619" width="7.5" style="62" bestFit="1" customWidth="1"/>
    <col min="15620" max="15620" width="6.25" style="62" customWidth="1"/>
    <col min="15621" max="15621" width="11" style="62" bestFit="1" customWidth="1"/>
    <col min="15622" max="15623" width="9.625" style="62" bestFit="1" customWidth="1"/>
    <col min="15624" max="15624" width="8.25" style="62" bestFit="1" customWidth="1"/>
    <col min="15625" max="15626" width="9.625" style="62" bestFit="1" customWidth="1"/>
    <col min="15627" max="15627" width="8.25" style="62" bestFit="1" customWidth="1"/>
    <col min="15628" max="15629" width="9.625" style="62" bestFit="1" customWidth="1"/>
    <col min="15630" max="15631" width="8.25" style="62" bestFit="1" customWidth="1"/>
    <col min="15632" max="15632" width="11" style="62" bestFit="1" customWidth="1"/>
    <col min="15633" max="15633" width="8" style="62" bestFit="1" customWidth="1"/>
    <col min="15634" max="15634" width="7.75" style="62" bestFit="1" customWidth="1"/>
    <col min="15635" max="15636" width="9.625" style="62" bestFit="1" customWidth="1"/>
    <col min="15637" max="15638" width="9.625" style="62" customWidth="1"/>
    <col min="15639" max="15639" width="9.25" style="62" bestFit="1" customWidth="1"/>
    <col min="15640" max="15640" width="11" style="62" bestFit="1" customWidth="1"/>
    <col min="15641" max="15873" width="9" style="62"/>
    <col min="15874" max="15874" width="4.625" style="62" bestFit="1" customWidth="1"/>
    <col min="15875" max="15875" width="7.5" style="62" bestFit="1" customWidth="1"/>
    <col min="15876" max="15876" width="6.25" style="62" customWidth="1"/>
    <col min="15877" max="15877" width="11" style="62" bestFit="1" customWidth="1"/>
    <col min="15878" max="15879" width="9.625" style="62" bestFit="1" customWidth="1"/>
    <col min="15880" max="15880" width="8.25" style="62" bestFit="1" customWidth="1"/>
    <col min="15881" max="15882" width="9.625" style="62" bestFit="1" customWidth="1"/>
    <col min="15883" max="15883" width="8.25" style="62" bestFit="1" customWidth="1"/>
    <col min="15884" max="15885" width="9.625" style="62" bestFit="1" customWidth="1"/>
    <col min="15886" max="15887" width="8.25" style="62" bestFit="1" customWidth="1"/>
    <col min="15888" max="15888" width="11" style="62" bestFit="1" customWidth="1"/>
    <col min="15889" max="15889" width="8" style="62" bestFit="1" customWidth="1"/>
    <col min="15890" max="15890" width="7.75" style="62" bestFit="1" customWidth="1"/>
    <col min="15891" max="15892" width="9.625" style="62" bestFit="1" customWidth="1"/>
    <col min="15893" max="15894" width="9.625" style="62" customWidth="1"/>
    <col min="15895" max="15895" width="9.25" style="62" bestFit="1" customWidth="1"/>
    <col min="15896" max="15896" width="11" style="62" bestFit="1" customWidth="1"/>
    <col min="15897" max="16129" width="9" style="62"/>
    <col min="16130" max="16130" width="4.625" style="62" bestFit="1" customWidth="1"/>
    <col min="16131" max="16131" width="7.5" style="62" bestFit="1" customWidth="1"/>
    <col min="16132" max="16132" width="6.25" style="62" customWidth="1"/>
    <col min="16133" max="16133" width="11" style="62" bestFit="1" customWidth="1"/>
    <col min="16134" max="16135" width="9.625" style="62" bestFit="1" customWidth="1"/>
    <col min="16136" max="16136" width="8.25" style="62" bestFit="1" customWidth="1"/>
    <col min="16137" max="16138" width="9.625" style="62" bestFit="1" customWidth="1"/>
    <col min="16139" max="16139" width="8.25" style="62" bestFit="1" customWidth="1"/>
    <col min="16140" max="16141" width="9.625" style="62" bestFit="1" customWidth="1"/>
    <col min="16142" max="16143" width="8.25" style="62" bestFit="1" customWidth="1"/>
    <col min="16144" max="16144" width="11" style="62" bestFit="1" customWidth="1"/>
    <col min="16145" max="16145" width="8" style="62" bestFit="1" customWidth="1"/>
    <col min="16146" max="16146" width="7.75" style="62" bestFit="1" customWidth="1"/>
    <col min="16147" max="16148" width="9.625" style="62" bestFit="1" customWidth="1"/>
    <col min="16149" max="16150" width="9.625" style="62" customWidth="1"/>
    <col min="16151" max="16151" width="9.25" style="62" bestFit="1" customWidth="1"/>
    <col min="16152" max="16152" width="11" style="62" bestFit="1" customWidth="1"/>
    <col min="16153" max="16384" width="9" style="62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60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68"/>
      <c r="V4" s="252"/>
      <c r="W4" s="252"/>
      <c r="X4" s="252"/>
    </row>
    <row r="5" spans="2:29" ht="20.25" customHeight="1" x14ac:dyDescent="0.3">
      <c r="B5" s="253" t="s">
        <v>130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73"/>
      <c r="Q5" s="69"/>
      <c r="R5" s="69"/>
      <c r="S5" s="69"/>
      <c r="T5" s="252"/>
      <c r="U5" s="6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20" si="0">SUM(E9:O9)</f>
        <v>2500000</v>
      </c>
      <c r="Q9" s="94">
        <f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16" si="1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>IFERROR(ROUNDDOWN((P9-AC9)*3.43%,-1),)</f>
        <v>75460</v>
      </c>
      <c r="U9" s="96">
        <f>ROUNDDOWN(T9*11.52%,-1)</f>
        <v>8690</v>
      </c>
      <c r="V9" s="96">
        <f t="shared" ref="V9:V16" si="2">IFERROR(IF(D9&lt;&gt;"대표이사",ROUNDDOWN((P9-AC9)*고용보험율,-1),0),)</f>
        <v>17600</v>
      </c>
      <c r="W9" s="93">
        <f t="shared" ref="W9:W16" si="3">SUM(Q9:V9)</f>
        <v>229290</v>
      </c>
      <c r="X9" s="97">
        <f t="shared" ref="X9:X16" si="4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04">
        <v>200000</v>
      </c>
      <c r="P10" s="93">
        <f t="shared" si="0"/>
        <v>2500000</v>
      </c>
      <c r="Q10" s="94">
        <f t="shared" ref="Q10:Q16" si="5">IFERROR(IF(P10-AC10&lt;=10000000,VLOOKUP((P10-AC10)/1000,간이세액표,IF(11&lt;Z10+AA10,13,2+Z10+AA10),TRUE),IF(P10-AC10&gt;14000000,VLOOKUP((P10-AC10)/1000,간이세액표,IF(11&lt;Z10+AA10,13,2+Z10+AA10),TRUE)+1372000+ROUNDDOWN(((P10-AC10-14000000)*98%)*38%,-1),VLOOKUP((P10-AC10)/1000,간이세액표,IF(11&lt;Z10+AA10,13,2+Z10+AA10),TRUE)+ROUNDDOWN(((P10-AC10-10000000)*98%)*35%,-1))),)</f>
        <v>25950</v>
      </c>
      <c r="R10" s="95">
        <f t="shared" si="1"/>
        <v>2590</v>
      </c>
      <c r="S10" s="95">
        <f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ref="T10:T16" si="6">IFERROR(ROUNDDOWN((P10-AC10)*3.43%,-1),)</f>
        <v>75460</v>
      </c>
      <c r="U10" s="96">
        <f t="shared" ref="U10:U16" si="7">ROUNDDOWN(T10*11.52%,-1)</f>
        <v>8690</v>
      </c>
      <c r="V10" s="96">
        <f t="shared" si="2"/>
        <v>17600</v>
      </c>
      <c r="W10" s="93">
        <f t="shared" si="3"/>
        <v>229290</v>
      </c>
      <c r="X10" s="97">
        <f t="shared" si="4"/>
        <v>2270710</v>
      </c>
      <c r="Z10" s="98">
        <v>1</v>
      </c>
      <c r="AA10" s="99"/>
      <c r="AC10" s="100">
        <f t="shared" ref="AC10:AC21" si="8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04">
        <v>200000</v>
      </c>
      <c r="P11" s="93">
        <f t="shared" si="0"/>
        <v>2500000</v>
      </c>
      <c r="Q11" s="94">
        <f t="shared" si="5"/>
        <v>25950</v>
      </c>
      <c r="R11" s="95">
        <f t="shared" si="1"/>
        <v>2590</v>
      </c>
      <c r="S11" s="95">
        <f t="shared" ref="S11:S16" si="9">IFERROR(IF(AND(P11-AC11&gt;=월액최저,P11-AC11&lt;=월액최고),ROUNDDOWN((P11-AC11)*국민연금,-1),IF(P11-AC11&gt;=월액최고,최고연금,IF(AND(P11-AC11&lt;=월액최저,P11-AC11&gt;=1),최저연금,))),)</f>
        <v>99000</v>
      </c>
      <c r="T11" s="95">
        <f t="shared" si="6"/>
        <v>75460</v>
      </c>
      <c r="U11" s="96">
        <f t="shared" si="7"/>
        <v>8690</v>
      </c>
      <c r="V11" s="96">
        <f t="shared" si="2"/>
        <v>17600</v>
      </c>
      <c r="W11" s="93">
        <f t="shared" si="3"/>
        <v>229290</v>
      </c>
      <c r="X11" s="97">
        <f t="shared" si="4"/>
        <v>2270710</v>
      </c>
      <c r="Z11" s="98">
        <v>1</v>
      </c>
      <c r="AA11" s="99"/>
      <c r="AC11" s="100">
        <f t="shared" si="8"/>
        <v>300000</v>
      </c>
    </row>
    <row r="12" spans="2:29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>
        <f>[1]직원인적급여카드!M5</f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04">
        <v>200000</v>
      </c>
      <c r="P12" s="93">
        <f t="shared" si="0"/>
        <v>2500000</v>
      </c>
      <c r="Q12" s="94">
        <f t="shared" si="5"/>
        <v>25950</v>
      </c>
      <c r="R12" s="95">
        <f t="shared" si="1"/>
        <v>2590</v>
      </c>
      <c r="S12" s="95">
        <f t="shared" si="9"/>
        <v>99000</v>
      </c>
      <c r="T12" s="95">
        <f t="shared" si="6"/>
        <v>75460</v>
      </c>
      <c r="U12" s="96">
        <f t="shared" si="7"/>
        <v>8690</v>
      </c>
      <c r="V12" s="96">
        <f t="shared" si="2"/>
        <v>17600</v>
      </c>
      <c r="W12" s="93">
        <f t="shared" si="3"/>
        <v>229290</v>
      </c>
      <c r="X12" s="97">
        <f t="shared" si="4"/>
        <v>2270710</v>
      </c>
      <c r="Z12" s="98">
        <v>1</v>
      </c>
      <c r="AA12" s="99"/>
      <c r="AC12" s="100">
        <f t="shared" si="8"/>
        <v>300000</v>
      </c>
    </row>
    <row r="13" spans="2:29" ht="20.100000000000001" customHeight="1" x14ac:dyDescent="0.3">
      <c r="B13" s="101">
        <v>5</v>
      </c>
      <c r="C13" s="87" t="str">
        <f>[1]직원인적급여카드!B6</f>
        <v>박인식</v>
      </c>
      <c r="D13" s="88" t="s">
        <v>90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04">
        <v>200000</v>
      </c>
      <c r="P13" s="93">
        <f t="shared" si="0"/>
        <v>2500000</v>
      </c>
      <c r="Q13" s="94">
        <f t="shared" si="5"/>
        <v>25950</v>
      </c>
      <c r="R13" s="95">
        <f t="shared" si="1"/>
        <v>2590</v>
      </c>
      <c r="S13" s="95"/>
      <c r="T13" s="95">
        <f t="shared" si="6"/>
        <v>75460</v>
      </c>
      <c r="U13" s="96">
        <f t="shared" si="7"/>
        <v>8690</v>
      </c>
      <c r="V13" s="96">
        <f t="shared" si="2"/>
        <v>17600</v>
      </c>
      <c r="W13" s="93">
        <f t="shared" si="3"/>
        <v>130290</v>
      </c>
      <c r="X13" s="97">
        <f t="shared" si="4"/>
        <v>2369710</v>
      </c>
      <c r="Z13" s="98">
        <v>1</v>
      </c>
      <c r="AA13" s="99"/>
      <c r="AC13" s="100">
        <f t="shared" si="8"/>
        <v>300000</v>
      </c>
    </row>
    <row r="14" spans="2:29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04">
        <v>200000</v>
      </c>
      <c r="P14" s="93">
        <f t="shared" si="0"/>
        <v>2500000</v>
      </c>
      <c r="Q14" s="94">
        <f t="shared" si="5"/>
        <v>25950</v>
      </c>
      <c r="R14" s="95">
        <f t="shared" si="1"/>
        <v>2590</v>
      </c>
      <c r="S14" s="95">
        <f t="shared" si="9"/>
        <v>99000</v>
      </c>
      <c r="T14" s="95">
        <f t="shared" si="6"/>
        <v>75460</v>
      </c>
      <c r="U14" s="96">
        <f t="shared" si="7"/>
        <v>8690</v>
      </c>
      <c r="V14" s="96">
        <f t="shared" si="2"/>
        <v>17600</v>
      </c>
      <c r="W14" s="93">
        <f>SUM(Q14:V14)</f>
        <v>229290</v>
      </c>
      <c r="X14" s="97">
        <f t="shared" si="4"/>
        <v>2270710</v>
      </c>
      <c r="Z14" s="98">
        <v>1</v>
      </c>
      <c r="AA14" s="99"/>
      <c r="AC14" s="100">
        <f t="shared" si="8"/>
        <v>300000</v>
      </c>
    </row>
    <row r="15" spans="2:29" ht="20.100000000000001" customHeight="1" x14ac:dyDescent="0.3">
      <c r="B15" s="101">
        <v>7</v>
      </c>
      <c r="C15" s="87" t="str">
        <f>[1]직원인적급여카드!B8</f>
        <v>이일복</v>
      </c>
      <c r="D15" s="88" t="s">
        <v>91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5"/>
        <v>25950</v>
      </c>
      <c r="R15" s="95">
        <f t="shared" si="1"/>
        <v>2590</v>
      </c>
      <c r="S15" s="95"/>
      <c r="T15" s="95">
        <f t="shared" si="6"/>
        <v>75460</v>
      </c>
      <c r="U15" s="96">
        <f t="shared" si="7"/>
        <v>8690</v>
      </c>
      <c r="V15" s="96">
        <f t="shared" si="2"/>
        <v>17600</v>
      </c>
      <c r="W15" s="93">
        <f t="shared" si="3"/>
        <v>130290</v>
      </c>
      <c r="X15" s="97">
        <f t="shared" si="4"/>
        <v>2369710</v>
      </c>
      <c r="Z15" s="98">
        <v>1</v>
      </c>
      <c r="AA15" s="99"/>
      <c r="AC15" s="100">
        <f t="shared" si="8"/>
        <v>300000</v>
      </c>
    </row>
    <row r="16" spans="2:29" ht="20.100000000000001" customHeight="1" x14ac:dyDescent="0.3">
      <c r="B16" s="101">
        <v>8</v>
      </c>
      <c r="C16" s="87" t="s">
        <v>92</v>
      </c>
      <c r="D16" s="88" t="s">
        <v>90</v>
      </c>
      <c r="E16" s="89"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04">
        <v>200000</v>
      </c>
      <c r="P16" s="93">
        <f t="shared" si="0"/>
        <v>2500000</v>
      </c>
      <c r="Q16" s="94">
        <f t="shared" si="5"/>
        <v>25950</v>
      </c>
      <c r="R16" s="95">
        <f t="shared" si="1"/>
        <v>2590</v>
      </c>
      <c r="S16" s="95">
        <f t="shared" si="9"/>
        <v>99000</v>
      </c>
      <c r="T16" s="95">
        <f t="shared" si="6"/>
        <v>75460</v>
      </c>
      <c r="U16" s="96">
        <f t="shared" si="7"/>
        <v>8690</v>
      </c>
      <c r="V16" s="96">
        <f t="shared" si="2"/>
        <v>17600</v>
      </c>
      <c r="W16" s="93">
        <f t="shared" si="3"/>
        <v>229290</v>
      </c>
      <c r="X16" s="97">
        <f t="shared" si="4"/>
        <v>2270710</v>
      </c>
      <c r="Z16" s="98">
        <v>1</v>
      </c>
      <c r="AA16" s="99"/>
      <c r="AC16" s="100">
        <f t="shared" si="8"/>
        <v>300000</v>
      </c>
    </row>
    <row r="17" spans="2:29" ht="20.100000000000001" customHeight="1" x14ac:dyDescent="0.3">
      <c r="B17" s="101">
        <v>9</v>
      </c>
      <c r="C17" s="87"/>
      <c r="D17" s="88"/>
      <c r="E17" s="89"/>
      <c r="F17" s="102"/>
      <c r="G17" s="102"/>
      <c r="H17" s="102"/>
      <c r="I17" s="102"/>
      <c r="J17" s="103"/>
      <c r="K17" s="103"/>
      <c r="L17" s="103"/>
      <c r="M17" s="103"/>
      <c r="N17" s="89"/>
      <c r="O17" s="104"/>
      <c r="P17" s="93"/>
      <c r="Q17" s="94"/>
      <c r="R17" s="95"/>
      <c r="S17" s="95"/>
      <c r="T17" s="95"/>
      <c r="U17" s="96"/>
      <c r="V17" s="96"/>
      <c r="W17" s="93"/>
      <c r="X17" s="97"/>
      <c r="Z17" s="98">
        <v>1</v>
      </c>
      <c r="AA17" s="99"/>
      <c r="AC17" s="100">
        <f t="shared" si="8"/>
        <v>0</v>
      </c>
    </row>
    <row r="18" spans="2:29" ht="20.100000000000001" customHeight="1" x14ac:dyDescent="0.3">
      <c r="B18" s="105">
        <v>10</v>
      </c>
      <c r="C18" s="87"/>
      <c r="D18" s="88"/>
      <c r="E18" s="89"/>
      <c r="F18" s="106"/>
      <c r="G18" s="106"/>
      <c r="H18" s="106"/>
      <c r="I18" s="106"/>
      <c r="J18" s="107"/>
      <c r="K18" s="107"/>
      <c r="L18" s="107"/>
      <c r="M18" s="107"/>
      <c r="N18" s="89"/>
      <c r="O18" s="108"/>
      <c r="P18" s="93"/>
      <c r="Q18" s="94"/>
      <c r="R18" s="95"/>
      <c r="S18" s="95"/>
      <c r="T18" s="95"/>
      <c r="U18" s="96"/>
      <c r="V18" s="96"/>
      <c r="W18" s="93"/>
      <c r="X18" s="97"/>
      <c r="Z18" s="98">
        <v>1</v>
      </c>
      <c r="AA18" s="99"/>
      <c r="AC18" s="100">
        <f t="shared" si="8"/>
        <v>0</v>
      </c>
    </row>
    <row r="19" spans="2:29" ht="20.100000000000001" customHeight="1" x14ac:dyDescent="0.3">
      <c r="B19" s="101">
        <v>11</v>
      </c>
      <c r="C19" s="87"/>
      <c r="D19" s="88"/>
      <c r="E19" s="89"/>
      <c r="F19" s="106"/>
      <c r="G19" s="106"/>
      <c r="H19" s="106"/>
      <c r="I19" s="106"/>
      <c r="J19" s="107"/>
      <c r="K19" s="107"/>
      <c r="L19" s="107"/>
      <c r="M19" s="107"/>
      <c r="N19" s="89"/>
      <c r="O19" s="108"/>
      <c r="P19" s="93"/>
      <c r="Q19" s="94"/>
      <c r="R19" s="95"/>
      <c r="S19" s="95"/>
      <c r="T19" s="95"/>
      <c r="U19" s="96"/>
      <c r="V19" s="96"/>
      <c r="W19" s="93"/>
      <c r="X19" s="97"/>
      <c r="Z19" s="98">
        <v>1</v>
      </c>
      <c r="AA19" s="99"/>
      <c r="AC19" s="100">
        <f t="shared" si="8"/>
        <v>0</v>
      </c>
    </row>
    <row r="20" spans="2:29" ht="20.100000000000001" customHeight="1" x14ac:dyDescent="0.3">
      <c r="B20" s="105">
        <v>12</v>
      </c>
      <c r="C20" s="87"/>
      <c r="D20" s="88"/>
      <c r="E20" s="89"/>
      <c r="F20" s="106"/>
      <c r="G20" s="106"/>
      <c r="H20" s="106"/>
      <c r="I20" s="106"/>
      <c r="J20" s="107"/>
      <c r="K20" s="107"/>
      <c r="L20" s="107"/>
      <c r="M20" s="107"/>
      <c r="N20" s="89"/>
      <c r="O20" s="108"/>
      <c r="P20" s="93">
        <f t="shared" si="0"/>
        <v>0</v>
      </c>
      <c r="Q20" s="94">
        <f t="shared" ref="Q20:Q21" si="10">IFERROR(IF(P20-AC20&lt;=10000000,VLOOKUP((P20-AC20)/1000,간이세액표,IF(11&lt;Z20+AA20,13,2+Z20+AA20),TRUE),IF(P20-AC20&gt;14000000,VLOOKUP((P20-AC20)/1000,간이세액표,IF(11&lt;Z20+AA20,13,2+Z20+AA20),TRUE)+1372000+ROUNDDOWN(((P20-AC20-14000000)*98%)*38%,-1),VLOOKUP((P20-AC20)/1000,간이세액표,IF(11&lt;Z20+AA20,13,2+Z20+AA20),TRUE)+ROUNDDOWN(((P20-AC20-10000000)*98%)*35%,-1))),)</f>
        <v>0</v>
      </c>
      <c r="R20" s="95">
        <f t="shared" ref="R20:R21" si="11">ROUNDDOWN(Q20*10%,-1)</f>
        <v>0</v>
      </c>
      <c r="S20" s="95">
        <f t="shared" ref="S20:S21" si="12">IFERROR(IF(AND(P20-AC20&gt;=월액최저,P20-AC20&lt;=월액최고),ROUNDDOWN((P20-AC20)*국민연금,-1),IF(P20-AC20&gt;=월액최고,최고연금,IF(AND(P20-AC20&lt;=월액최저,P20-AC20&gt;=1),최저연금,))),)</f>
        <v>0</v>
      </c>
      <c r="T20" s="95">
        <f t="shared" ref="T20:T21" si="13">IFERROR(ROUNDDOWN((P20-AC20)*건강보험율,-1),)</f>
        <v>0</v>
      </c>
      <c r="U20" s="96">
        <f t="shared" ref="U20:U21" si="14">ROUNDDOWN(T20*요양보험율,-1)</f>
        <v>0</v>
      </c>
      <c r="V20" s="96">
        <f t="shared" ref="V20:V21" si="15">IFERROR(IF(D20&lt;&gt;"대표이사",ROUNDDOWN((P20-AC20)*고용보험율,-1),0),)</f>
        <v>0</v>
      </c>
      <c r="W20" s="93">
        <f t="shared" ref="W20:W21" si="16">SUM(Q20:V20)</f>
        <v>0</v>
      </c>
      <c r="X20" s="97">
        <f t="shared" ref="X20:X21" si="17">P20-W20</f>
        <v>0</v>
      </c>
      <c r="Z20" s="98">
        <v>1</v>
      </c>
      <c r="AA20" s="99"/>
      <c r="AC20" s="100">
        <f t="shared" si="8"/>
        <v>0</v>
      </c>
    </row>
    <row r="21" spans="2:29" ht="20.100000000000001" customHeight="1" x14ac:dyDescent="0.3">
      <c r="B21" s="105">
        <v>13</v>
      </c>
      <c r="C21" s="87"/>
      <c r="D21" s="88"/>
      <c r="E21" s="89"/>
      <c r="F21" s="106"/>
      <c r="G21" s="106"/>
      <c r="H21" s="106"/>
      <c r="I21" s="106"/>
      <c r="J21" s="107"/>
      <c r="K21" s="107"/>
      <c r="L21" s="107"/>
      <c r="M21" s="107"/>
      <c r="N21" s="109"/>
      <c r="O21" s="108"/>
      <c r="P21" s="93">
        <f t="shared" ref="P21" si="18">SUM(E21:O21)</f>
        <v>0</v>
      </c>
      <c r="Q21" s="94">
        <f t="shared" si="10"/>
        <v>0</v>
      </c>
      <c r="R21" s="95">
        <f t="shared" si="11"/>
        <v>0</v>
      </c>
      <c r="S21" s="95">
        <f t="shared" si="12"/>
        <v>0</v>
      </c>
      <c r="T21" s="95">
        <f t="shared" si="13"/>
        <v>0</v>
      </c>
      <c r="U21" s="96">
        <f t="shared" si="14"/>
        <v>0</v>
      </c>
      <c r="V21" s="96">
        <f t="shared" si="15"/>
        <v>0</v>
      </c>
      <c r="W21" s="93">
        <f t="shared" si="16"/>
        <v>0</v>
      </c>
      <c r="X21" s="97">
        <f t="shared" si="17"/>
        <v>0</v>
      </c>
      <c r="Z21" s="110">
        <v>1</v>
      </c>
      <c r="AA21" s="111"/>
      <c r="AC21" s="100">
        <f t="shared" si="8"/>
        <v>0</v>
      </c>
    </row>
    <row r="22" spans="2:29" ht="20.100000000000001" customHeight="1" x14ac:dyDescent="0.3">
      <c r="B22" s="216" t="s">
        <v>93</v>
      </c>
      <c r="C22" s="217"/>
      <c r="D22" s="218"/>
      <c r="E22" s="112">
        <f>SUM(E9:E21)</f>
        <v>16800000</v>
      </c>
      <c r="F22" s="113">
        <f t="shared" ref="F22:X22" si="19">SUM(F9:F21)</f>
        <v>0</v>
      </c>
      <c r="G22" s="113">
        <f t="shared" si="19"/>
        <v>0</v>
      </c>
      <c r="H22" s="113">
        <f t="shared" si="19"/>
        <v>0</v>
      </c>
      <c r="I22" s="113">
        <f t="shared" si="19"/>
        <v>0</v>
      </c>
      <c r="J22" s="113">
        <f t="shared" si="19"/>
        <v>0</v>
      </c>
      <c r="K22" s="113">
        <f t="shared" si="19"/>
        <v>0</v>
      </c>
      <c r="L22" s="113">
        <f t="shared" si="19"/>
        <v>0</v>
      </c>
      <c r="M22" s="114">
        <f t="shared" si="19"/>
        <v>0</v>
      </c>
      <c r="N22" s="112">
        <f t="shared" si="19"/>
        <v>1600000</v>
      </c>
      <c r="O22" s="115">
        <f t="shared" si="19"/>
        <v>1600000</v>
      </c>
      <c r="P22" s="116">
        <f t="shared" si="19"/>
        <v>20000000</v>
      </c>
      <c r="Q22" s="112">
        <f t="shared" si="19"/>
        <v>207600</v>
      </c>
      <c r="R22" s="113">
        <f t="shared" si="19"/>
        <v>20720</v>
      </c>
      <c r="S22" s="113">
        <f t="shared" si="19"/>
        <v>594000</v>
      </c>
      <c r="T22" s="113">
        <f t="shared" si="19"/>
        <v>603680</v>
      </c>
      <c r="U22" s="114">
        <f t="shared" si="19"/>
        <v>69520</v>
      </c>
      <c r="V22" s="114">
        <f t="shared" si="19"/>
        <v>140800</v>
      </c>
      <c r="W22" s="116">
        <f t="shared" si="19"/>
        <v>1636320</v>
      </c>
      <c r="X22" s="117">
        <f t="shared" si="19"/>
        <v>18363680</v>
      </c>
    </row>
    <row r="23" spans="2:29" ht="20.25" customHeight="1" thickBot="1" x14ac:dyDescent="0.35">
      <c r="B23" s="219" t="s">
        <v>94</v>
      </c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</row>
    <row r="24" spans="2:29" ht="15" customHeight="1" x14ac:dyDescent="0.3">
      <c r="B24" s="118"/>
      <c r="C24" s="119"/>
      <c r="D24" s="220"/>
      <c r="E24" s="221"/>
      <c r="F24" s="220"/>
      <c r="G24" s="221"/>
      <c r="H24" s="222" t="s">
        <v>95</v>
      </c>
      <c r="I24" s="223"/>
      <c r="J24" s="223"/>
      <c r="K24" s="223"/>
      <c r="L24" s="223"/>
      <c r="M24" s="223"/>
      <c r="N24" s="223"/>
      <c r="O24" s="223"/>
      <c r="P24" s="224"/>
      <c r="Q24" s="64"/>
      <c r="R24" s="64"/>
      <c r="S24" s="64"/>
      <c r="T24" s="64"/>
      <c r="U24" s="64"/>
      <c r="V24" s="64"/>
    </row>
    <row r="25" spans="2:29" ht="15" customHeight="1" x14ac:dyDescent="0.3">
      <c r="B25" s="225" t="s">
        <v>96</v>
      </c>
      <c r="C25" s="120"/>
      <c r="D25" s="197"/>
      <c r="E25" s="198"/>
      <c r="F25" s="204"/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x14ac:dyDescent="0.3">
      <c r="B26" s="195"/>
      <c r="C26" s="120"/>
      <c r="D26" s="197"/>
      <c r="E26" s="198"/>
      <c r="F26" s="204"/>
      <c r="G26" s="205"/>
      <c r="H26" s="206"/>
      <c r="I26" s="207"/>
      <c r="J26" s="207"/>
      <c r="K26" s="207"/>
      <c r="L26" s="207"/>
      <c r="M26" s="207"/>
      <c r="N26" s="207"/>
      <c r="O26" s="207"/>
      <c r="P26" s="208"/>
      <c r="Q26" s="64"/>
      <c r="R26" s="64"/>
      <c r="S26" s="64"/>
      <c r="T26" s="64"/>
      <c r="U26" s="64"/>
      <c r="V26" s="64"/>
    </row>
    <row r="27" spans="2:29" ht="15" customHeight="1" thickBot="1" x14ac:dyDescent="0.35">
      <c r="B27" s="226"/>
      <c r="C27" s="121"/>
      <c r="D27" s="227"/>
      <c r="E27" s="228"/>
      <c r="F27" s="229"/>
      <c r="G27" s="230"/>
      <c r="H27" s="231"/>
      <c r="I27" s="232"/>
      <c r="J27" s="232"/>
      <c r="K27" s="232"/>
      <c r="L27" s="232"/>
      <c r="M27" s="232"/>
      <c r="N27" s="232"/>
      <c r="O27" s="232"/>
      <c r="P27" s="233"/>
      <c r="Q27" s="64"/>
      <c r="R27" s="64"/>
      <c r="S27" s="64"/>
      <c r="T27" s="64"/>
      <c r="U27" s="64"/>
      <c r="V27" s="64"/>
    </row>
    <row r="28" spans="2:29" ht="15" customHeight="1" thickTop="1" x14ac:dyDescent="0.3">
      <c r="B28" s="194" t="s">
        <v>97</v>
      </c>
      <c r="C28" s="120"/>
      <c r="D28" s="197"/>
      <c r="E28" s="198"/>
      <c r="F28" s="199"/>
      <c r="G28" s="200"/>
      <c r="H28" s="201"/>
      <c r="I28" s="202"/>
      <c r="J28" s="202"/>
      <c r="K28" s="202"/>
      <c r="L28" s="202"/>
      <c r="M28" s="202"/>
      <c r="N28" s="202"/>
      <c r="O28" s="202"/>
      <c r="P28" s="203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thickBot="1" x14ac:dyDescent="0.35">
      <c r="B30" s="196"/>
      <c r="C30" s="122"/>
      <c r="D30" s="209"/>
      <c r="E30" s="210"/>
      <c r="F30" s="211"/>
      <c r="G30" s="212"/>
      <c r="H30" s="213"/>
      <c r="I30" s="214"/>
      <c r="J30" s="214"/>
      <c r="K30" s="214"/>
      <c r="L30" s="214"/>
      <c r="M30" s="214"/>
      <c r="N30" s="214"/>
      <c r="O30" s="214"/>
      <c r="P30" s="215"/>
      <c r="Q30" s="64"/>
      <c r="R30" s="64"/>
      <c r="S30" s="64"/>
      <c r="T30" s="64"/>
      <c r="U30" s="64"/>
      <c r="V30" s="64"/>
    </row>
    <row r="31" spans="2:29" ht="20.100000000000001" customHeight="1" x14ac:dyDescent="0.3">
      <c r="Q31" s="64"/>
      <c r="R31" s="64"/>
      <c r="S31" s="64"/>
      <c r="T31" s="64"/>
      <c r="U31" s="64"/>
      <c r="V31" s="64"/>
    </row>
    <row r="32" spans="2:29" s="64" customFormat="1" ht="20.100000000000001" customHeight="1" x14ac:dyDescent="0.3">
      <c r="B32" s="62"/>
      <c r="C32" s="62"/>
      <c r="D32" s="62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62"/>
      <c r="C33" s="62"/>
      <c r="D33" s="6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62"/>
      <c r="C34" s="62"/>
      <c r="D34" s="62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62"/>
      <c r="C35" s="62"/>
      <c r="D35" s="62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62"/>
      <c r="C36" s="62"/>
      <c r="D36" s="62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62"/>
      <c r="C37" s="62"/>
      <c r="D37" s="62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62"/>
      <c r="C38" s="62"/>
      <c r="D38" s="62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62"/>
      <c r="C39" s="62"/>
      <c r="D39" s="62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62"/>
      <c r="C40" s="62"/>
      <c r="D40" s="62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62"/>
      <c r="C41" s="62"/>
      <c r="D41" s="62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62"/>
      <c r="C42" s="62"/>
      <c r="D42" s="62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62"/>
      <c r="C43" s="62"/>
      <c r="D43" s="62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62"/>
      <c r="C44" s="62"/>
      <c r="D44" s="62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62"/>
      <c r="C45" s="62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62"/>
      <c r="C46" s="62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62"/>
      <c r="C47" s="62"/>
      <c r="D47" s="62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62"/>
      <c r="C48" s="62"/>
      <c r="D48" s="62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62"/>
      <c r="C49" s="62"/>
      <c r="D49" s="62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62"/>
      <c r="C50" s="62"/>
      <c r="D50" s="62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62"/>
      <c r="C51" s="62"/>
      <c r="D51" s="62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62"/>
      <c r="C52" s="62"/>
      <c r="D52" s="62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62"/>
      <c r="C53" s="62"/>
      <c r="D53" s="62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62"/>
      <c r="C54" s="62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62"/>
      <c r="C55" s="62"/>
      <c r="D55" s="62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62"/>
      <c r="C56" s="62"/>
      <c r="D56" s="62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62"/>
      <c r="C57" s="62"/>
      <c r="D57" s="62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62"/>
      <c r="C58" s="62"/>
      <c r="D58" s="62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62"/>
      <c r="C59" s="62"/>
      <c r="D59" s="62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62"/>
      <c r="C60" s="62"/>
      <c r="D60" s="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62"/>
      <c r="C61" s="62"/>
      <c r="D61" s="62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62"/>
      <c r="C62" s="62"/>
      <c r="D62" s="62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62"/>
      <c r="C63" s="62"/>
      <c r="D63" s="62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62"/>
      <c r="C64" s="62"/>
      <c r="D64" s="62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62"/>
      <c r="C65" s="62"/>
      <c r="D65" s="62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62"/>
      <c r="C66" s="62"/>
      <c r="D66" s="62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62"/>
      <c r="C67" s="62"/>
      <c r="D67" s="62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62"/>
      <c r="C68" s="62"/>
      <c r="D68" s="62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62"/>
      <c r="C69" s="62"/>
      <c r="D69" s="62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62"/>
      <c r="C70" s="62"/>
      <c r="D70" s="62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62"/>
      <c r="C71" s="62"/>
      <c r="D71" s="62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62"/>
      <c r="C72" s="62"/>
      <c r="D72" s="62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62"/>
      <c r="C73" s="62"/>
      <c r="D73" s="62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62"/>
      <c r="C74" s="62"/>
      <c r="D74" s="62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62"/>
      <c r="C75" s="62"/>
      <c r="D75" s="62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62"/>
      <c r="C76" s="62"/>
      <c r="D76" s="62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62"/>
      <c r="C77" s="62"/>
      <c r="D77" s="62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62"/>
      <c r="C78" s="62"/>
      <c r="D78" s="62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62"/>
      <c r="C79" s="62"/>
      <c r="D79" s="62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62"/>
      <c r="C80" s="62"/>
      <c r="D80" s="62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62"/>
      <c r="C81" s="62"/>
      <c r="D81" s="62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62"/>
      <c r="C82" s="62"/>
      <c r="D82" s="62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62"/>
      <c r="C83" s="62"/>
      <c r="D83" s="62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62"/>
      <c r="C84" s="62"/>
      <c r="D84" s="62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62"/>
      <c r="C85" s="62"/>
      <c r="D85" s="62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62"/>
      <c r="C86" s="62"/>
      <c r="D86" s="62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62"/>
      <c r="C87" s="62"/>
      <c r="D87" s="62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62"/>
      <c r="C88" s="62"/>
      <c r="D88" s="62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62"/>
      <c r="C89" s="62"/>
      <c r="D89" s="62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62"/>
      <c r="C90" s="62"/>
      <c r="D90" s="62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62"/>
      <c r="C91" s="62"/>
      <c r="D91" s="62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62"/>
      <c r="C92" s="62"/>
      <c r="D92" s="62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62"/>
      <c r="C93" s="62"/>
      <c r="D93" s="62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62"/>
      <c r="C94" s="62"/>
      <c r="D94" s="62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62"/>
      <c r="C95" s="62"/>
      <c r="D95" s="62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62"/>
      <c r="C96" s="62"/>
      <c r="D96" s="62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62"/>
      <c r="C97" s="62"/>
      <c r="D97" s="62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62"/>
      <c r="C98" s="62"/>
      <c r="D98" s="62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62"/>
      <c r="C99" s="62"/>
      <c r="D99" s="62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62"/>
      <c r="C100" s="62"/>
      <c r="D100" s="62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62"/>
      <c r="C101" s="62"/>
      <c r="D101" s="62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62"/>
      <c r="C102" s="62"/>
      <c r="D102" s="62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62"/>
      <c r="C103" s="62"/>
      <c r="D103" s="62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62"/>
      <c r="C104" s="62"/>
      <c r="D104" s="62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62"/>
      <c r="C105" s="62"/>
      <c r="D105" s="62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62"/>
      <c r="C106" s="62"/>
      <c r="D106" s="62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62"/>
      <c r="C107" s="62"/>
      <c r="D107" s="62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62"/>
      <c r="C108" s="62"/>
      <c r="D108" s="62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62"/>
      <c r="C109" s="62"/>
      <c r="D109" s="62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62"/>
      <c r="C110" s="62"/>
      <c r="D110" s="62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62"/>
      <c r="C111" s="62"/>
      <c r="D111" s="62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62"/>
      <c r="C112" s="62"/>
      <c r="D112" s="62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62"/>
      <c r="C113" s="62"/>
      <c r="D113" s="62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62"/>
      <c r="C114" s="62"/>
      <c r="D114" s="62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62"/>
      <c r="C115" s="62"/>
      <c r="D115" s="62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62"/>
      <c r="C116" s="62"/>
      <c r="D116" s="62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62"/>
      <c r="C117" s="62"/>
      <c r="D117" s="62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62"/>
      <c r="C118" s="62"/>
      <c r="D118" s="62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62"/>
      <c r="C119" s="62"/>
      <c r="D119" s="62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62"/>
      <c r="C120" s="62"/>
      <c r="D120" s="62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62"/>
      <c r="C121" s="62"/>
      <c r="D121" s="62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62"/>
      <c r="C122" s="62"/>
      <c r="D122" s="62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62"/>
      <c r="C123" s="62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62"/>
      <c r="C124" s="62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62"/>
      <c r="C125" s="62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62"/>
      <c r="C126" s="62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62"/>
      <c r="C127" s="62"/>
      <c r="D127" s="62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62"/>
      <c r="C128" s="62"/>
      <c r="D128" s="62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62"/>
      <c r="C129" s="62"/>
      <c r="D129" s="62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62"/>
      <c r="C130" s="62"/>
      <c r="D130" s="62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62"/>
      <c r="C131" s="62"/>
      <c r="D131" s="62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62"/>
      <c r="C132" s="62"/>
      <c r="D132" s="62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62"/>
      <c r="C133" s="62"/>
      <c r="D133" s="62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62"/>
      <c r="C134" s="62"/>
      <c r="D134" s="62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62"/>
      <c r="C135" s="62"/>
      <c r="D135" s="62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62"/>
      <c r="C136" s="62"/>
      <c r="D136" s="62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62"/>
      <c r="C137" s="62"/>
      <c r="D137" s="62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62"/>
      <c r="C138" s="62"/>
      <c r="D138" s="62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62"/>
      <c r="C139" s="62"/>
      <c r="D139" s="62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62"/>
      <c r="C140" s="62"/>
      <c r="D140" s="62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62"/>
      <c r="C141" s="62"/>
      <c r="D141" s="62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62"/>
      <c r="C142" s="62"/>
      <c r="D142" s="62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62"/>
      <c r="C143" s="62"/>
      <c r="D143" s="62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62"/>
      <c r="C144" s="62"/>
      <c r="D144" s="62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62"/>
      <c r="C145" s="62"/>
      <c r="D145" s="62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62"/>
      <c r="C146" s="62"/>
      <c r="D146" s="62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62"/>
      <c r="C147" s="62"/>
      <c r="D147" s="62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62"/>
      <c r="C148" s="62"/>
      <c r="D148" s="62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62"/>
      <c r="C149" s="62"/>
      <c r="D149" s="62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62"/>
      <c r="C150" s="62"/>
      <c r="D150" s="62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62"/>
      <c r="C151" s="62"/>
      <c r="D151" s="62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62"/>
      <c r="C152" s="62"/>
      <c r="D152" s="62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62"/>
      <c r="C153" s="62"/>
      <c r="D153" s="62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62"/>
      <c r="C154" s="62"/>
      <c r="D154" s="62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62"/>
      <c r="C155" s="62"/>
      <c r="D155" s="62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62"/>
      <c r="C156" s="62"/>
      <c r="D156" s="62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62"/>
      <c r="C157" s="62"/>
      <c r="D157" s="62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62"/>
      <c r="C158" s="62"/>
      <c r="D158" s="62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62"/>
      <c r="C159" s="62"/>
      <c r="D159" s="62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62"/>
      <c r="C160" s="62"/>
      <c r="D160" s="62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62"/>
      <c r="C161" s="62"/>
      <c r="D161" s="62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62"/>
      <c r="C162" s="62"/>
      <c r="D162" s="62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62"/>
      <c r="C163" s="62"/>
      <c r="D163" s="62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62"/>
      <c r="C164" s="62"/>
      <c r="D164" s="62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62"/>
      <c r="C165" s="62"/>
      <c r="D165" s="62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62"/>
      <c r="C166" s="62"/>
      <c r="D166" s="62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62"/>
      <c r="C167" s="62"/>
      <c r="D167" s="62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62"/>
      <c r="C168" s="62"/>
      <c r="D168" s="62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62"/>
      <c r="C169" s="62"/>
      <c r="D169" s="62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62"/>
      <c r="C170" s="62"/>
      <c r="D170" s="62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62"/>
      <c r="C171" s="62"/>
      <c r="D171" s="62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62"/>
      <c r="C172" s="62"/>
      <c r="D172" s="62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62"/>
      <c r="C173" s="62"/>
      <c r="D173" s="62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62"/>
      <c r="C174" s="62"/>
      <c r="D174" s="62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62"/>
      <c r="C175" s="62"/>
      <c r="D175" s="62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62"/>
      <c r="C176" s="62"/>
      <c r="D176" s="62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62"/>
      <c r="C177" s="62"/>
      <c r="D177" s="62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62"/>
      <c r="C178" s="62"/>
      <c r="D178" s="62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62"/>
      <c r="C179" s="62"/>
      <c r="D179" s="62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62"/>
      <c r="C180" s="62"/>
      <c r="D180" s="62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62"/>
      <c r="C181" s="62"/>
      <c r="D181" s="62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62"/>
      <c r="C182" s="62"/>
      <c r="D182" s="62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62"/>
      <c r="C183" s="62"/>
      <c r="D183" s="62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62"/>
      <c r="C184" s="62"/>
      <c r="D184" s="62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62"/>
      <c r="C185" s="62"/>
      <c r="D185" s="62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62"/>
      <c r="C186" s="62"/>
      <c r="D186" s="62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62"/>
      <c r="C187" s="62"/>
      <c r="D187" s="62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62"/>
      <c r="C188" s="62"/>
      <c r="D188" s="62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62"/>
      <c r="C189" s="62"/>
      <c r="D189" s="62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62"/>
      <c r="C190" s="62"/>
      <c r="D190" s="62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62"/>
      <c r="C191" s="62"/>
      <c r="D191" s="62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62"/>
      <c r="C192" s="62"/>
      <c r="D192" s="62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62"/>
      <c r="C193" s="62"/>
      <c r="D193" s="62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62"/>
      <c r="C194" s="62"/>
      <c r="D194" s="62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62"/>
      <c r="C195" s="62"/>
      <c r="D195" s="62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62"/>
      <c r="C196" s="62"/>
      <c r="D196" s="62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62"/>
      <c r="C197" s="62"/>
      <c r="D197" s="62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62"/>
      <c r="C198" s="62"/>
      <c r="D198" s="62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62"/>
      <c r="C199" s="62"/>
      <c r="D199" s="62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62"/>
      <c r="C200" s="62"/>
      <c r="D200" s="62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62"/>
      <c r="C201" s="62"/>
      <c r="D201" s="62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62"/>
      <c r="C202" s="62"/>
      <c r="D202" s="62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62"/>
      <c r="C203" s="62"/>
      <c r="D203" s="62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62"/>
      <c r="C204" s="62"/>
      <c r="D204" s="62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62"/>
      <c r="C205" s="62"/>
      <c r="D205" s="62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62"/>
      <c r="C206" s="62"/>
      <c r="D206" s="62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62"/>
      <c r="C207" s="62"/>
      <c r="D207" s="62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62"/>
      <c r="C208" s="62"/>
      <c r="D208" s="62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62"/>
      <c r="C209" s="62"/>
      <c r="D209" s="62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62"/>
      <c r="C210" s="62"/>
      <c r="D210" s="62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62"/>
      <c r="C211" s="62"/>
      <c r="D211" s="62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62"/>
      <c r="C212" s="62"/>
      <c r="D212" s="62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62"/>
      <c r="C213" s="62"/>
      <c r="D213" s="62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62"/>
      <c r="C214" s="62"/>
      <c r="D214" s="62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62"/>
      <c r="C215" s="62"/>
      <c r="D215" s="62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62"/>
      <c r="C216" s="62"/>
      <c r="D216" s="62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62"/>
      <c r="C217" s="62"/>
      <c r="D217" s="62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62"/>
      <c r="C218" s="62"/>
      <c r="D218" s="62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62"/>
      <c r="C219" s="62"/>
      <c r="D219" s="62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62"/>
      <c r="C220" s="62"/>
      <c r="D220" s="62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62"/>
      <c r="C221" s="62"/>
      <c r="D221" s="62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62"/>
      <c r="C222" s="62"/>
      <c r="D222" s="62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62"/>
      <c r="C223" s="62"/>
      <c r="D223" s="62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62"/>
      <c r="C224" s="62"/>
      <c r="D224" s="62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62"/>
      <c r="C225" s="62"/>
      <c r="D225" s="62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62"/>
      <c r="C226" s="62"/>
      <c r="D226" s="62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62"/>
      <c r="C227" s="62"/>
      <c r="D227" s="62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62"/>
      <c r="C228" s="62"/>
      <c r="D228" s="62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62"/>
      <c r="C229" s="62"/>
      <c r="D229" s="62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62"/>
      <c r="C230" s="62"/>
      <c r="D230" s="62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62"/>
      <c r="C231" s="62"/>
      <c r="D231" s="62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62"/>
      <c r="C232" s="62"/>
      <c r="D232" s="62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62"/>
      <c r="C233" s="62"/>
      <c r="D233" s="62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62"/>
      <c r="C234" s="62"/>
      <c r="D234" s="62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62"/>
      <c r="C235" s="62"/>
      <c r="D235" s="62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62"/>
      <c r="C236" s="62"/>
      <c r="D236" s="62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62"/>
      <c r="C237" s="62"/>
      <c r="D237" s="62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62"/>
      <c r="C238" s="62"/>
      <c r="D238" s="62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62"/>
      <c r="C239" s="62"/>
      <c r="D239" s="62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62"/>
      <c r="C240" s="62"/>
      <c r="D240" s="62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62"/>
      <c r="C241" s="62"/>
      <c r="D241" s="62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62"/>
      <c r="C242" s="62"/>
      <c r="D242" s="62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62"/>
      <c r="C243" s="62"/>
      <c r="D243" s="62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62"/>
      <c r="C244" s="62"/>
      <c r="D244" s="62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62"/>
      <c r="C245" s="62"/>
      <c r="D245" s="62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62"/>
      <c r="C246" s="62"/>
      <c r="D246" s="62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62"/>
      <c r="C247" s="62"/>
      <c r="D247" s="62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62"/>
      <c r="C248" s="62"/>
      <c r="D248" s="62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62"/>
      <c r="C249" s="62"/>
      <c r="D249" s="62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62"/>
      <c r="C250" s="62"/>
      <c r="D250" s="62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62"/>
      <c r="C251" s="62"/>
      <c r="D251" s="62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62"/>
      <c r="C252" s="62"/>
      <c r="D252" s="62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62"/>
      <c r="C253" s="62"/>
      <c r="D253" s="62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62"/>
      <c r="C254" s="62"/>
      <c r="D254" s="62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62"/>
      <c r="C255" s="62"/>
      <c r="D255" s="62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62"/>
      <c r="C256" s="62"/>
      <c r="D256" s="62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62"/>
      <c r="C257" s="62"/>
      <c r="D257" s="62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62"/>
      <c r="C258" s="62"/>
      <c r="D258" s="62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62"/>
      <c r="C259" s="62"/>
      <c r="D259" s="62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62"/>
      <c r="C260" s="62"/>
      <c r="D260" s="62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62"/>
      <c r="C261" s="62"/>
      <c r="D261" s="62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62"/>
      <c r="C262" s="62"/>
      <c r="D262" s="62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62"/>
      <c r="C263" s="62"/>
      <c r="D263" s="62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62"/>
      <c r="C264" s="62"/>
      <c r="D264" s="62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62"/>
      <c r="C265" s="62"/>
      <c r="D265" s="62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62"/>
      <c r="C266" s="62"/>
      <c r="D266" s="62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62"/>
      <c r="C267" s="62"/>
      <c r="D267" s="62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62"/>
      <c r="C268" s="62"/>
      <c r="D268" s="62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62"/>
      <c r="C269" s="62"/>
      <c r="D269" s="62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62"/>
      <c r="C270" s="62"/>
      <c r="D270" s="62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62"/>
      <c r="C271" s="62"/>
      <c r="D271" s="62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62"/>
      <c r="C272" s="62"/>
      <c r="D272" s="62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62"/>
      <c r="C273" s="62"/>
      <c r="D273" s="62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62"/>
      <c r="C274" s="62"/>
      <c r="D274" s="62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62"/>
      <c r="C275" s="62"/>
      <c r="D275" s="62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62"/>
      <c r="C276" s="62"/>
      <c r="D276" s="62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</sheetData>
  <mergeCells count="45">
    <mergeCell ref="X4:X5"/>
    <mergeCell ref="B5:E5"/>
    <mergeCell ref="F5:G5"/>
    <mergeCell ref="B3:E4"/>
    <mergeCell ref="L3:P3"/>
    <mergeCell ref="T4:T5"/>
    <mergeCell ref="V4:V5"/>
    <mergeCell ref="W4:W5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B25:B27"/>
    <mergeCell ref="D25:E25"/>
    <mergeCell ref="F25:G25"/>
    <mergeCell ref="H25:P25"/>
    <mergeCell ref="D26:E26"/>
    <mergeCell ref="F26:G26"/>
    <mergeCell ref="H26:P26"/>
    <mergeCell ref="D27:E27"/>
    <mergeCell ref="F27:G27"/>
    <mergeCell ref="H27:P27"/>
    <mergeCell ref="B22:D22"/>
    <mergeCell ref="B23:X23"/>
    <mergeCell ref="D24:E24"/>
    <mergeCell ref="F24:G24"/>
    <mergeCell ref="H24:P24"/>
    <mergeCell ref="B28:B30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7"/>
  <sheetViews>
    <sheetView topLeftCell="A4" workbookViewId="0">
      <selection activeCell="C26" sqref="C26:G26"/>
    </sheetView>
  </sheetViews>
  <sheetFormatPr defaultRowHeight="13.5" x14ac:dyDescent="0.3"/>
  <cols>
    <col min="1" max="1" width="1.625" style="62" customWidth="1"/>
    <col min="2" max="2" width="4.625" style="62" bestFit="1" customWidth="1"/>
    <col min="3" max="3" width="7.625" style="62" bestFit="1" customWidth="1"/>
    <col min="4" max="4" width="8" style="62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62" customWidth="1"/>
    <col min="26" max="26" width="8.375" style="62" customWidth="1"/>
    <col min="27" max="27" width="7.25" style="62" customWidth="1"/>
    <col min="28" max="28" width="3.875" style="62" customWidth="1"/>
    <col min="29" max="29" width="0.5" style="62" customWidth="1"/>
    <col min="30" max="257" width="9" style="62"/>
    <col min="258" max="258" width="4.625" style="62" bestFit="1" customWidth="1"/>
    <col min="259" max="259" width="7.5" style="62" bestFit="1" customWidth="1"/>
    <col min="260" max="260" width="6.25" style="62" customWidth="1"/>
    <col min="261" max="261" width="11" style="62" bestFit="1" customWidth="1"/>
    <col min="262" max="263" width="9.625" style="62" bestFit="1" customWidth="1"/>
    <col min="264" max="264" width="8.25" style="62" bestFit="1" customWidth="1"/>
    <col min="265" max="266" width="9.625" style="62" bestFit="1" customWidth="1"/>
    <col min="267" max="267" width="8.25" style="62" bestFit="1" customWidth="1"/>
    <col min="268" max="269" width="9.625" style="62" bestFit="1" customWidth="1"/>
    <col min="270" max="271" width="8.25" style="62" bestFit="1" customWidth="1"/>
    <col min="272" max="272" width="11" style="62" bestFit="1" customWidth="1"/>
    <col min="273" max="273" width="8" style="62" bestFit="1" customWidth="1"/>
    <col min="274" max="274" width="7.75" style="62" bestFit="1" customWidth="1"/>
    <col min="275" max="276" width="9.625" style="62" bestFit="1" customWidth="1"/>
    <col min="277" max="278" width="9.625" style="62" customWidth="1"/>
    <col min="279" max="279" width="9.25" style="62" bestFit="1" customWidth="1"/>
    <col min="280" max="280" width="11" style="62" bestFit="1" customWidth="1"/>
    <col min="281" max="513" width="9" style="62"/>
    <col min="514" max="514" width="4.625" style="62" bestFit="1" customWidth="1"/>
    <col min="515" max="515" width="7.5" style="62" bestFit="1" customWidth="1"/>
    <col min="516" max="516" width="6.25" style="62" customWidth="1"/>
    <col min="517" max="517" width="11" style="62" bestFit="1" customWidth="1"/>
    <col min="518" max="519" width="9.625" style="62" bestFit="1" customWidth="1"/>
    <col min="520" max="520" width="8.25" style="62" bestFit="1" customWidth="1"/>
    <col min="521" max="522" width="9.625" style="62" bestFit="1" customWidth="1"/>
    <col min="523" max="523" width="8.25" style="62" bestFit="1" customWidth="1"/>
    <col min="524" max="525" width="9.625" style="62" bestFit="1" customWidth="1"/>
    <col min="526" max="527" width="8.25" style="62" bestFit="1" customWidth="1"/>
    <col min="528" max="528" width="11" style="62" bestFit="1" customWidth="1"/>
    <col min="529" max="529" width="8" style="62" bestFit="1" customWidth="1"/>
    <col min="530" max="530" width="7.75" style="62" bestFit="1" customWidth="1"/>
    <col min="531" max="532" width="9.625" style="62" bestFit="1" customWidth="1"/>
    <col min="533" max="534" width="9.625" style="62" customWidth="1"/>
    <col min="535" max="535" width="9.25" style="62" bestFit="1" customWidth="1"/>
    <col min="536" max="536" width="11" style="62" bestFit="1" customWidth="1"/>
    <col min="537" max="769" width="9" style="62"/>
    <col min="770" max="770" width="4.625" style="62" bestFit="1" customWidth="1"/>
    <col min="771" max="771" width="7.5" style="62" bestFit="1" customWidth="1"/>
    <col min="772" max="772" width="6.25" style="62" customWidth="1"/>
    <col min="773" max="773" width="11" style="62" bestFit="1" customWidth="1"/>
    <col min="774" max="775" width="9.625" style="62" bestFit="1" customWidth="1"/>
    <col min="776" max="776" width="8.25" style="62" bestFit="1" customWidth="1"/>
    <col min="777" max="778" width="9.625" style="62" bestFit="1" customWidth="1"/>
    <col min="779" max="779" width="8.25" style="62" bestFit="1" customWidth="1"/>
    <col min="780" max="781" width="9.625" style="62" bestFit="1" customWidth="1"/>
    <col min="782" max="783" width="8.25" style="62" bestFit="1" customWidth="1"/>
    <col min="784" max="784" width="11" style="62" bestFit="1" customWidth="1"/>
    <col min="785" max="785" width="8" style="62" bestFit="1" customWidth="1"/>
    <col min="786" max="786" width="7.75" style="62" bestFit="1" customWidth="1"/>
    <col min="787" max="788" width="9.625" style="62" bestFit="1" customWidth="1"/>
    <col min="789" max="790" width="9.625" style="62" customWidth="1"/>
    <col min="791" max="791" width="9.25" style="62" bestFit="1" customWidth="1"/>
    <col min="792" max="792" width="11" style="62" bestFit="1" customWidth="1"/>
    <col min="793" max="1025" width="9" style="62"/>
    <col min="1026" max="1026" width="4.625" style="62" bestFit="1" customWidth="1"/>
    <col min="1027" max="1027" width="7.5" style="62" bestFit="1" customWidth="1"/>
    <col min="1028" max="1028" width="6.25" style="62" customWidth="1"/>
    <col min="1029" max="1029" width="11" style="62" bestFit="1" customWidth="1"/>
    <col min="1030" max="1031" width="9.625" style="62" bestFit="1" customWidth="1"/>
    <col min="1032" max="1032" width="8.25" style="62" bestFit="1" customWidth="1"/>
    <col min="1033" max="1034" width="9.625" style="62" bestFit="1" customWidth="1"/>
    <col min="1035" max="1035" width="8.25" style="62" bestFit="1" customWidth="1"/>
    <col min="1036" max="1037" width="9.625" style="62" bestFit="1" customWidth="1"/>
    <col min="1038" max="1039" width="8.25" style="62" bestFit="1" customWidth="1"/>
    <col min="1040" max="1040" width="11" style="62" bestFit="1" customWidth="1"/>
    <col min="1041" max="1041" width="8" style="62" bestFit="1" customWidth="1"/>
    <col min="1042" max="1042" width="7.75" style="62" bestFit="1" customWidth="1"/>
    <col min="1043" max="1044" width="9.625" style="62" bestFit="1" customWidth="1"/>
    <col min="1045" max="1046" width="9.625" style="62" customWidth="1"/>
    <col min="1047" max="1047" width="9.25" style="62" bestFit="1" customWidth="1"/>
    <col min="1048" max="1048" width="11" style="62" bestFit="1" customWidth="1"/>
    <col min="1049" max="1281" width="9" style="62"/>
    <col min="1282" max="1282" width="4.625" style="62" bestFit="1" customWidth="1"/>
    <col min="1283" max="1283" width="7.5" style="62" bestFit="1" customWidth="1"/>
    <col min="1284" max="1284" width="6.25" style="62" customWidth="1"/>
    <col min="1285" max="1285" width="11" style="62" bestFit="1" customWidth="1"/>
    <col min="1286" max="1287" width="9.625" style="62" bestFit="1" customWidth="1"/>
    <col min="1288" max="1288" width="8.25" style="62" bestFit="1" customWidth="1"/>
    <col min="1289" max="1290" width="9.625" style="62" bestFit="1" customWidth="1"/>
    <col min="1291" max="1291" width="8.25" style="62" bestFit="1" customWidth="1"/>
    <col min="1292" max="1293" width="9.625" style="62" bestFit="1" customWidth="1"/>
    <col min="1294" max="1295" width="8.25" style="62" bestFit="1" customWidth="1"/>
    <col min="1296" max="1296" width="11" style="62" bestFit="1" customWidth="1"/>
    <col min="1297" max="1297" width="8" style="62" bestFit="1" customWidth="1"/>
    <col min="1298" max="1298" width="7.75" style="62" bestFit="1" customWidth="1"/>
    <col min="1299" max="1300" width="9.625" style="62" bestFit="1" customWidth="1"/>
    <col min="1301" max="1302" width="9.625" style="62" customWidth="1"/>
    <col min="1303" max="1303" width="9.25" style="62" bestFit="1" customWidth="1"/>
    <col min="1304" max="1304" width="11" style="62" bestFit="1" customWidth="1"/>
    <col min="1305" max="1537" width="9" style="62"/>
    <col min="1538" max="1538" width="4.625" style="62" bestFit="1" customWidth="1"/>
    <col min="1539" max="1539" width="7.5" style="62" bestFit="1" customWidth="1"/>
    <col min="1540" max="1540" width="6.25" style="62" customWidth="1"/>
    <col min="1541" max="1541" width="11" style="62" bestFit="1" customWidth="1"/>
    <col min="1542" max="1543" width="9.625" style="62" bestFit="1" customWidth="1"/>
    <col min="1544" max="1544" width="8.25" style="62" bestFit="1" customWidth="1"/>
    <col min="1545" max="1546" width="9.625" style="62" bestFit="1" customWidth="1"/>
    <col min="1547" max="1547" width="8.25" style="62" bestFit="1" customWidth="1"/>
    <col min="1548" max="1549" width="9.625" style="62" bestFit="1" customWidth="1"/>
    <col min="1550" max="1551" width="8.25" style="62" bestFit="1" customWidth="1"/>
    <col min="1552" max="1552" width="11" style="62" bestFit="1" customWidth="1"/>
    <col min="1553" max="1553" width="8" style="62" bestFit="1" customWidth="1"/>
    <col min="1554" max="1554" width="7.75" style="62" bestFit="1" customWidth="1"/>
    <col min="1555" max="1556" width="9.625" style="62" bestFit="1" customWidth="1"/>
    <col min="1557" max="1558" width="9.625" style="62" customWidth="1"/>
    <col min="1559" max="1559" width="9.25" style="62" bestFit="1" customWidth="1"/>
    <col min="1560" max="1560" width="11" style="62" bestFit="1" customWidth="1"/>
    <col min="1561" max="1793" width="9" style="62"/>
    <col min="1794" max="1794" width="4.625" style="62" bestFit="1" customWidth="1"/>
    <col min="1795" max="1795" width="7.5" style="62" bestFit="1" customWidth="1"/>
    <col min="1796" max="1796" width="6.25" style="62" customWidth="1"/>
    <col min="1797" max="1797" width="11" style="62" bestFit="1" customWidth="1"/>
    <col min="1798" max="1799" width="9.625" style="62" bestFit="1" customWidth="1"/>
    <col min="1800" max="1800" width="8.25" style="62" bestFit="1" customWidth="1"/>
    <col min="1801" max="1802" width="9.625" style="62" bestFit="1" customWidth="1"/>
    <col min="1803" max="1803" width="8.25" style="62" bestFit="1" customWidth="1"/>
    <col min="1804" max="1805" width="9.625" style="62" bestFit="1" customWidth="1"/>
    <col min="1806" max="1807" width="8.25" style="62" bestFit="1" customWidth="1"/>
    <col min="1808" max="1808" width="11" style="62" bestFit="1" customWidth="1"/>
    <col min="1809" max="1809" width="8" style="62" bestFit="1" customWidth="1"/>
    <col min="1810" max="1810" width="7.75" style="62" bestFit="1" customWidth="1"/>
    <col min="1811" max="1812" width="9.625" style="62" bestFit="1" customWidth="1"/>
    <col min="1813" max="1814" width="9.625" style="62" customWidth="1"/>
    <col min="1815" max="1815" width="9.25" style="62" bestFit="1" customWidth="1"/>
    <col min="1816" max="1816" width="11" style="62" bestFit="1" customWidth="1"/>
    <col min="1817" max="2049" width="9" style="62"/>
    <col min="2050" max="2050" width="4.625" style="62" bestFit="1" customWidth="1"/>
    <col min="2051" max="2051" width="7.5" style="62" bestFit="1" customWidth="1"/>
    <col min="2052" max="2052" width="6.25" style="62" customWidth="1"/>
    <col min="2053" max="2053" width="11" style="62" bestFit="1" customWidth="1"/>
    <col min="2054" max="2055" width="9.625" style="62" bestFit="1" customWidth="1"/>
    <col min="2056" max="2056" width="8.25" style="62" bestFit="1" customWidth="1"/>
    <col min="2057" max="2058" width="9.625" style="62" bestFit="1" customWidth="1"/>
    <col min="2059" max="2059" width="8.25" style="62" bestFit="1" customWidth="1"/>
    <col min="2060" max="2061" width="9.625" style="62" bestFit="1" customWidth="1"/>
    <col min="2062" max="2063" width="8.25" style="62" bestFit="1" customWidth="1"/>
    <col min="2064" max="2064" width="11" style="62" bestFit="1" customWidth="1"/>
    <col min="2065" max="2065" width="8" style="62" bestFit="1" customWidth="1"/>
    <col min="2066" max="2066" width="7.75" style="62" bestFit="1" customWidth="1"/>
    <col min="2067" max="2068" width="9.625" style="62" bestFit="1" customWidth="1"/>
    <col min="2069" max="2070" width="9.625" style="62" customWidth="1"/>
    <col min="2071" max="2071" width="9.25" style="62" bestFit="1" customWidth="1"/>
    <col min="2072" max="2072" width="11" style="62" bestFit="1" customWidth="1"/>
    <col min="2073" max="2305" width="9" style="62"/>
    <col min="2306" max="2306" width="4.625" style="62" bestFit="1" customWidth="1"/>
    <col min="2307" max="2307" width="7.5" style="62" bestFit="1" customWidth="1"/>
    <col min="2308" max="2308" width="6.25" style="62" customWidth="1"/>
    <col min="2309" max="2309" width="11" style="62" bestFit="1" customWidth="1"/>
    <col min="2310" max="2311" width="9.625" style="62" bestFit="1" customWidth="1"/>
    <col min="2312" max="2312" width="8.25" style="62" bestFit="1" customWidth="1"/>
    <col min="2313" max="2314" width="9.625" style="62" bestFit="1" customWidth="1"/>
    <col min="2315" max="2315" width="8.25" style="62" bestFit="1" customWidth="1"/>
    <col min="2316" max="2317" width="9.625" style="62" bestFit="1" customWidth="1"/>
    <col min="2318" max="2319" width="8.25" style="62" bestFit="1" customWidth="1"/>
    <col min="2320" max="2320" width="11" style="62" bestFit="1" customWidth="1"/>
    <col min="2321" max="2321" width="8" style="62" bestFit="1" customWidth="1"/>
    <col min="2322" max="2322" width="7.75" style="62" bestFit="1" customWidth="1"/>
    <col min="2323" max="2324" width="9.625" style="62" bestFit="1" customWidth="1"/>
    <col min="2325" max="2326" width="9.625" style="62" customWidth="1"/>
    <col min="2327" max="2327" width="9.25" style="62" bestFit="1" customWidth="1"/>
    <col min="2328" max="2328" width="11" style="62" bestFit="1" customWidth="1"/>
    <col min="2329" max="2561" width="9" style="62"/>
    <col min="2562" max="2562" width="4.625" style="62" bestFit="1" customWidth="1"/>
    <col min="2563" max="2563" width="7.5" style="62" bestFit="1" customWidth="1"/>
    <col min="2564" max="2564" width="6.25" style="62" customWidth="1"/>
    <col min="2565" max="2565" width="11" style="62" bestFit="1" customWidth="1"/>
    <col min="2566" max="2567" width="9.625" style="62" bestFit="1" customWidth="1"/>
    <col min="2568" max="2568" width="8.25" style="62" bestFit="1" customWidth="1"/>
    <col min="2569" max="2570" width="9.625" style="62" bestFit="1" customWidth="1"/>
    <col min="2571" max="2571" width="8.25" style="62" bestFit="1" customWidth="1"/>
    <col min="2572" max="2573" width="9.625" style="62" bestFit="1" customWidth="1"/>
    <col min="2574" max="2575" width="8.25" style="62" bestFit="1" customWidth="1"/>
    <col min="2576" max="2576" width="11" style="62" bestFit="1" customWidth="1"/>
    <col min="2577" max="2577" width="8" style="62" bestFit="1" customWidth="1"/>
    <col min="2578" max="2578" width="7.75" style="62" bestFit="1" customWidth="1"/>
    <col min="2579" max="2580" width="9.625" style="62" bestFit="1" customWidth="1"/>
    <col min="2581" max="2582" width="9.625" style="62" customWidth="1"/>
    <col min="2583" max="2583" width="9.25" style="62" bestFit="1" customWidth="1"/>
    <col min="2584" max="2584" width="11" style="62" bestFit="1" customWidth="1"/>
    <col min="2585" max="2817" width="9" style="62"/>
    <col min="2818" max="2818" width="4.625" style="62" bestFit="1" customWidth="1"/>
    <col min="2819" max="2819" width="7.5" style="62" bestFit="1" customWidth="1"/>
    <col min="2820" max="2820" width="6.25" style="62" customWidth="1"/>
    <col min="2821" max="2821" width="11" style="62" bestFit="1" customWidth="1"/>
    <col min="2822" max="2823" width="9.625" style="62" bestFit="1" customWidth="1"/>
    <col min="2824" max="2824" width="8.25" style="62" bestFit="1" customWidth="1"/>
    <col min="2825" max="2826" width="9.625" style="62" bestFit="1" customWidth="1"/>
    <col min="2827" max="2827" width="8.25" style="62" bestFit="1" customWidth="1"/>
    <col min="2828" max="2829" width="9.625" style="62" bestFit="1" customWidth="1"/>
    <col min="2830" max="2831" width="8.25" style="62" bestFit="1" customWidth="1"/>
    <col min="2832" max="2832" width="11" style="62" bestFit="1" customWidth="1"/>
    <col min="2833" max="2833" width="8" style="62" bestFit="1" customWidth="1"/>
    <col min="2834" max="2834" width="7.75" style="62" bestFit="1" customWidth="1"/>
    <col min="2835" max="2836" width="9.625" style="62" bestFit="1" customWidth="1"/>
    <col min="2837" max="2838" width="9.625" style="62" customWidth="1"/>
    <col min="2839" max="2839" width="9.25" style="62" bestFit="1" customWidth="1"/>
    <col min="2840" max="2840" width="11" style="62" bestFit="1" customWidth="1"/>
    <col min="2841" max="3073" width="9" style="62"/>
    <col min="3074" max="3074" width="4.625" style="62" bestFit="1" customWidth="1"/>
    <col min="3075" max="3075" width="7.5" style="62" bestFit="1" customWidth="1"/>
    <col min="3076" max="3076" width="6.25" style="62" customWidth="1"/>
    <col min="3077" max="3077" width="11" style="62" bestFit="1" customWidth="1"/>
    <col min="3078" max="3079" width="9.625" style="62" bestFit="1" customWidth="1"/>
    <col min="3080" max="3080" width="8.25" style="62" bestFit="1" customWidth="1"/>
    <col min="3081" max="3082" width="9.625" style="62" bestFit="1" customWidth="1"/>
    <col min="3083" max="3083" width="8.25" style="62" bestFit="1" customWidth="1"/>
    <col min="3084" max="3085" width="9.625" style="62" bestFit="1" customWidth="1"/>
    <col min="3086" max="3087" width="8.25" style="62" bestFit="1" customWidth="1"/>
    <col min="3088" max="3088" width="11" style="62" bestFit="1" customWidth="1"/>
    <col min="3089" max="3089" width="8" style="62" bestFit="1" customWidth="1"/>
    <col min="3090" max="3090" width="7.75" style="62" bestFit="1" customWidth="1"/>
    <col min="3091" max="3092" width="9.625" style="62" bestFit="1" customWidth="1"/>
    <col min="3093" max="3094" width="9.625" style="62" customWidth="1"/>
    <col min="3095" max="3095" width="9.25" style="62" bestFit="1" customWidth="1"/>
    <col min="3096" max="3096" width="11" style="62" bestFit="1" customWidth="1"/>
    <col min="3097" max="3329" width="9" style="62"/>
    <col min="3330" max="3330" width="4.625" style="62" bestFit="1" customWidth="1"/>
    <col min="3331" max="3331" width="7.5" style="62" bestFit="1" customWidth="1"/>
    <col min="3332" max="3332" width="6.25" style="62" customWidth="1"/>
    <col min="3333" max="3333" width="11" style="62" bestFit="1" customWidth="1"/>
    <col min="3334" max="3335" width="9.625" style="62" bestFit="1" customWidth="1"/>
    <col min="3336" max="3336" width="8.25" style="62" bestFit="1" customWidth="1"/>
    <col min="3337" max="3338" width="9.625" style="62" bestFit="1" customWidth="1"/>
    <col min="3339" max="3339" width="8.25" style="62" bestFit="1" customWidth="1"/>
    <col min="3340" max="3341" width="9.625" style="62" bestFit="1" customWidth="1"/>
    <col min="3342" max="3343" width="8.25" style="62" bestFit="1" customWidth="1"/>
    <col min="3344" max="3344" width="11" style="62" bestFit="1" customWidth="1"/>
    <col min="3345" max="3345" width="8" style="62" bestFit="1" customWidth="1"/>
    <col min="3346" max="3346" width="7.75" style="62" bestFit="1" customWidth="1"/>
    <col min="3347" max="3348" width="9.625" style="62" bestFit="1" customWidth="1"/>
    <col min="3349" max="3350" width="9.625" style="62" customWidth="1"/>
    <col min="3351" max="3351" width="9.25" style="62" bestFit="1" customWidth="1"/>
    <col min="3352" max="3352" width="11" style="62" bestFit="1" customWidth="1"/>
    <col min="3353" max="3585" width="9" style="62"/>
    <col min="3586" max="3586" width="4.625" style="62" bestFit="1" customWidth="1"/>
    <col min="3587" max="3587" width="7.5" style="62" bestFit="1" customWidth="1"/>
    <col min="3588" max="3588" width="6.25" style="62" customWidth="1"/>
    <col min="3589" max="3589" width="11" style="62" bestFit="1" customWidth="1"/>
    <col min="3590" max="3591" width="9.625" style="62" bestFit="1" customWidth="1"/>
    <col min="3592" max="3592" width="8.25" style="62" bestFit="1" customWidth="1"/>
    <col min="3593" max="3594" width="9.625" style="62" bestFit="1" customWidth="1"/>
    <col min="3595" max="3595" width="8.25" style="62" bestFit="1" customWidth="1"/>
    <col min="3596" max="3597" width="9.625" style="62" bestFit="1" customWidth="1"/>
    <col min="3598" max="3599" width="8.25" style="62" bestFit="1" customWidth="1"/>
    <col min="3600" max="3600" width="11" style="62" bestFit="1" customWidth="1"/>
    <col min="3601" max="3601" width="8" style="62" bestFit="1" customWidth="1"/>
    <col min="3602" max="3602" width="7.75" style="62" bestFit="1" customWidth="1"/>
    <col min="3603" max="3604" width="9.625" style="62" bestFit="1" customWidth="1"/>
    <col min="3605" max="3606" width="9.625" style="62" customWidth="1"/>
    <col min="3607" max="3607" width="9.25" style="62" bestFit="1" customWidth="1"/>
    <col min="3608" max="3608" width="11" style="62" bestFit="1" customWidth="1"/>
    <col min="3609" max="3841" width="9" style="62"/>
    <col min="3842" max="3842" width="4.625" style="62" bestFit="1" customWidth="1"/>
    <col min="3843" max="3843" width="7.5" style="62" bestFit="1" customWidth="1"/>
    <col min="3844" max="3844" width="6.25" style="62" customWidth="1"/>
    <col min="3845" max="3845" width="11" style="62" bestFit="1" customWidth="1"/>
    <col min="3846" max="3847" width="9.625" style="62" bestFit="1" customWidth="1"/>
    <col min="3848" max="3848" width="8.25" style="62" bestFit="1" customWidth="1"/>
    <col min="3849" max="3850" width="9.625" style="62" bestFit="1" customWidth="1"/>
    <col min="3851" max="3851" width="8.25" style="62" bestFit="1" customWidth="1"/>
    <col min="3852" max="3853" width="9.625" style="62" bestFit="1" customWidth="1"/>
    <col min="3854" max="3855" width="8.25" style="62" bestFit="1" customWidth="1"/>
    <col min="3856" max="3856" width="11" style="62" bestFit="1" customWidth="1"/>
    <col min="3857" max="3857" width="8" style="62" bestFit="1" customWidth="1"/>
    <col min="3858" max="3858" width="7.75" style="62" bestFit="1" customWidth="1"/>
    <col min="3859" max="3860" width="9.625" style="62" bestFit="1" customWidth="1"/>
    <col min="3861" max="3862" width="9.625" style="62" customWidth="1"/>
    <col min="3863" max="3863" width="9.25" style="62" bestFit="1" customWidth="1"/>
    <col min="3864" max="3864" width="11" style="62" bestFit="1" customWidth="1"/>
    <col min="3865" max="4097" width="9" style="62"/>
    <col min="4098" max="4098" width="4.625" style="62" bestFit="1" customWidth="1"/>
    <col min="4099" max="4099" width="7.5" style="62" bestFit="1" customWidth="1"/>
    <col min="4100" max="4100" width="6.25" style="62" customWidth="1"/>
    <col min="4101" max="4101" width="11" style="62" bestFit="1" customWidth="1"/>
    <col min="4102" max="4103" width="9.625" style="62" bestFit="1" customWidth="1"/>
    <col min="4104" max="4104" width="8.25" style="62" bestFit="1" customWidth="1"/>
    <col min="4105" max="4106" width="9.625" style="62" bestFit="1" customWidth="1"/>
    <col min="4107" max="4107" width="8.25" style="62" bestFit="1" customWidth="1"/>
    <col min="4108" max="4109" width="9.625" style="62" bestFit="1" customWidth="1"/>
    <col min="4110" max="4111" width="8.25" style="62" bestFit="1" customWidth="1"/>
    <col min="4112" max="4112" width="11" style="62" bestFit="1" customWidth="1"/>
    <col min="4113" max="4113" width="8" style="62" bestFit="1" customWidth="1"/>
    <col min="4114" max="4114" width="7.75" style="62" bestFit="1" customWidth="1"/>
    <col min="4115" max="4116" width="9.625" style="62" bestFit="1" customWidth="1"/>
    <col min="4117" max="4118" width="9.625" style="62" customWidth="1"/>
    <col min="4119" max="4119" width="9.25" style="62" bestFit="1" customWidth="1"/>
    <col min="4120" max="4120" width="11" style="62" bestFit="1" customWidth="1"/>
    <col min="4121" max="4353" width="9" style="62"/>
    <col min="4354" max="4354" width="4.625" style="62" bestFit="1" customWidth="1"/>
    <col min="4355" max="4355" width="7.5" style="62" bestFit="1" customWidth="1"/>
    <col min="4356" max="4356" width="6.25" style="62" customWidth="1"/>
    <col min="4357" max="4357" width="11" style="62" bestFit="1" customWidth="1"/>
    <col min="4358" max="4359" width="9.625" style="62" bestFit="1" customWidth="1"/>
    <col min="4360" max="4360" width="8.25" style="62" bestFit="1" customWidth="1"/>
    <col min="4361" max="4362" width="9.625" style="62" bestFit="1" customWidth="1"/>
    <col min="4363" max="4363" width="8.25" style="62" bestFit="1" customWidth="1"/>
    <col min="4364" max="4365" width="9.625" style="62" bestFit="1" customWidth="1"/>
    <col min="4366" max="4367" width="8.25" style="62" bestFit="1" customWidth="1"/>
    <col min="4368" max="4368" width="11" style="62" bestFit="1" customWidth="1"/>
    <col min="4369" max="4369" width="8" style="62" bestFit="1" customWidth="1"/>
    <col min="4370" max="4370" width="7.75" style="62" bestFit="1" customWidth="1"/>
    <col min="4371" max="4372" width="9.625" style="62" bestFit="1" customWidth="1"/>
    <col min="4373" max="4374" width="9.625" style="62" customWidth="1"/>
    <col min="4375" max="4375" width="9.25" style="62" bestFit="1" customWidth="1"/>
    <col min="4376" max="4376" width="11" style="62" bestFit="1" customWidth="1"/>
    <col min="4377" max="4609" width="9" style="62"/>
    <col min="4610" max="4610" width="4.625" style="62" bestFit="1" customWidth="1"/>
    <col min="4611" max="4611" width="7.5" style="62" bestFit="1" customWidth="1"/>
    <col min="4612" max="4612" width="6.25" style="62" customWidth="1"/>
    <col min="4613" max="4613" width="11" style="62" bestFit="1" customWidth="1"/>
    <col min="4614" max="4615" width="9.625" style="62" bestFit="1" customWidth="1"/>
    <col min="4616" max="4616" width="8.25" style="62" bestFit="1" customWidth="1"/>
    <col min="4617" max="4618" width="9.625" style="62" bestFit="1" customWidth="1"/>
    <col min="4619" max="4619" width="8.25" style="62" bestFit="1" customWidth="1"/>
    <col min="4620" max="4621" width="9.625" style="62" bestFit="1" customWidth="1"/>
    <col min="4622" max="4623" width="8.25" style="62" bestFit="1" customWidth="1"/>
    <col min="4624" max="4624" width="11" style="62" bestFit="1" customWidth="1"/>
    <col min="4625" max="4625" width="8" style="62" bestFit="1" customWidth="1"/>
    <col min="4626" max="4626" width="7.75" style="62" bestFit="1" customWidth="1"/>
    <col min="4627" max="4628" width="9.625" style="62" bestFit="1" customWidth="1"/>
    <col min="4629" max="4630" width="9.625" style="62" customWidth="1"/>
    <col min="4631" max="4631" width="9.25" style="62" bestFit="1" customWidth="1"/>
    <col min="4632" max="4632" width="11" style="62" bestFit="1" customWidth="1"/>
    <col min="4633" max="4865" width="9" style="62"/>
    <col min="4866" max="4866" width="4.625" style="62" bestFit="1" customWidth="1"/>
    <col min="4867" max="4867" width="7.5" style="62" bestFit="1" customWidth="1"/>
    <col min="4868" max="4868" width="6.25" style="62" customWidth="1"/>
    <col min="4869" max="4869" width="11" style="62" bestFit="1" customWidth="1"/>
    <col min="4870" max="4871" width="9.625" style="62" bestFit="1" customWidth="1"/>
    <col min="4872" max="4872" width="8.25" style="62" bestFit="1" customWidth="1"/>
    <col min="4873" max="4874" width="9.625" style="62" bestFit="1" customWidth="1"/>
    <col min="4875" max="4875" width="8.25" style="62" bestFit="1" customWidth="1"/>
    <col min="4876" max="4877" width="9.625" style="62" bestFit="1" customWidth="1"/>
    <col min="4878" max="4879" width="8.25" style="62" bestFit="1" customWidth="1"/>
    <col min="4880" max="4880" width="11" style="62" bestFit="1" customWidth="1"/>
    <col min="4881" max="4881" width="8" style="62" bestFit="1" customWidth="1"/>
    <col min="4882" max="4882" width="7.75" style="62" bestFit="1" customWidth="1"/>
    <col min="4883" max="4884" width="9.625" style="62" bestFit="1" customWidth="1"/>
    <col min="4885" max="4886" width="9.625" style="62" customWidth="1"/>
    <col min="4887" max="4887" width="9.25" style="62" bestFit="1" customWidth="1"/>
    <col min="4888" max="4888" width="11" style="62" bestFit="1" customWidth="1"/>
    <col min="4889" max="5121" width="9" style="62"/>
    <col min="5122" max="5122" width="4.625" style="62" bestFit="1" customWidth="1"/>
    <col min="5123" max="5123" width="7.5" style="62" bestFit="1" customWidth="1"/>
    <col min="5124" max="5124" width="6.25" style="62" customWidth="1"/>
    <col min="5125" max="5125" width="11" style="62" bestFit="1" customWidth="1"/>
    <col min="5126" max="5127" width="9.625" style="62" bestFit="1" customWidth="1"/>
    <col min="5128" max="5128" width="8.25" style="62" bestFit="1" customWidth="1"/>
    <col min="5129" max="5130" width="9.625" style="62" bestFit="1" customWidth="1"/>
    <col min="5131" max="5131" width="8.25" style="62" bestFit="1" customWidth="1"/>
    <col min="5132" max="5133" width="9.625" style="62" bestFit="1" customWidth="1"/>
    <col min="5134" max="5135" width="8.25" style="62" bestFit="1" customWidth="1"/>
    <col min="5136" max="5136" width="11" style="62" bestFit="1" customWidth="1"/>
    <col min="5137" max="5137" width="8" style="62" bestFit="1" customWidth="1"/>
    <col min="5138" max="5138" width="7.75" style="62" bestFit="1" customWidth="1"/>
    <col min="5139" max="5140" width="9.625" style="62" bestFit="1" customWidth="1"/>
    <col min="5141" max="5142" width="9.625" style="62" customWidth="1"/>
    <col min="5143" max="5143" width="9.25" style="62" bestFit="1" customWidth="1"/>
    <col min="5144" max="5144" width="11" style="62" bestFit="1" customWidth="1"/>
    <col min="5145" max="5377" width="9" style="62"/>
    <col min="5378" max="5378" width="4.625" style="62" bestFit="1" customWidth="1"/>
    <col min="5379" max="5379" width="7.5" style="62" bestFit="1" customWidth="1"/>
    <col min="5380" max="5380" width="6.25" style="62" customWidth="1"/>
    <col min="5381" max="5381" width="11" style="62" bestFit="1" customWidth="1"/>
    <col min="5382" max="5383" width="9.625" style="62" bestFit="1" customWidth="1"/>
    <col min="5384" max="5384" width="8.25" style="62" bestFit="1" customWidth="1"/>
    <col min="5385" max="5386" width="9.625" style="62" bestFit="1" customWidth="1"/>
    <col min="5387" max="5387" width="8.25" style="62" bestFit="1" customWidth="1"/>
    <col min="5388" max="5389" width="9.625" style="62" bestFit="1" customWidth="1"/>
    <col min="5390" max="5391" width="8.25" style="62" bestFit="1" customWidth="1"/>
    <col min="5392" max="5392" width="11" style="62" bestFit="1" customWidth="1"/>
    <col min="5393" max="5393" width="8" style="62" bestFit="1" customWidth="1"/>
    <col min="5394" max="5394" width="7.75" style="62" bestFit="1" customWidth="1"/>
    <col min="5395" max="5396" width="9.625" style="62" bestFit="1" customWidth="1"/>
    <col min="5397" max="5398" width="9.625" style="62" customWidth="1"/>
    <col min="5399" max="5399" width="9.25" style="62" bestFit="1" customWidth="1"/>
    <col min="5400" max="5400" width="11" style="62" bestFit="1" customWidth="1"/>
    <col min="5401" max="5633" width="9" style="62"/>
    <col min="5634" max="5634" width="4.625" style="62" bestFit="1" customWidth="1"/>
    <col min="5635" max="5635" width="7.5" style="62" bestFit="1" customWidth="1"/>
    <col min="5636" max="5636" width="6.25" style="62" customWidth="1"/>
    <col min="5637" max="5637" width="11" style="62" bestFit="1" customWidth="1"/>
    <col min="5638" max="5639" width="9.625" style="62" bestFit="1" customWidth="1"/>
    <col min="5640" max="5640" width="8.25" style="62" bestFit="1" customWidth="1"/>
    <col min="5641" max="5642" width="9.625" style="62" bestFit="1" customWidth="1"/>
    <col min="5643" max="5643" width="8.25" style="62" bestFit="1" customWidth="1"/>
    <col min="5644" max="5645" width="9.625" style="62" bestFit="1" customWidth="1"/>
    <col min="5646" max="5647" width="8.25" style="62" bestFit="1" customWidth="1"/>
    <col min="5648" max="5648" width="11" style="62" bestFit="1" customWidth="1"/>
    <col min="5649" max="5649" width="8" style="62" bestFit="1" customWidth="1"/>
    <col min="5650" max="5650" width="7.75" style="62" bestFit="1" customWidth="1"/>
    <col min="5651" max="5652" width="9.625" style="62" bestFit="1" customWidth="1"/>
    <col min="5653" max="5654" width="9.625" style="62" customWidth="1"/>
    <col min="5655" max="5655" width="9.25" style="62" bestFit="1" customWidth="1"/>
    <col min="5656" max="5656" width="11" style="62" bestFit="1" customWidth="1"/>
    <col min="5657" max="5889" width="9" style="62"/>
    <col min="5890" max="5890" width="4.625" style="62" bestFit="1" customWidth="1"/>
    <col min="5891" max="5891" width="7.5" style="62" bestFit="1" customWidth="1"/>
    <col min="5892" max="5892" width="6.25" style="62" customWidth="1"/>
    <col min="5893" max="5893" width="11" style="62" bestFit="1" customWidth="1"/>
    <col min="5894" max="5895" width="9.625" style="62" bestFit="1" customWidth="1"/>
    <col min="5896" max="5896" width="8.25" style="62" bestFit="1" customWidth="1"/>
    <col min="5897" max="5898" width="9.625" style="62" bestFit="1" customWidth="1"/>
    <col min="5899" max="5899" width="8.25" style="62" bestFit="1" customWidth="1"/>
    <col min="5900" max="5901" width="9.625" style="62" bestFit="1" customWidth="1"/>
    <col min="5902" max="5903" width="8.25" style="62" bestFit="1" customWidth="1"/>
    <col min="5904" max="5904" width="11" style="62" bestFit="1" customWidth="1"/>
    <col min="5905" max="5905" width="8" style="62" bestFit="1" customWidth="1"/>
    <col min="5906" max="5906" width="7.75" style="62" bestFit="1" customWidth="1"/>
    <col min="5907" max="5908" width="9.625" style="62" bestFit="1" customWidth="1"/>
    <col min="5909" max="5910" width="9.625" style="62" customWidth="1"/>
    <col min="5911" max="5911" width="9.25" style="62" bestFit="1" customWidth="1"/>
    <col min="5912" max="5912" width="11" style="62" bestFit="1" customWidth="1"/>
    <col min="5913" max="6145" width="9" style="62"/>
    <col min="6146" max="6146" width="4.625" style="62" bestFit="1" customWidth="1"/>
    <col min="6147" max="6147" width="7.5" style="62" bestFit="1" customWidth="1"/>
    <col min="6148" max="6148" width="6.25" style="62" customWidth="1"/>
    <col min="6149" max="6149" width="11" style="62" bestFit="1" customWidth="1"/>
    <col min="6150" max="6151" width="9.625" style="62" bestFit="1" customWidth="1"/>
    <col min="6152" max="6152" width="8.25" style="62" bestFit="1" customWidth="1"/>
    <col min="6153" max="6154" width="9.625" style="62" bestFit="1" customWidth="1"/>
    <col min="6155" max="6155" width="8.25" style="62" bestFit="1" customWidth="1"/>
    <col min="6156" max="6157" width="9.625" style="62" bestFit="1" customWidth="1"/>
    <col min="6158" max="6159" width="8.25" style="62" bestFit="1" customWidth="1"/>
    <col min="6160" max="6160" width="11" style="62" bestFit="1" customWidth="1"/>
    <col min="6161" max="6161" width="8" style="62" bestFit="1" customWidth="1"/>
    <col min="6162" max="6162" width="7.75" style="62" bestFit="1" customWidth="1"/>
    <col min="6163" max="6164" width="9.625" style="62" bestFit="1" customWidth="1"/>
    <col min="6165" max="6166" width="9.625" style="62" customWidth="1"/>
    <col min="6167" max="6167" width="9.25" style="62" bestFit="1" customWidth="1"/>
    <col min="6168" max="6168" width="11" style="62" bestFit="1" customWidth="1"/>
    <col min="6169" max="6401" width="9" style="62"/>
    <col min="6402" max="6402" width="4.625" style="62" bestFit="1" customWidth="1"/>
    <col min="6403" max="6403" width="7.5" style="62" bestFit="1" customWidth="1"/>
    <col min="6404" max="6404" width="6.25" style="62" customWidth="1"/>
    <col min="6405" max="6405" width="11" style="62" bestFit="1" customWidth="1"/>
    <col min="6406" max="6407" width="9.625" style="62" bestFit="1" customWidth="1"/>
    <col min="6408" max="6408" width="8.25" style="62" bestFit="1" customWidth="1"/>
    <col min="6409" max="6410" width="9.625" style="62" bestFit="1" customWidth="1"/>
    <col min="6411" max="6411" width="8.25" style="62" bestFit="1" customWidth="1"/>
    <col min="6412" max="6413" width="9.625" style="62" bestFit="1" customWidth="1"/>
    <col min="6414" max="6415" width="8.25" style="62" bestFit="1" customWidth="1"/>
    <col min="6416" max="6416" width="11" style="62" bestFit="1" customWidth="1"/>
    <col min="6417" max="6417" width="8" style="62" bestFit="1" customWidth="1"/>
    <col min="6418" max="6418" width="7.75" style="62" bestFit="1" customWidth="1"/>
    <col min="6419" max="6420" width="9.625" style="62" bestFit="1" customWidth="1"/>
    <col min="6421" max="6422" width="9.625" style="62" customWidth="1"/>
    <col min="6423" max="6423" width="9.25" style="62" bestFit="1" customWidth="1"/>
    <col min="6424" max="6424" width="11" style="62" bestFit="1" customWidth="1"/>
    <col min="6425" max="6657" width="9" style="62"/>
    <col min="6658" max="6658" width="4.625" style="62" bestFit="1" customWidth="1"/>
    <col min="6659" max="6659" width="7.5" style="62" bestFit="1" customWidth="1"/>
    <col min="6660" max="6660" width="6.25" style="62" customWidth="1"/>
    <col min="6661" max="6661" width="11" style="62" bestFit="1" customWidth="1"/>
    <col min="6662" max="6663" width="9.625" style="62" bestFit="1" customWidth="1"/>
    <col min="6664" max="6664" width="8.25" style="62" bestFit="1" customWidth="1"/>
    <col min="6665" max="6666" width="9.625" style="62" bestFit="1" customWidth="1"/>
    <col min="6667" max="6667" width="8.25" style="62" bestFit="1" customWidth="1"/>
    <col min="6668" max="6669" width="9.625" style="62" bestFit="1" customWidth="1"/>
    <col min="6670" max="6671" width="8.25" style="62" bestFit="1" customWidth="1"/>
    <col min="6672" max="6672" width="11" style="62" bestFit="1" customWidth="1"/>
    <col min="6673" max="6673" width="8" style="62" bestFit="1" customWidth="1"/>
    <col min="6674" max="6674" width="7.75" style="62" bestFit="1" customWidth="1"/>
    <col min="6675" max="6676" width="9.625" style="62" bestFit="1" customWidth="1"/>
    <col min="6677" max="6678" width="9.625" style="62" customWidth="1"/>
    <col min="6679" max="6679" width="9.25" style="62" bestFit="1" customWidth="1"/>
    <col min="6680" max="6680" width="11" style="62" bestFit="1" customWidth="1"/>
    <col min="6681" max="6913" width="9" style="62"/>
    <col min="6914" max="6914" width="4.625" style="62" bestFit="1" customWidth="1"/>
    <col min="6915" max="6915" width="7.5" style="62" bestFit="1" customWidth="1"/>
    <col min="6916" max="6916" width="6.25" style="62" customWidth="1"/>
    <col min="6917" max="6917" width="11" style="62" bestFit="1" customWidth="1"/>
    <col min="6918" max="6919" width="9.625" style="62" bestFit="1" customWidth="1"/>
    <col min="6920" max="6920" width="8.25" style="62" bestFit="1" customWidth="1"/>
    <col min="6921" max="6922" width="9.625" style="62" bestFit="1" customWidth="1"/>
    <col min="6923" max="6923" width="8.25" style="62" bestFit="1" customWidth="1"/>
    <col min="6924" max="6925" width="9.625" style="62" bestFit="1" customWidth="1"/>
    <col min="6926" max="6927" width="8.25" style="62" bestFit="1" customWidth="1"/>
    <col min="6928" max="6928" width="11" style="62" bestFit="1" customWidth="1"/>
    <col min="6929" max="6929" width="8" style="62" bestFit="1" customWidth="1"/>
    <col min="6930" max="6930" width="7.75" style="62" bestFit="1" customWidth="1"/>
    <col min="6931" max="6932" width="9.625" style="62" bestFit="1" customWidth="1"/>
    <col min="6933" max="6934" width="9.625" style="62" customWidth="1"/>
    <col min="6935" max="6935" width="9.25" style="62" bestFit="1" customWidth="1"/>
    <col min="6936" max="6936" width="11" style="62" bestFit="1" customWidth="1"/>
    <col min="6937" max="7169" width="9" style="62"/>
    <col min="7170" max="7170" width="4.625" style="62" bestFit="1" customWidth="1"/>
    <col min="7171" max="7171" width="7.5" style="62" bestFit="1" customWidth="1"/>
    <col min="7172" max="7172" width="6.25" style="62" customWidth="1"/>
    <col min="7173" max="7173" width="11" style="62" bestFit="1" customWidth="1"/>
    <col min="7174" max="7175" width="9.625" style="62" bestFit="1" customWidth="1"/>
    <col min="7176" max="7176" width="8.25" style="62" bestFit="1" customWidth="1"/>
    <col min="7177" max="7178" width="9.625" style="62" bestFit="1" customWidth="1"/>
    <col min="7179" max="7179" width="8.25" style="62" bestFit="1" customWidth="1"/>
    <col min="7180" max="7181" width="9.625" style="62" bestFit="1" customWidth="1"/>
    <col min="7182" max="7183" width="8.25" style="62" bestFit="1" customWidth="1"/>
    <col min="7184" max="7184" width="11" style="62" bestFit="1" customWidth="1"/>
    <col min="7185" max="7185" width="8" style="62" bestFit="1" customWidth="1"/>
    <col min="7186" max="7186" width="7.75" style="62" bestFit="1" customWidth="1"/>
    <col min="7187" max="7188" width="9.625" style="62" bestFit="1" customWidth="1"/>
    <col min="7189" max="7190" width="9.625" style="62" customWidth="1"/>
    <col min="7191" max="7191" width="9.25" style="62" bestFit="1" customWidth="1"/>
    <col min="7192" max="7192" width="11" style="62" bestFit="1" customWidth="1"/>
    <col min="7193" max="7425" width="9" style="62"/>
    <col min="7426" max="7426" width="4.625" style="62" bestFit="1" customWidth="1"/>
    <col min="7427" max="7427" width="7.5" style="62" bestFit="1" customWidth="1"/>
    <col min="7428" max="7428" width="6.25" style="62" customWidth="1"/>
    <col min="7429" max="7429" width="11" style="62" bestFit="1" customWidth="1"/>
    <col min="7430" max="7431" width="9.625" style="62" bestFit="1" customWidth="1"/>
    <col min="7432" max="7432" width="8.25" style="62" bestFit="1" customWidth="1"/>
    <col min="7433" max="7434" width="9.625" style="62" bestFit="1" customWidth="1"/>
    <col min="7435" max="7435" width="8.25" style="62" bestFit="1" customWidth="1"/>
    <col min="7436" max="7437" width="9.625" style="62" bestFit="1" customWidth="1"/>
    <col min="7438" max="7439" width="8.25" style="62" bestFit="1" customWidth="1"/>
    <col min="7440" max="7440" width="11" style="62" bestFit="1" customWidth="1"/>
    <col min="7441" max="7441" width="8" style="62" bestFit="1" customWidth="1"/>
    <col min="7442" max="7442" width="7.75" style="62" bestFit="1" customWidth="1"/>
    <col min="7443" max="7444" width="9.625" style="62" bestFit="1" customWidth="1"/>
    <col min="7445" max="7446" width="9.625" style="62" customWidth="1"/>
    <col min="7447" max="7447" width="9.25" style="62" bestFit="1" customWidth="1"/>
    <col min="7448" max="7448" width="11" style="62" bestFit="1" customWidth="1"/>
    <col min="7449" max="7681" width="9" style="62"/>
    <col min="7682" max="7682" width="4.625" style="62" bestFit="1" customWidth="1"/>
    <col min="7683" max="7683" width="7.5" style="62" bestFit="1" customWidth="1"/>
    <col min="7684" max="7684" width="6.25" style="62" customWidth="1"/>
    <col min="7685" max="7685" width="11" style="62" bestFit="1" customWidth="1"/>
    <col min="7686" max="7687" width="9.625" style="62" bestFit="1" customWidth="1"/>
    <col min="7688" max="7688" width="8.25" style="62" bestFit="1" customWidth="1"/>
    <col min="7689" max="7690" width="9.625" style="62" bestFit="1" customWidth="1"/>
    <col min="7691" max="7691" width="8.25" style="62" bestFit="1" customWidth="1"/>
    <col min="7692" max="7693" width="9.625" style="62" bestFit="1" customWidth="1"/>
    <col min="7694" max="7695" width="8.25" style="62" bestFit="1" customWidth="1"/>
    <col min="7696" max="7696" width="11" style="62" bestFit="1" customWidth="1"/>
    <col min="7697" max="7697" width="8" style="62" bestFit="1" customWidth="1"/>
    <col min="7698" max="7698" width="7.75" style="62" bestFit="1" customWidth="1"/>
    <col min="7699" max="7700" width="9.625" style="62" bestFit="1" customWidth="1"/>
    <col min="7701" max="7702" width="9.625" style="62" customWidth="1"/>
    <col min="7703" max="7703" width="9.25" style="62" bestFit="1" customWidth="1"/>
    <col min="7704" max="7704" width="11" style="62" bestFit="1" customWidth="1"/>
    <col min="7705" max="7937" width="9" style="62"/>
    <col min="7938" max="7938" width="4.625" style="62" bestFit="1" customWidth="1"/>
    <col min="7939" max="7939" width="7.5" style="62" bestFit="1" customWidth="1"/>
    <col min="7940" max="7940" width="6.25" style="62" customWidth="1"/>
    <col min="7941" max="7941" width="11" style="62" bestFit="1" customWidth="1"/>
    <col min="7942" max="7943" width="9.625" style="62" bestFit="1" customWidth="1"/>
    <col min="7944" max="7944" width="8.25" style="62" bestFit="1" customWidth="1"/>
    <col min="7945" max="7946" width="9.625" style="62" bestFit="1" customWidth="1"/>
    <col min="7947" max="7947" width="8.25" style="62" bestFit="1" customWidth="1"/>
    <col min="7948" max="7949" width="9.625" style="62" bestFit="1" customWidth="1"/>
    <col min="7950" max="7951" width="8.25" style="62" bestFit="1" customWidth="1"/>
    <col min="7952" max="7952" width="11" style="62" bestFit="1" customWidth="1"/>
    <col min="7953" max="7953" width="8" style="62" bestFit="1" customWidth="1"/>
    <col min="7954" max="7954" width="7.75" style="62" bestFit="1" customWidth="1"/>
    <col min="7955" max="7956" width="9.625" style="62" bestFit="1" customWidth="1"/>
    <col min="7957" max="7958" width="9.625" style="62" customWidth="1"/>
    <col min="7959" max="7959" width="9.25" style="62" bestFit="1" customWidth="1"/>
    <col min="7960" max="7960" width="11" style="62" bestFit="1" customWidth="1"/>
    <col min="7961" max="8193" width="9" style="62"/>
    <col min="8194" max="8194" width="4.625" style="62" bestFit="1" customWidth="1"/>
    <col min="8195" max="8195" width="7.5" style="62" bestFit="1" customWidth="1"/>
    <col min="8196" max="8196" width="6.25" style="62" customWidth="1"/>
    <col min="8197" max="8197" width="11" style="62" bestFit="1" customWidth="1"/>
    <col min="8198" max="8199" width="9.625" style="62" bestFit="1" customWidth="1"/>
    <col min="8200" max="8200" width="8.25" style="62" bestFit="1" customWidth="1"/>
    <col min="8201" max="8202" width="9.625" style="62" bestFit="1" customWidth="1"/>
    <col min="8203" max="8203" width="8.25" style="62" bestFit="1" customWidth="1"/>
    <col min="8204" max="8205" width="9.625" style="62" bestFit="1" customWidth="1"/>
    <col min="8206" max="8207" width="8.25" style="62" bestFit="1" customWidth="1"/>
    <col min="8208" max="8208" width="11" style="62" bestFit="1" customWidth="1"/>
    <col min="8209" max="8209" width="8" style="62" bestFit="1" customWidth="1"/>
    <col min="8210" max="8210" width="7.75" style="62" bestFit="1" customWidth="1"/>
    <col min="8211" max="8212" width="9.625" style="62" bestFit="1" customWidth="1"/>
    <col min="8213" max="8214" width="9.625" style="62" customWidth="1"/>
    <col min="8215" max="8215" width="9.25" style="62" bestFit="1" customWidth="1"/>
    <col min="8216" max="8216" width="11" style="62" bestFit="1" customWidth="1"/>
    <col min="8217" max="8449" width="9" style="62"/>
    <col min="8450" max="8450" width="4.625" style="62" bestFit="1" customWidth="1"/>
    <col min="8451" max="8451" width="7.5" style="62" bestFit="1" customWidth="1"/>
    <col min="8452" max="8452" width="6.25" style="62" customWidth="1"/>
    <col min="8453" max="8453" width="11" style="62" bestFit="1" customWidth="1"/>
    <col min="8454" max="8455" width="9.625" style="62" bestFit="1" customWidth="1"/>
    <col min="8456" max="8456" width="8.25" style="62" bestFit="1" customWidth="1"/>
    <col min="8457" max="8458" width="9.625" style="62" bestFit="1" customWidth="1"/>
    <col min="8459" max="8459" width="8.25" style="62" bestFit="1" customWidth="1"/>
    <col min="8460" max="8461" width="9.625" style="62" bestFit="1" customWidth="1"/>
    <col min="8462" max="8463" width="8.25" style="62" bestFit="1" customWidth="1"/>
    <col min="8464" max="8464" width="11" style="62" bestFit="1" customWidth="1"/>
    <col min="8465" max="8465" width="8" style="62" bestFit="1" customWidth="1"/>
    <col min="8466" max="8466" width="7.75" style="62" bestFit="1" customWidth="1"/>
    <col min="8467" max="8468" width="9.625" style="62" bestFit="1" customWidth="1"/>
    <col min="8469" max="8470" width="9.625" style="62" customWidth="1"/>
    <col min="8471" max="8471" width="9.25" style="62" bestFit="1" customWidth="1"/>
    <col min="8472" max="8472" width="11" style="62" bestFit="1" customWidth="1"/>
    <col min="8473" max="8705" width="9" style="62"/>
    <col min="8706" max="8706" width="4.625" style="62" bestFit="1" customWidth="1"/>
    <col min="8707" max="8707" width="7.5" style="62" bestFit="1" customWidth="1"/>
    <col min="8708" max="8708" width="6.25" style="62" customWidth="1"/>
    <col min="8709" max="8709" width="11" style="62" bestFit="1" customWidth="1"/>
    <col min="8710" max="8711" width="9.625" style="62" bestFit="1" customWidth="1"/>
    <col min="8712" max="8712" width="8.25" style="62" bestFit="1" customWidth="1"/>
    <col min="8713" max="8714" width="9.625" style="62" bestFit="1" customWidth="1"/>
    <col min="8715" max="8715" width="8.25" style="62" bestFit="1" customWidth="1"/>
    <col min="8716" max="8717" width="9.625" style="62" bestFit="1" customWidth="1"/>
    <col min="8718" max="8719" width="8.25" style="62" bestFit="1" customWidth="1"/>
    <col min="8720" max="8720" width="11" style="62" bestFit="1" customWidth="1"/>
    <col min="8721" max="8721" width="8" style="62" bestFit="1" customWidth="1"/>
    <col min="8722" max="8722" width="7.75" style="62" bestFit="1" customWidth="1"/>
    <col min="8723" max="8724" width="9.625" style="62" bestFit="1" customWidth="1"/>
    <col min="8725" max="8726" width="9.625" style="62" customWidth="1"/>
    <col min="8727" max="8727" width="9.25" style="62" bestFit="1" customWidth="1"/>
    <col min="8728" max="8728" width="11" style="62" bestFit="1" customWidth="1"/>
    <col min="8729" max="8961" width="9" style="62"/>
    <col min="8962" max="8962" width="4.625" style="62" bestFit="1" customWidth="1"/>
    <col min="8963" max="8963" width="7.5" style="62" bestFit="1" customWidth="1"/>
    <col min="8964" max="8964" width="6.25" style="62" customWidth="1"/>
    <col min="8965" max="8965" width="11" style="62" bestFit="1" customWidth="1"/>
    <col min="8966" max="8967" width="9.625" style="62" bestFit="1" customWidth="1"/>
    <col min="8968" max="8968" width="8.25" style="62" bestFit="1" customWidth="1"/>
    <col min="8969" max="8970" width="9.625" style="62" bestFit="1" customWidth="1"/>
    <col min="8971" max="8971" width="8.25" style="62" bestFit="1" customWidth="1"/>
    <col min="8972" max="8973" width="9.625" style="62" bestFit="1" customWidth="1"/>
    <col min="8974" max="8975" width="8.25" style="62" bestFit="1" customWidth="1"/>
    <col min="8976" max="8976" width="11" style="62" bestFit="1" customWidth="1"/>
    <col min="8977" max="8977" width="8" style="62" bestFit="1" customWidth="1"/>
    <col min="8978" max="8978" width="7.75" style="62" bestFit="1" customWidth="1"/>
    <col min="8979" max="8980" width="9.625" style="62" bestFit="1" customWidth="1"/>
    <col min="8981" max="8982" width="9.625" style="62" customWidth="1"/>
    <col min="8983" max="8983" width="9.25" style="62" bestFit="1" customWidth="1"/>
    <col min="8984" max="8984" width="11" style="62" bestFit="1" customWidth="1"/>
    <col min="8985" max="9217" width="9" style="62"/>
    <col min="9218" max="9218" width="4.625" style="62" bestFit="1" customWidth="1"/>
    <col min="9219" max="9219" width="7.5" style="62" bestFit="1" customWidth="1"/>
    <col min="9220" max="9220" width="6.25" style="62" customWidth="1"/>
    <col min="9221" max="9221" width="11" style="62" bestFit="1" customWidth="1"/>
    <col min="9222" max="9223" width="9.625" style="62" bestFit="1" customWidth="1"/>
    <col min="9224" max="9224" width="8.25" style="62" bestFit="1" customWidth="1"/>
    <col min="9225" max="9226" width="9.625" style="62" bestFit="1" customWidth="1"/>
    <col min="9227" max="9227" width="8.25" style="62" bestFit="1" customWidth="1"/>
    <col min="9228" max="9229" width="9.625" style="62" bestFit="1" customWidth="1"/>
    <col min="9230" max="9231" width="8.25" style="62" bestFit="1" customWidth="1"/>
    <col min="9232" max="9232" width="11" style="62" bestFit="1" customWidth="1"/>
    <col min="9233" max="9233" width="8" style="62" bestFit="1" customWidth="1"/>
    <col min="9234" max="9234" width="7.75" style="62" bestFit="1" customWidth="1"/>
    <col min="9235" max="9236" width="9.625" style="62" bestFit="1" customWidth="1"/>
    <col min="9237" max="9238" width="9.625" style="62" customWidth="1"/>
    <col min="9239" max="9239" width="9.25" style="62" bestFit="1" customWidth="1"/>
    <col min="9240" max="9240" width="11" style="62" bestFit="1" customWidth="1"/>
    <col min="9241" max="9473" width="9" style="62"/>
    <col min="9474" max="9474" width="4.625" style="62" bestFit="1" customWidth="1"/>
    <col min="9475" max="9475" width="7.5" style="62" bestFit="1" customWidth="1"/>
    <col min="9476" max="9476" width="6.25" style="62" customWidth="1"/>
    <col min="9477" max="9477" width="11" style="62" bestFit="1" customWidth="1"/>
    <col min="9478" max="9479" width="9.625" style="62" bestFit="1" customWidth="1"/>
    <col min="9480" max="9480" width="8.25" style="62" bestFit="1" customWidth="1"/>
    <col min="9481" max="9482" width="9.625" style="62" bestFit="1" customWidth="1"/>
    <col min="9483" max="9483" width="8.25" style="62" bestFit="1" customWidth="1"/>
    <col min="9484" max="9485" width="9.625" style="62" bestFit="1" customWidth="1"/>
    <col min="9486" max="9487" width="8.25" style="62" bestFit="1" customWidth="1"/>
    <col min="9488" max="9488" width="11" style="62" bestFit="1" customWidth="1"/>
    <col min="9489" max="9489" width="8" style="62" bestFit="1" customWidth="1"/>
    <col min="9490" max="9490" width="7.75" style="62" bestFit="1" customWidth="1"/>
    <col min="9491" max="9492" width="9.625" style="62" bestFit="1" customWidth="1"/>
    <col min="9493" max="9494" width="9.625" style="62" customWidth="1"/>
    <col min="9495" max="9495" width="9.25" style="62" bestFit="1" customWidth="1"/>
    <col min="9496" max="9496" width="11" style="62" bestFit="1" customWidth="1"/>
    <col min="9497" max="9729" width="9" style="62"/>
    <col min="9730" max="9730" width="4.625" style="62" bestFit="1" customWidth="1"/>
    <col min="9731" max="9731" width="7.5" style="62" bestFit="1" customWidth="1"/>
    <col min="9732" max="9732" width="6.25" style="62" customWidth="1"/>
    <col min="9733" max="9733" width="11" style="62" bestFit="1" customWidth="1"/>
    <col min="9734" max="9735" width="9.625" style="62" bestFit="1" customWidth="1"/>
    <col min="9736" max="9736" width="8.25" style="62" bestFit="1" customWidth="1"/>
    <col min="9737" max="9738" width="9.625" style="62" bestFit="1" customWidth="1"/>
    <col min="9739" max="9739" width="8.25" style="62" bestFit="1" customWidth="1"/>
    <col min="9740" max="9741" width="9.625" style="62" bestFit="1" customWidth="1"/>
    <col min="9742" max="9743" width="8.25" style="62" bestFit="1" customWidth="1"/>
    <col min="9744" max="9744" width="11" style="62" bestFit="1" customWidth="1"/>
    <col min="9745" max="9745" width="8" style="62" bestFit="1" customWidth="1"/>
    <col min="9746" max="9746" width="7.75" style="62" bestFit="1" customWidth="1"/>
    <col min="9747" max="9748" width="9.625" style="62" bestFit="1" customWidth="1"/>
    <col min="9749" max="9750" width="9.625" style="62" customWidth="1"/>
    <col min="9751" max="9751" width="9.25" style="62" bestFit="1" customWidth="1"/>
    <col min="9752" max="9752" width="11" style="62" bestFit="1" customWidth="1"/>
    <col min="9753" max="9985" width="9" style="62"/>
    <col min="9986" max="9986" width="4.625" style="62" bestFit="1" customWidth="1"/>
    <col min="9987" max="9987" width="7.5" style="62" bestFit="1" customWidth="1"/>
    <col min="9988" max="9988" width="6.25" style="62" customWidth="1"/>
    <col min="9989" max="9989" width="11" style="62" bestFit="1" customWidth="1"/>
    <col min="9990" max="9991" width="9.625" style="62" bestFit="1" customWidth="1"/>
    <col min="9992" max="9992" width="8.25" style="62" bestFit="1" customWidth="1"/>
    <col min="9993" max="9994" width="9.625" style="62" bestFit="1" customWidth="1"/>
    <col min="9995" max="9995" width="8.25" style="62" bestFit="1" customWidth="1"/>
    <col min="9996" max="9997" width="9.625" style="62" bestFit="1" customWidth="1"/>
    <col min="9998" max="9999" width="8.25" style="62" bestFit="1" customWidth="1"/>
    <col min="10000" max="10000" width="11" style="62" bestFit="1" customWidth="1"/>
    <col min="10001" max="10001" width="8" style="62" bestFit="1" customWidth="1"/>
    <col min="10002" max="10002" width="7.75" style="62" bestFit="1" customWidth="1"/>
    <col min="10003" max="10004" width="9.625" style="62" bestFit="1" customWidth="1"/>
    <col min="10005" max="10006" width="9.625" style="62" customWidth="1"/>
    <col min="10007" max="10007" width="9.25" style="62" bestFit="1" customWidth="1"/>
    <col min="10008" max="10008" width="11" style="62" bestFit="1" customWidth="1"/>
    <col min="10009" max="10241" width="9" style="62"/>
    <col min="10242" max="10242" width="4.625" style="62" bestFit="1" customWidth="1"/>
    <col min="10243" max="10243" width="7.5" style="62" bestFit="1" customWidth="1"/>
    <col min="10244" max="10244" width="6.25" style="62" customWidth="1"/>
    <col min="10245" max="10245" width="11" style="62" bestFit="1" customWidth="1"/>
    <col min="10246" max="10247" width="9.625" style="62" bestFit="1" customWidth="1"/>
    <col min="10248" max="10248" width="8.25" style="62" bestFit="1" customWidth="1"/>
    <col min="10249" max="10250" width="9.625" style="62" bestFit="1" customWidth="1"/>
    <col min="10251" max="10251" width="8.25" style="62" bestFit="1" customWidth="1"/>
    <col min="10252" max="10253" width="9.625" style="62" bestFit="1" customWidth="1"/>
    <col min="10254" max="10255" width="8.25" style="62" bestFit="1" customWidth="1"/>
    <col min="10256" max="10256" width="11" style="62" bestFit="1" customWidth="1"/>
    <col min="10257" max="10257" width="8" style="62" bestFit="1" customWidth="1"/>
    <col min="10258" max="10258" width="7.75" style="62" bestFit="1" customWidth="1"/>
    <col min="10259" max="10260" width="9.625" style="62" bestFit="1" customWidth="1"/>
    <col min="10261" max="10262" width="9.625" style="62" customWidth="1"/>
    <col min="10263" max="10263" width="9.25" style="62" bestFit="1" customWidth="1"/>
    <col min="10264" max="10264" width="11" style="62" bestFit="1" customWidth="1"/>
    <col min="10265" max="10497" width="9" style="62"/>
    <col min="10498" max="10498" width="4.625" style="62" bestFit="1" customWidth="1"/>
    <col min="10499" max="10499" width="7.5" style="62" bestFit="1" customWidth="1"/>
    <col min="10500" max="10500" width="6.25" style="62" customWidth="1"/>
    <col min="10501" max="10501" width="11" style="62" bestFit="1" customWidth="1"/>
    <col min="10502" max="10503" width="9.625" style="62" bestFit="1" customWidth="1"/>
    <col min="10504" max="10504" width="8.25" style="62" bestFit="1" customWidth="1"/>
    <col min="10505" max="10506" width="9.625" style="62" bestFit="1" customWidth="1"/>
    <col min="10507" max="10507" width="8.25" style="62" bestFit="1" customWidth="1"/>
    <col min="10508" max="10509" width="9.625" style="62" bestFit="1" customWidth="1"/>
    <col min="10510" max="10511" width="8.25" style="62" bestFit="1" customWidth="1"/>
    <col min="10512" max="10512" width="11" style="62" bestFit="1" customWidth="1"/>
    <col min="10513" max="10513" width="8" style="62" bestFit="1" customWidth="1"/>
    <col min="10514" max="10514" width="7.75" style="62" bestFit="1" customWidth="1"/>
    <col min="10515" max="10516" width="9.625" style="62" bestFit="1" customWidth="1"/>
    <col min="10517" max="10518" width="9.625" style="62" customWidth="1"/>
    <col min="10519" max="10519" width="9.25" style="62" bestFit="1" customWidth="1"/>
    <col min="10520" max="10520" width="11" style="62" bestFit="1" customWidth="1"/>
    <col min="10521" max="10753" width="9" style="62"/>
    <col min="10754" max="10754" width="4.625" style="62" bestFit="1" customWidth="1"/>
    <col min="10755" max="10755" width="7.5" style="62" bestFit="1" customWidth="1"/>
    <col min="10756" max="10756" width="6.25" style="62" customWidth="1"/>
    <col min="10757" max="10757" width="11" style="62" bestFit="1" customWidth="1"/>
    <col min="10758" max="10759" width="9.625" style="62" bestFit="1" customWidth="1"/>
    <col min="10760" max="10760" width="8.25" style="62" bestFit="1" customWidth="1"/>
    <col min="10761" max="10762" width="9.625" style="62" bestFit="1" customWidth="1"/>
    <col min="10763" max="10763" width="8.25" style="62" bestFit="1" customWidth="1"/>
    <col min="10764" max="10765" width="9.625" style="62" bestFit="1" customWidth="1"/>
    <col min="10766" max="10767" width="8.25" style="62" bestFit="1" customWidth="1"/>
    <col min="10768" max="10768" width="11" style="62" bestFit="1" customWidth="1"/>
    <col min="10769" max="10769" width="8" style="62" bestFit="1" customWidth="1"/>
    <col min="10770" max="10770" width="7.75" style="62" bestFit="1" customWidth="1"/>
    <col min="10771" max="10772" width="9.625" style="62" bestFit="1" customWidth="1"/>
    <col min="10773" max="10774" width="9.625" style="62" customWidth="1"/>
    <col min="10775" max="10775" width="9.25" style="62" bestFit="1" customWidth="1"/>
    <col min="10776" max="10776" width="11" style="62" bestFit="1" customWidth="1"/>
    <col min="10777" max="11009" width="9" style="62"/>
    <col min="11010" max="11010" width="4.625" style="62" bestFit="1" customWidth="1"/>
    <col min="11011" max="11011" width="7.5" style="62" bestFit="1" customWidth="1"/>
    <col min="11012" max="11012" width="6.25" style="62" customWidth="1"/>
    <col min="11013" max="11013" width="11" style="62" bestFit="1" customWidth="1"/>
    <col min="11014" max="11015" width="9.625" style="62" bestFit="1" customWidth="1"/>
    <col min="11016" max="11016" width="8.25" style="62" bestFit="1" customWidth="1"/>
    <col min="11017" max="11018" width="9.625" style="62" bestFit="1" customWidth="1"/>
    <col min="11019" max="11019" width="8.25" style="62" bestFit="1" customWidth="1"/>
    <col min="11020" max="11021" width="9.625" style="62" bestFit="1" customWidth="1"/>
    <col min="11022" max="11023" width="8.25" style="62" bestFit="1" customWidth="1"/>
    <col min="11024" max="11024" width="11" style="62" bestFit="1" customWidth="1"/>
    <col min="11025" max="11025" width="8" style="62" bestFit="1" customWidth="1"/>
    <col min="11026" max="11026" width="7.75" style="62" bestFit="1" customWidth="1"/>
    <col min="11027" max="11028" width="9.625" style="62" bestFit="1" customWidth="1"/>
    <col min="11029" max="11030" width="9.625" style="62" customWidth="1"/>
    <col min="11031" max="11031" width="9.25" style="62" bestFit="1" customWidth="1"/>
    <col min="11032" max="11032" width="11" style="62" bestFit="1" customWidth="1"/>
    <col min="11033" max="11265" width="9" style="62"/>
    <col min="11266" max="11266" width="4.625" style="62" bestFit="1" customWidth="1"/>
    <col min="11267" max="11267" width="7.5" style="62" bestFit="1" customWidth="1"/>
    <col min="11268" max="11268" width="6.25" style="62" customWidth="1"/>
    <col min="11269" max="11269" width="11" style="62" bestFit="1" customWidth="1"/>
    <col min="11270" max="11271" width="9.625" style="62" bestFit="1" customWidth="1"/>
    <col min="11272" max="11272" width="8.25" style="62" bestFit="1" customWidth="1"/>
    <col min="11273" max="11274" width="9.625" style="62" bestFit="1" customWidth="1"/>
    <col min="11275" max="11275" width="8.25" style="62" bestFit="1" customWidth="1"/>
    <col min="11276" max="11277" width="9.625" style="62" bestFit="1" customWidth="1"/>
    <col min="11278" max="11279" width="8.25" style="62" bestFit="1" customWidth="1"/>
    <col min="11280" max="11280" width="11" style="62" bestFit="1" customWidth="1"/>
    <col min="11281" max="11281" width="8" style="62" bestFit="1" customWidth="1"/>
    <col min="11282" max="11282" width="7.75" style="62" bestFit="1" customWidth="1"/>
    <col min="11283" max="11284" width="9.625" style="62" bestFit="1" customWidth="1"/>
    <col min="11285" max="11286" width="9.625" style="62" customWidth="1"/>
    <col min="11287" max="11287" width="9.25" style="62" bestFit="1" customWidth="1"/>
    <col min="11288" max="11288" width="11" style="62" bestFit="1" customWidth="1"/>
    <col min="11289" max="11521" width="9" style="62"/>
    <col min="11522" max="11522" width="4.625" style="62" bestFit="1" customWidth="1"/>
    <col min="11523" max="11523" width="7.5" style="62" bestFit="1" customWidth="1"/>
    <col min="11524" max="11524" width="6.25" style="62" customWidth="1"/>
    <col min="11525" max="11525" width="11" style="62" bestFit="1" customWidth="1"/>
    <col min="11526" max="11527" width="9.625" style="62" bestFit="1" customWidth="1"/>
    <col min="11528" max="11528" width="8.25" style="62" bestFit="1" customWidth="1"/>
    <col min="11529" max="11530" width="9.625" style="62" bestFit="1" customWidth="1"/>
    <col min="11531" max="11531" width="8.25" style="62" bestFit="1" customWidth="1"/>
    <col min="11532" max="11533" width="9.625" style="62" bestFit="1" customWidth="1"/>
    <col min="11534" max="11535" width="8.25" style="62" bestFit="1" customWidth="1"/>
    <col min="11536" max="11536" width="11" style="62" bestFit="1" customWidth="1"/>
    <col min="11537" max="11537" width="8" style="62" bestFit="1" customWidth="1"/>
    <col min="11538" max="11538" width="7.75" style="62" bestFit="1" customWidth="1"/>
    <col min="11539" max="11540" width="9.625" style="62" bestFit="1" customWidth="1"/>
    <col min="11541" max="11542" width="9.625" style="62" customWidth="1"/>
    <col min="11543" max="11543" width="9.25" style="62" bestFit="1" customWidth="1"/>
    <col min="11544" max="11544" width="11" style="62" bestFit="1" customWidth="1"/>
    <col min="11545" max="11777" width="9" style="62"/>
    <col min="11778" max="11778" width="4.625" style="62" bestFit="1" customWidth="1"/>
    <col min="11779" max="11779" width="7.5" style="62" bestFit="1" customWidth="1"/>
    <col min="11780" max="11780" width="6.25" style="62" customWidth="1"/>
    <col min="11781" max="11781" width="11" style="62" bestFit="1" customWidth="1"/>
    <col min="11782" max="11783" width="9.625" style="62" bestFit="1" customWidth="1"/>
    <col min="11784" max="11784" width="8.25" style="62" bestFit="1" customWidth="1"/>
    <col min="11785" max="11786" width="9.625" style="62" bestFit="1" customWidth="1"/>
    <col min="11787" max="11787" width="8.25" style="62" bestFit="1" customWidth="1"/>
    <col min="11788" max="11789" width="9.625" style="62" bestFit="1" customWidth="1"/>
    <col min="11790" max="11791" width="8.25" style="62" bestFit="1" customWidth="1"/>
    <col min="11792" max="11792" width="11" style="62" bestFit="1" customWidth="1"/>
    <col min="11793" max="11793" width="8" style="62" bestFit="1" customWidth="1"/>
    <col min="11794" max="11794" width="7.75" style="62" bestFit="1" customWidth="1"/>
    <col min="11795" max="11796" width="9.625" style="62" bestFit="1" customWidth="1"/>
    <col min="11797" max="11798" width="9.625" style="62" customWidth="1"/>
    <col min="11799" max="11799" width="9.25" style="62" bestFit="1" customWidth="1"/>
    <col min="11800" max="11800" width="11" style="62" bestFit="1" customWidth="1"/>
    <col min="11801" max="12033" width="9" style="62"/>
    <col min="12034" max="12034" width="4.625" style="62" bestFit="1" customWidth="1"/>
    <col min="12035" max="12035" width="7.5" style="62" bestFit="1" customWidth="1"/>
    <col min="12036" max="12036" width="6.25" style="62" customWidth="1"/>
    <col min="12037" max="12037" width="11" style="62" bestFit="1" customWidth="1"/>
    <col min="12038" max="12039" width="9.625" style="62" bestFit="1" customWidth="1"/>
    <col min="12040" max="12040" width="8.25" style="62" bestFit="1" customWidth="1"/>
    <col min="12041" max="12042" width="9.625" style="62" bestFit="1" customWidth="1"/>
    <col min="12043" max="12043" width="8.25" style="62" bestFit="1" customWidth="1"/>
    <col min="12044" max="12045" width="9.625" style="62" bestFit="1" customWidth="1"/>
    <col min="12046" max="12047" width="8.25" style="62" bestFit="1" customWidth="1"/>
    <col min="12048" max="12048" width="11" style="62" bestFit="1" customWidth="1"/>
    <col min="12049" max="12049" width="8" style="62" bestFit="1" customWidth="1"/>
    <col min="12050" max="12050" width="7.75" style="62" bestFit="1" customWidth="1"/>
    <col min="12051" max="12052" width="9.625" style="62" bestFit="1" customWidth="1"/>
    <col min="12053" max="12054" width="9.625" style="62" customWidth="1"/>
    <col min="12055" max="12055" width="9.25" style="62" bestFit="1" customWidth="1"/>
    <col min="12056" max="12056" width="11" style="62" bestFit="1" customWidth="1"/>
    <col min="12057" max="12289" width="9" style="62"/>
    <col min="12290" max="12290" width="4.625" style="62" bestFit="1" customWidth="1"/>
    <col min="12291" max="12291" width="7.5" style="62" bestFit="1" customWidth="1"/>
    <col min="12292" max="12292" width="6.25" style="62" customWidth="1"/>
    <col min="12293" max="12293" width="11" style="62" bestFit="1" customWidth="1"/>
    <col min="12294" max="12295" width="9.625" style="62" bestFit="1" customWidth="1"/>
    <col min="12296" max="12296" width="8.25" style="62" bestFit="1" customWidth="1"/>
    <col min="12297" max="12298" width="9.625" style="62" bestFit="1" customWidth="1"/>
    <col min="12299" max="12299" width="8.25" style="62" bestFit="1" customWidth="1"/>
    <col min="12300" max="12301" width="9.625" style="62" bestFit="1" customWidth="1"/>
    <col min="12302" max="12303" width="8.25" style="62" bestFit="1" customWidth="1"/>
    <col min="12304" max="12304" width="11" style="62" bestFit="1" customWidth="1"/>
    <col min="12305" max="12305" width="8" style="62" bestFit="1" customWidth="1"/>
    <col min="12306" max="12306" width="7.75" style="62" bestFit="1" customWidth="1"/>
    <col min="12307" max="12308" width="9.625" style="62" bestFit="1" customWidth="1"/>
    <col min="12309" max="12310" width="9.625" style="62" customWidth="1"/>
    <col min="12311" max="12311" width="9.25" style="62" bestFit="1" customWidth="1"/>
    <col min="12312" max="12312" width="11" style="62" bestFit="1" customWidth="1"/>
    <col min="12313" max="12545" width="9" style="62"/>
    <col min="12546" max="12546" width="4.625" style="62" bestFit="1" customWidth="1"/>
    <col min="12547" max="12547" width="7.5" style="62" bestFit="1" customWidth="1"/>
    <col min="12548" max="12548" width="6.25" style="62" customWidth="1"/>
    <col min="12549" max="12549" width="11" style="62" bestFit="1" customWidth="1"/>
    <col min="12550" max="12551" width="9.625" style="62" bestFit="1" customWidth="1"/>
    <col min="12552" max="12552" width="8.25" style="62" bestFit="1" customWidth="1"/>
    <col min="12553" max="12554" width="9.625" style="62" bestFit="1" customWidth="1"/>
    <col min="12555" max="12555" width="8.25" style="62" bestFit="1" customWidth="1"/>
    <col min="12556" max="12557" width="9.625" style="62" bestFit="1" customWidth="1"/>
    <col min="12558" max="12559" width="8.25" style="62" bestFit="1" customWidth="1"/>
    <col min="12560" max="12560" width="11" style="62" bestFit="1" customWidth="1"/>
    <col min="12561" max="12561" width="8" style="62" bestFit="1" customWidth="1"/>
    <col min="12562" max="12562" width="7.75" style="62" bestFit="1" customWidth="1"/>
    <col min="12563" max="12564" width="9.625" style="62" bestFit="1" customWidth="1"/>
    <col min="12565" max="12566" width="9.625" style="62" customWidth="1"/>
    <col min="12567" max="12567" width="9.25" style="62" bestFit="1" customWidth="1"/>
    <col min="12568" max="12568" width="11" style="62" bestFit="1" customWidth="1"/>
    <col min="12569" max="12801" width="9" style="62"/>
    <col min="12802" max="12802" width="4.625" style="62" bestFit="1" customWidth="1"/>
    <col min="12803" max="12803" width="7.5" style="62" bestFit="1" customWidth="1"/>
    <col min="12804" max="12804" width="6.25" style="62" customWidth="1"/>
    <col min="12805" max="12805" width="11" style="62" bestFit="1" customWidth="1"/>
    <col min="12806" max="12807" width="9.625" style="62" bestFit="1" customWidth="1"/>
    <col min="12808" max="12808" width="8.25" style="62" bestFit="1" customWidth="1"/>
    <col min="12809" max="12810" width="9.625" style="62" bestFit="1" customWidth="1"/>
    <col min="12811" max="12811" width="8.25" style="62" bestFit="1" customWidth="1"/>
    <col min="12812" max="12813" width="9.625" style="62" bestFit="1" customWidth="1"/>
    <col min="12814" max="12815" width="8.25" style="62" bestFit="1" customWidth="1"/>
    <col min="12816" max="12816" width="11" style="62" bestFit="1" customWidth="1"/>
    <col min="12817" max="12817" width="8" style="62" bestFit="1" customWidth="1"/>
    <col min="12818" max="12818" width="7.75" style="62" bestFit="1" customWidth="1"/>
    <col min="12819" max="12820" width="9.625" style="62" bestFit="1" customWidth="1"/>
    <col min="12821" max="12822" width="9.625" style="62" customWidth="1"/>
    <col min="12823" max="12823" width="9.25" style="62" bestFit="1" customWidth="1"/>
    <col min="12824" max="12824" width="11" style="62" bestFit="1" customWidth="1"/>
    <col min="12825" max="13057" width="9" style="62"/>
    <col min="13058" max="13058" width="4.625" style="62" bestFit="1" customWidth="1"/>
    <col min="13059" max="13059" width="7.5" style="62" bestFit="1" customWidth="1"/>
    <col min="13060" max="13060" width="6.25" style="62" customWidth="1"/>
    <col min="13061" max="13061" width="11" style="62" bestFit="1" customWidth="1"/>
    <col min="13062" max="13063" width="9.625" style="62" bestFit="1" customWidth="1"/>
    <col min="13064" max="13064" width="8.25" style="62" bestFit="1" customWidth="1"/>
    <col min="13065" max="13066" width="9.625" style="62" bestFit="1" customWidth="1"/>
    <col min="13067" max="13067" width="8.25" style="62" bestFit="1" customWidth="1"/>
    <col min="13068" max="13069" width="9.625" style="62" bestFit="1" customWidth="1"/>
    <col min="13070" max="13071" width="8.25" style="62" bestFit="1" customWidth="1"/>
    <col min="13072" max="13072" width="11" style="62" bestFit="1" customWidth="1"/>
    <col min="13073" max="13073" width="8" style="62" bestFit="1" customWidth="1"/>
    <col min="13074" max="13074" width="7.75" style="62" bestFit="1" customWidth="1"/>
    <col min="13075" max="13076" width="9.625" style="62" bestFit="1" customWidth="1"/>
    <col min="13077" max="13078" width="9.625" style="62" customWidth="1"/>
    <col min="13079" max="13079" width="9.25" style="62" bestFit="1" customWidth="1"/>
    <col min="13080" max="13080" width="11" style="62" bestFit="1" customWidth="1"/>
    <col min="13081" max="13313" width="9" style="62"/>
    <col min="13314" max="13314" width="4.625" style="62" bestFit="1" customWidth="1"/>
    <col min="13315" max="13315" width="7.5" style="62" bestFit="1" customWidth="1"/>
    <col min="13316" max="13316" width="6.25" style="62" customWidth="1"/>
    <col min="13317" max="13317" width="11" style="62" bestFit="1" customWidth="1"/>
    <col min="13318" max="13319" width="9.625" style="62" bestFit="1" customWidth="1"/>
    <col min="13320" max="13320" width="8.25" style="62" bestFit="1" customWidth="1"/>
    <col min="13321" max="13322" width="9.625" style="62" bestFit="1" customWidth="1"/>
    <col min="13323" max="13323" width="8.25" style="62" bestFit="1" customWidth="1"/>
    <col min="13324" max="13325" width="9.625" style="62" bestFit="1" customWidth="1"/>
    <col min="13326" max="13327" width="8.25" style="62" bestFit="1" customWidth="1"/>
    <col min="13328" max="13328" width="11" style="62" bestFit="1" customWidth="1"/>
    <col min="13329" max="13329" width="8" style="62" bestFit="1" customWidth="1"/>
    <col min="13330" max="13330" width="7.75" style="62" bestFit="1" customWidth="1"/>
    <col min="13331" max="13332" width="9.625" style="62" bestFit="1" customWidth="1"/>
    <col min="13333" max="13334" width="9.625" style="62" customWidth="1"/>
    <col min="13335" max="13335" width="9.25" style="62" bestFit="1" customWidth="1"/>
    <col min="13336" max="13336" width="11" style="62" bestFit="1" customWidth="1"/>
    <col min="13337" max="13569" width="9" style="62"/>
    <col min="13570" max="13570" width="4.625" style="62" bestFit="1" customWidth="1"/>
    <col min="13571" max="13571" width="7.5" style="62" bestFit="1" customWidth="1"/>
    <col min="13572" max="13572" width="6.25" style="62" customWidth="1"/>
    <col min="13573" max="13573" width="11" style="62" bestFit="1" customWidth="1"/>
    <col min="13574" max="13575" width="9.625" style="62" bestFit="1" customWidth="1"/>
    <col min="13576" max="13576" width="8.25" style="62" bestFit="1" customWidth="1"/>
    <col min="13577" max="13578" width="9.625" style="62" bestFit="1" customWidth="1"/>
    <col min="13579" max="13579" width="8.25" style="62" bestFit="1" customWidth="1"/>
    <col min="13580" max="13581" width="9.625" style="62" bestFit="1" customWidth="1"/>
    <col min="13582" max="13583" width="8.25" style="62" bestFit="1" customWidth="1"/>
    <col min="13584" max="13584" width="11" style="62" bestFit="1" customWidth="1"/>
    <col min="13585" max="13585" width="8" style="62" bestFit="1" customWidth="1"/>
    <col min="13586" max="13586" width="7.75" style="62" bestFit="1" customWidth="1"/>
    <col min="13587" max="13588" width="9.625" style="62" bestFit="1" customWidth="1"/>
    <col min="13589" max="13590" width="9.625" style="62" customWidth="1"/>
    <col min="13591" max="13591" width="9.25" style="62" bestFit="1" customWidth="1"/>
    <col min="13592" max="13592" width="11" style="62" bestFit="1" customWidth="1"/>
    <col min="13593" max="13825" width="9" style="62"/>
    <col min="13826" max="13826" width="4.625" style="62" bestFit="1" customWidth="1"/>
    <col min="13827" max="13827" width="7.5" style="62" bestFit="1" customWidth="1"/>
    <col min="13828" max="13828" width="6.25" style="62" customWidth="1"/>
    <col min="13829" max="13829" width="11" style="62" bestFit="1" customWidth="1"/>
    <col min="13830" max="13831" width="9.625" style="62" bestFit="1" customWidth="1"/>
    <col min="13832" max="13832" width="8.25" style="62" bestFit="1" customWidth="1"/>
    <col min="13833" max="13834" width="9.625" style="62" bestFit="1" customWidth="1"/>
    <col min="13835" max="13835" width="8.25" style="62" bestFit="1" customWidth="1"/>
    <col min="13836" max="13837" width="9.625" style="62" bestFit="1" customWidth="1"/>
    <col min="13838" max="13839" width="8.25" style="62" bestFit="1" customWidth="1"/>
    <col min="13840" max="13840" width="11" style="62" bestFit="1" customWidth="1"/>
    <col min="13841" max="13841" width="8" style="62" bestFit="1" customWidth="1"/>
    <col min="13842" max="13842" width="7.75" style="62" bestFit="1" customWidth="1"/>
    <col min="13843" max="13844" width="9.625" style="62" bestFit="1" customWidth="1"/>
    <col min="13845" max="13846" width="9.625" style="62" customWidth="1"/>
    <col min="13847" max="13847" width="9.25" style="62" bestFit="1" customWidth="1"/>
    <col min="13848" max="13848" width="11" style="62" bestFit="1" customWidth="1"/>
    <col min="13849" max="14081" width="9" style="62"/>
    <col min="14082" max="14082" width="4.625" style="62" bestFit="1" customWidth="1"/>
    <col min="14083" max="14083" width="7.5" style="62" bestFit="1" customWidth="1"/>
    <col min="14084" max="14084" width="6.25" style="62" customWidth="1"/>
    <col min="14085" max="14085" width="11" style="62" bestFit="1" customWidth="1"/>
    <col min="14086" max="14087" width="9.625" style="62" bestFit="1" customWidth="1"/>
    <col min="14088" max="14088" width="8.25" style="62" bestFit="1" customWidth="1"/>
    <col min="14089" max="14090" width="9.625" style="62" bestFit="1" customWidth="1"/>
    <col min="14091" max="14091" width="8.25" style="62" bestFit="1" customWidth="1"/>
    <col min="14092" max="14093" width="9.625" style="62" bestFit="1" customWidth="1"/>
    <col min="14094" max="14095" width="8.25" style="62" bestFit="1" customWidth="1"/>
    <col min="14096" max="14096" width="11" style="62" bestFit="1" customWidth="1"/>
    <col min="14097" max="14097" width="8" style="62" bestFit="1" customWidth="1"/>
    <col min="14098" max="14098" width="7.75" style="62" bestFit="1" customWidth="1"/>
    <col min="14099" max="14100" width="9.625" style="62" bestFit="1" customWidth="1"/>
    <col min="14101" max="14102" width="9.625" style="62" customWidth="1"/>
    <col min="14103" max="14103" width="9.25" style="62" bestFit="1" customWidth="1"/>
    <col min="14104" max="14104" width="11" style="62" bestFit="1" customWidth="1"/>
    <col min="14105" max="14337" width="9" style="62"/>
    <col min="14338" max="14338" width="4.625" style="62" bestFit="1" customWidth="1"/>
    <col min="14339" max="14339" width="7.5" style="62" bestFit="1" customWidth="1"/>
    <col min="14340" max="14340" width="6.25" style="62" customWidth="1"/>
    <col min="14341" max="14341" width="11" style="62" bestFit="1" customWidth="1"/>
    <col min="14342" max="14343" width="9.625" style="62" bestFit="1" customWidth="1"/>
    <col min="14344" max="14344" width="8.25" style="62" bestFit="1" customWidth="1"/>
    <col min="14345" max="14346" width="9.625" style="62" bestFit="1" customWidth="1"/>
    <col min="14347" max="14347" width="8.25" style="62" bestFit="1" customWidth="1"/>
    <col min="14348" max="14349" width="9.625" style="62" bestFit="1" customWidth="1"/>
    <col min="14350" max="14351" width="8.25" style="62" bestFit="1" customWidth="1"/>
    <col min="14352" max="14352" width="11" style="62" bestFit="1" customWidth="1"/>
    <col min="14353" max="14353" width="8" style="62" bestFit="1" customWidth="1"/>
    <col min="14354" max="14354" width="7.75" style="62" bestFit="1" customWidth="1"/>
    <col min="14355" max="14356" width="9.625" style="62" bestFit="1" customWidth="1"/>
    <col min="14357" max="14358" width="9.625" style="62" customWidth="1"/>
    <col min="14359" max="14359" width="9.25" style="62" bestFit="1" customWidth="1"/>
    <col min="14360" max="14360" width="11" style="62" bestFit="1" customWidth="1"/>
    <col min="14361" max="14593" width="9" style="62"/>
    <col min="14594" max="14594" width="4.625" style="62" bestFit="1" customWidth="1"/>
    <col min="14595" max="14595" width="7.5" style="62" bestFit="1" customWidth="1"/>
    <col min="14596" max="14596" width="6.25" style="62" customWidth="1"/>
    <col min="14597" max="14597" width="11" style="62" bestFit="1" customWidth="1"/>
    <col min="14598" max="14599" width="9.625" style="62" bestFit="1" customWidth="1"/>
    <col min="14600" max="14600" width="8.25" style="62" bestFit="1" customWidth="1"/>
    <col min="14601" max="14602" width="9.625" style="62" bestFit="1" customWidth="1"/>
    <col min="14603" max="14603" width="8.25" style="62" bestFit="1" customWidth="1"/>
    <col min="14604" max="14605" width="9.625" style="62" bestFit="1" customWidth="1"/>
    <col min="14606" max="14607" width="8.25" style="62" bestFit="1" customWidth="1"/>
    <col min="14608" max="14608" width="11" style="62" bestFit="1" customWidth="1"/>
    <col min="14609" max="14609" width="8" style="62" bestFit="1" customWidth="1"/>
    <col min="14610" max="14610" width="7.75" style="62" bestFit="1" customWidth="1"/>
    <col min="14611" max="14612" width="9.625" style="62" bestFit="1" customWidth="1"/>
    <col min="14613" max="14614" width="9.625" style="62" customWidth="1"/>
    <col min="14615" max="14615" width="9.25" style="62" bestFit="1" customWidth="1"/>
    <col min="14616" max="14616" width="11" style="62" bestFit="1" customWidth="1"/>
    <col min="14617" max="14849" width="9" style="62"/>
    <col min="14850" max="14850" width="4.625" style="62" bestFit="1" customWidth="1"/>
    <col min="14851" max="14851" width="7.5" style="62" bestFit="1" customWidth="1"/>
    <col min="14852" max="14852" width="6.25" style="62" customWidth="1"/>
    <col min="14853" max="14853" width="11" style="62" bestFit="1" customWidth="1"/>
    <col min="14854" max="14855" width="9.625" style="62" bestFit="1" customWidth="1"/>
    <col min="14856" max="14856" width="8.25" style="62" bestFit="1" customWidth="1"/>
    <col min="14857" max="14858" width="9.625" style="62" bestFit="1" customWidth="1"/>
    <col min="14859" max="14859" width="8.25" style="62" bestFit="1" customWidth="1"/>
    <col min="14860" max="14861" width="9.625" style="62" bestFit="1" customWidth="1"/>
    <col min="14862" max="14863" width="8.25" style="62" bestFit="1" customWidth="1"/>
    <col min="14864" max="14864" width="11" style="62" bestFit="1" customWidth="1"/>
    <col min="14865" max="14865" width="8" style="62" bestFit="1" customWidth="1"/>
    <col min="14866" max="14866" width="7.75" style="62" bestFit="1" customWidth="1"/>
    <col min="14867" max="14868" width="9.625" style="62" bestFit="1" customWidth="1"/>
    <col min="14869" max="14870" width="9.625" style="62" customWidth="1"/>
    <col min="14871" max="14871" width="9.25" style="62" bestFit="1" customWidth="1"/>
    <col min="14872" max="14872" width="11" style="62" bestFit="1" customWidth="1"/>
    <col min="14873" max="15105" width="9" style="62"/>
    <col min="15106" max="15106" width="4.625" style="62" bestFit="1" customWidth="1"/>
    <col min="15107" max="15107" width="7.5" style="62" bestFit="1" customWidth="1"/>
    <col min="15108" max="15108" width="6.25" style="62" customWidth="1"/>
    <col min="15109" max="15109" width="11" style="62" bestFit="1" customWidth="1"/>
    <col min="15110" max="15111" width="9.625" style="62" bestFit="1" customWidth="1"/>
    <col min="15112" max="15112" width="8.25" style="62" bestFit="1" customWidth="1"/>
    <col min="15113" max="15114" width="9.625" style="62" bestFit="1" customWidth="1"/>
    <col min="15115" max="15115" width="8.25" style="62" bestFit="1" customWidth="1"/>
    <col min="15116" max="15117" width="9.625" style="62" bestFit="1" customWidth="1"/>
    <col min="15118" max="15119" width="8.25" style="62" bestFit="1" customWidth="1"/>
    <col min="15120" max="15120" width="11" style="62" bestFit="1" customWidth="1"/>
    <col min="15121" max="15121" width="8" style="62" bestFit="1" customWidth="1"/>
    <col min="15122" max="15122" width="7.75" style="62" bestFit="1" customWidth="1"/>
    <col min="15123" max="15124" width="9.625" style="62" bestFit="1" customWidth="1"/>
    <col min="15125" max="15126" width="9.625" style="62" customWidth="1"/>
    <col min="15127" max="15127" width="9.25" style="62" bestFit="1" customWidth="1"/>
    <col min="15128" max="15128" width="11" style="62" bestFit="1" customWidth="1"/>
    <col min="15129" max="15361" width="9" style="62"/>
    <col min="15362" max="15362" width="4.625" style="62" bestFit="1" customWidth="1"/>
    <col min="15363" max="15363" width="7.5" style="62" bestFit="1" customWidth="1"/>
    <col min="15364" max="15364" width="6.25" style="62" customWidth="1"/>
    <col min="15365" max="15365" width="11" style="62" bestFit="1" customWidth="1"/>
    <col min="15366" max="15367" width="9.625" style="62" bestFit="1" customWidth="1"/>
    <col min="15368" max="15368" width="8.25" style="62" bestFit="1" customWidth="1"/>
    <col min="15369" max="15370" width="9.625" style="62" bestFit="1" customWidth="1"/>
    <col min="15371" max="15371" width="8.25" style="62" bestFit="1" customWidth="1"/>
    <col min="15372" max="15373" width="9.625" style="62" bestFit="1" customWidth="1"/>
    <col min="15374" max="15375" width="8.25" style="62" bestFit="1" customWidth="1"/>
    <col min="15376" max="15376" width="11" style="62" bestFit="1" customWidth="1"/>
    <col min="15377" max="15377" width="8" style="62" bestFit="1" customWidth="1"/>
    <col min="15378" max="15378" width="7.75" style="62" bestFit="1" customWidth="1"/>
    <col min="15379" max="15380" width="9.625" style="62" bestFit="1" customWidth="1"/>
    <col min="15381" max="15382" width="9.625" style="62" customWidth="1"/>
    <col min="15383" max="15383" width="9.25" style="62" bestFit="1" customWidth="1"/>
    <col min="15384" max="15384" width="11" style="62" bestFit="1" customWidth="1"/>
    <col min="15385" max="15617" width="9" style="62"/>
    <col min="15618" max="15618" width="4.625" style="62" bestFit="1" customWidth="1"/>
    <col min="15619" max="15619" width="7.5" style="62" bestFit="1" customWidth="1"/>
    <col min="15620" max="15620" width="6.25" style="62" customWidth="1"/>
    <col min="15621" max="15621" width="11" style="62" bestFit="1" customWidth="1"/>
    <col min="15622" max="15623" width="9.625" style="62" bestFit="1" customWidth="1"/>
    <col min="15624" max="15624" width="8.25" style="62" bestFit="1" customWidth="1"/>
    <col min="15625" max="15626" width="9.625" style="62" bestFit="1" customWidth="1"/>
    <col min="15627" max="15627" width="8.25" style="62" bestFit="1" customWidth="1"/>
    <col min="15628" max="15629" width="9.625" style="62" bestFit="1" customWidth="1"/>
    <col min="15630" max="15631" width="8.25" style="62" bestFit="1" customWidth="1"/>
    <col min="15632" max="15632" width="11" style="62" bestFit="1" customWidth="1"/>
    <col min="15633" max="15633" width="8" style="62" bestFit="1" customWidth="1"/>
    <col min="15634" max="15634" width="7.75" style="62" bestFit="1" customWidth="1"/>
    <col min="15635" max="15636" width="9.625" style="62" bestFit="1" customWidth="1"/>
    <col min="15637" max="15638" width="9.625" style="62" customWidth="1"/>
    <col min="15639" max="15639" width="9.25" style="62" bestFit="1" customWidth="1"/>
    <col min="15640" max="15640" width="11" style="62" bestFit="1" customWidth="1"/>
    <col min="15641" max="15873" width="9" style="62"/>
    <col min="15874" max="15874" width="4.625" style="62" bestFit="1" customWidth="1"/>
    <col min="15875" max="15875" width="7.5" style="62" bestFit="1" customWidth="1"/>
    <col min="15876" max="15876" width="6.25" style="62" customWidth="1"/>
    <col min="15877" max="15877" width="11" style="62" bestFit="1" customWidth="1"/>
    <col min="15878" max="15879" width="9.625" style="62" bestFit="1" customWidth="1"/>
    <col min="15880" max="15880" width="8.25" style="62" bestFit="1" customWidth="1"/>
    <col min="15881" max="15882" width="9.625" style="62" bestFit="1" customWidth="1"/>
    <col min="15883" max="15883" width="8.25" style="62" bestFit="1" customWidth="1"/>
    <col min="15884" max="15885" width="9.625" style="62" bestFit="1" customWidth="1"/>
    <col min="15886" max="15887" width="8.25" style="62" bestFit="1" customWidth="1"/>
    <col min="15888" max="15888" width="11" style="62" bestFit="1" customWidth="1"/>
    <col min="15889" max="15889" width="8" style="62" bestFit="1" customWidth="1"/>
    <col min="15890" max="15890" width="7.75" style="62" bestFit="1" customWidth="1"/>
    <col min="15891" max="15892" width="9.625" style="62" bestFit="1" customWidth="1"/>
    <col min="15893" max="15894" width="9.625" style="62" customWidth="1"/>
    <col min="15895" max="15895" width="9.25" style="62" bestFit="1" customWidth="1"/>
    <col min="15896" max="15896" width="11" style="62" bestFit="1" customWidth="1"/>
    <col min="15897" max="16129" width="9" style="62"/>
    <col min="16130" max="16130" width="4.625" style="62" bestFit="1" customWidth="1"/>
    <col min="16131" max="16131" width="7.5" style="62" bestFit="1" customWidth="1"/>
    <col min="16132" max="16132" width="6.25" style="62" customWidth="1"/>
    <col min="16133" max="16133" width="11" style="62" bestFit="1" customWidth="1"/>
    <col min="16134" max="16135" width="9.625" style="62" bestFit="1" customWidth="1"/>
    <col min="16136" max="16136" width="8.25" style="62" bestFit="1" customWidth="1"/>
    <col min="16137" max="16138" width="9.625" style="62" bestFit="1" customWidth="1"/>
    <col min="16139" max="16139" width="8.25" style="62" bestFit="1" customWidth="1"/>
    <col min="16140" max="16141" width="9.625" style="62" bestFit="1" customWidth="1"/>
    <col min="16142" max="16143" width="8.25" style="62" bestFit="1" customWidth="1"/>
    <col min="16144" max="16144" width="11" style="62" bestFit="1" customWidth="1"/>
    <col min="16145" max="16145" width="8" style="62" bestFit="1" customWidth="1"/>
    <col min="16146" max="16146" width="7.75" style="62" bestFit="1" customWidth="1"/>
    <col min="16147" max="16148" width="9.625" style="62" bestFit="1" customWidth="1"/>
    <col min="16149" max="16150" width="9.625" style="62" customWidth="1"/>
    <col min="16151" max="16151" width="9.25" style="62" bestFit="1" customWidth="1"/>
    <col min="16152" max="16152" width="11" style="62" bestFit="1" customWidth="1"/>
    <col min="16153" max="16384" width="9" style="62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98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68"/>
      <c r="V4" s="252"/>
      <c r="W4" s="252"/>
      <c r="X4" s="252"/>
    </row>
    <row r="5" spans="2:29" ht="20.25" customHeight="1" x14ac:dyDescent="0.3">
      <c r="B5" s="253" t="s">
        <v>129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73"/>
      <c r="Q5" s="69"/>
      <c r="R5" s="69"/>
      <c r="S5" s="69"/>
      <c r="T5" s="252"/>
      <c r="U5" s="6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99</v>
      </c>
      <c r="F7" s="243"/>
      <c r="G7" s="243"/>
      <c r="H7" s="243"/>
      <c r="I7" s="243"/>
      <c r="J7" s="243"/>
      <c r="K7" s="243"/>
      <c r="L7" s="243"/>
      <c r="M7" s="243"/>
      <c r="N7" s="242" t="s">
        <v>100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101</v>
      </c>
      <c r="AA7" s="250" t="s">
        <v>102</v>
      </c>
      <c r="AC7" s="234" t="s">
        <v>103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104</v>
      </c>
      <c r="G8" s="81" t="s">
        <v>105</v>
      </c>
      <c r="H8" s="81" t="s">
        <v>106</v>
      </c>
      <c r="I8" s="81" t="s">
        <v>77</v>
      </c>
      <c r="J8" s="82" t="s">
        <v>107</v>
      </c>
      <c r="K8" s="82" t="s">
        <v>108</v>
      </c>
      <c r="L8" s="82" t="s">
        <v>109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20" si="0">SUM(E9:O9)</f>
        <v>2500000</v>
      </c>
      <c r="Q9" s="94">
        <f t="shared" ref="Q9:Q13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1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>IFERROR(ROUNDDOWN((P9-AC9)*3.43%,-1),)</f>
        <v>75460</v>
      </c>
      <c r="U9" s="96">
        <f>ROUNDDOWN(T9*11.52%,-1)</f>
        <v>8690</v>
      </c>
      <c r="V9" s="96">
        <f t="shared" ref="V9:V21" si="3">IFERROR(IF(D9&lt;&gt;"대표이사",ROUNDDOWN((P9-AC9)*고용보험율,-1),0),)</f>
        <v>17600</v>
      </c>
      <c r="W9" s="93">
        <f t="shared" ref="W9:W21" si="4">SUM(Q9:V9)</f>
        <v>229290</v>
      </c>
      <c r="X9" s="97">
        <f t="shared" ref="X9:X21" si="5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04">
        <v>200000</v>
      </c>
      <c r="P10" s="93">
        <f t="shared" si="0"/>
        <v>2500000</v>
      </c>
      <c r="Q10" s="94">
        <f t="shared" si="1"/>
        <v>25950</v>
      </c>
      <c r="R10" s="95">
        <f t="shared" si="2"/>
        <v>2590</v>
      </c>
      <c r="S10" s="95">
        <f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ref="T10:T16" si="6">IFERROR(ROUNDDOWN((P10-AC10)*3.43%,-1),)</f>
        <v>75460</v>
      </c>
      <c r="U10" s="96">
        <f t="shared" ref="U10:U16" si="7">ROUNDDOWN(T10*11.52%,-1)</f>
        <v>8690</v>
      </c>
      <c r="V10" s="96">
        <f t="shared" si="3"/>
        <v>17600</v>
      </c>
      <c r="W10" s="93">
        <f t="shared" si="4"/>
        <v>229290</v>
      </c>
      <c r="X10" s="97">
        <f t="shared" si="5"/>
        <v>2270710</v>
      </c>
      <c r="Z10" s="98">
        <v>1</v>
      </c>
      <c r="AA10" s="99"/>
      <c r="AC10" s="100">
        <f t="shared" ref="AC10:AC20" si="8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04">
        <v>200000</v>
      </c>
      <c r="P11" s="93">
        <f t="shared" si="0"/>
        <v>2500000</v>
      </c>
      <c r="Q11" s="94">
        <f t="shared" si="1"/>
        <v>25950</v>
      </c>
      <c r="R11" s="95">
        <f t="shared" si="2"/>
        <v>2590</v>
      </c>
      <c r="S11" s="95">
        <f t="shared" ref="S11:S21" si="9">IFERROR(IF(AND(P11-AC11&gt;=월액최저,P11-AC11&lt;=월액최고),ROUNDDOWN((P11-AC11)*국민연금,-1),IF(P11-AC11&gt;=월액최고,최고연금,IF(AND(P11-AC11&lt;=월액최저,P11-AC11&gt;=1),최저연금,))),)</f>
        <v>99000</v>
      </c>
      <c r="T11" s="95">
        <f t="shared" si="6"/>
        <v>75460</v>
      </c>
      <c r="U11" s="96">
        <f t="shared" si="7"/>
        <v>8690</v>
      </c>
      <c r="V11" s="96">
        <f t="shared" si="3"/>
        <v>17600</v>
      </c>
      <c r="W11" s="93">
        <f t="shared" si="4"/>
        <v>229290</v>
      </c>
      <c r="X11" s="97">
        <f t="shared" si="5"/>
        <v>2270710</v>
      </c>
      <c r="Z11" s="98">
        <v>1</v>
      </c>
      <c r="AA11" s="99"/>
      <c r="AC11" s="100">
        <f t="shared" si="8"/>
        <v>300000</v>
      </c>
    </row>
    <row r="12" spans="2:29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>
        <f>[1]직원인적급여카드!M5</f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04">
        <v>200000</v>
      </c>
      <c r="P12" s="93">
        <f t="shared" si="0"/>
        <v>2500000</v>
      </c>
      <c r="Q12" s="94">
        <f t="shared" si="1"/>
        <v>25950</v>
      </c>
      <c r="R12" s="95">
        <f t="shared" si="2"/>
        <v>2590</v>
      </c>
      <c r="S12" s="95">
        <f t="shared" si="9"/>
        <v>99000</v>
      </c>
      <c r="T12" s="95">
        <f t="shared" si="6"/>
        <v>75460</v>
      </c>
      <c r="U12" s="96">
        <f t="shared" si="7"/>
        <v>8690</v>
      </c>
      <c r="V12" s="96">
        <f t="shared" si="3"/>
        <v>17600</v>
      </c>
      <c r="W12" s="93">
        <f t="shared" si="4"/>
        <v>229290</v>
      </c>
      <c r="X12" s="97">
        <f t="shared" si="5"/>
        <v>2270710</v>
      </c>
      <c r="Z12" s="98">
        <v>1</v>
      </c>
      <c r="AA12" s="99"/>
      <c r="AC12" s="100">
        <f t="shared" si="8"/>
        <v>300000</v>
      </c>
    </row>
    <row r="13" spans="2:29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04">
        <v>200000</v>
      </c>
      <c r="P13" s="93">
        <f t="shared" si="0"/>
        <v>2500000</v>
      </c>
      <c r="Q13" s="94">
        <f t="shared" si="1"/>
        <v>25950</v>
      </c>
      <c r="R13" s="95">
        <f t="shared" si="2"/>
        <v>2590</v>
      </c>
      <c r="S13" s="95"/>
      <c r="T13" s="95">
        <f t="shared" si="6"/>
        <v>75460</v>
      </c>
      <c r="U13" s="96">
        <f t="shared" si="7"/>
        <v>8690</v>
      </c>
      <c r="V13" s="96">
        <f t="shared" si="3"/>
        <v>17600</v>
      </c>
      <c r="W13" s="93">
        <f t="shared" si="4"/>
        <v>130290</v>
      </c>
      <c r="X13" s="97">
        <f t="shared" si="5"/>
        <v>2369710</v>
      </c>
      <c r="Z13" s="98">
        <v>1</v>
      </c>
      <c r="AA13" s="99"/>
      <c r="AC13" s="100">
        <f t="shared" si="8"/>
        <v>300000</v>
      </c>
    </row>
    <row r="14" spans="2:29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04">
        <v>200000</v>
      </c>
      <c r="P14" s="93">
        <f t="shared" si="0"/>
        <v>2500000</v>
      </c>
      <c r="Q14" s="94">
        <f t="shared" ref="Q14:Q21" si="10">IFERROR(IF(P14-AC14&lt;=10000000,VLOOKUP((P14-AC14)/1000,간이세액표,IF(11&lt;Z14+AA14,13,2+Z14+AA14),TRUE),IF(P14-AC14&gt;14000000,VLOOKUP((P14-AC14)/1000,간이세액표,IF(11&lt;Z14+AA14,13,2+Z14+AA14),TRUE)+1372000+ROUNDDOWN(((P14-AC14-14000000)*98%)*38%,-1),VLOOKUP((P14-AC14)/1000,간이세액표,IF(11&lt;Z14+AA14,13,2+Z14+AA14),TRUE)+ROUNDDOWN(((P14-AC14-10000000)*98%)*35%,-1))),)</f>
        <v>25950</v>
      </c>
      <c r="R14" s="95">
        <f t="shared" si="2"/>
        <v>2590</v>
      </c>
      <c r="S14" s="95">
        <f t="shared" si="9"/>
        <v>99000</v>
      </c>
      <c r="T14" s="95">
        <f t="shared" si="6"/>
        <v>75460</v>
      </c>
      <c r="U14" s="96">
        <f t="shared" si="7"/>
        <v>8690</v>
      </c>
      <c r="V14" s="96">
        <f t="shared" si="3"/>
        <v>17600</v>
      </c>
      <c r="W14" s="93">
        <f>SUM(Q14:V14)</f>
        <v>229290</v>
      </c>
      <c r="X14" s="97">
        <f t="shared" si="5"/>
        <v>2270710</v>
      </c>
      <c r="Z14" s="98">
        <v>1</v>
      </c>
      <c r="AA14" s="99"/>
      <c r="AC14" s="100">
        <f t="shared" si="8"/>
        <v>300000</v>
      </c>
    </row>
    <row r="15" spans="2:29" ht="20.100000000000001" customHeight="1" x14ac:dyDescent="0.3">
      <c r="B15" s="101">
        <v>7</v>
      </c>
      <c r="C15" s="87" t="str">
        <f>[1]직원인적급여카드!B8</f>
        <v>이일복</v>
      </c>
      <c r="D15" s="88" t="s">
        <v>91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0"/>
        <v>25950</v>
      </c>
      <c r="R15" s="95">
        <f t="shared" si="2"/>
        <v>2590</v>
      </c>
      <c r="S15" s="95"/>
      <c r="T15" s="95">
        <f t="shared" si="6"/>
        <v>75460</v>
      </c>
      <c r="U15" s="96">
        <f t="shared" si="7"/>
        <v>8690</v>
      </c>
      <c r="V15" s="96">
        <f t="shared" si="3"/>
        <v>17600</v>
      </c>
      <c r="W15" s="93">
        <f t="shared" si="4"/>
        <v>130290</v>
      </c>
      <c r="X15" s="97">
        <f t="shared" si="5"/>
        <v>2369710</v>
      </c>
      <c r="Z15" s="98">
        <v>1</v>
      </c>
      <c r="AA15" s="99"/>
      <c r="AC15" s="100">
        <f t="shared" si="8"/>
        <v>300000</v>
      </c>
    </row>
    <row r="16" spans="2:29" ht="20.100000000000001" customHeight="1" x14ac:dyDescent="0.3">
      <c r="B16" s="101">
        <v>8</v>
      </c>
      <c r="C16" s="87" t="s">
        <v>44</v>
      </c>
      <c r="D16" s="88" t="s">
        <v>45</v>
      </c>
      <c r="E16" s="89"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04">
        <v>200000</v>
      </c>
      <c r="P16" s="93">
        <f t="shared" si="0"/>
        <v>2500000</v>
      </c>
      <c r="Q16" s="94">
        <f t="shared" si="10"/>
        <v>25950</v>
      </c>
      <c r="R16" s="95">
        <f t="shared" si="2"/>
        <v>2590</v>
      </c>
      <c r="S16" s="95">
        <f t="shared" si="9"/>
        <v>99000</v>
      </c>
      <c r="T16" s="95">
        <f t="shared" si="6"/>
        <v>75460</v>
      </c>
      <c r="U16" s="96">
        <f t="shared" si="7"/>
        <v>8690</v>
      </c>
      <c r="V16" s="96">
        <f t="shared" si="3"/>
        <v>17600</v>
      </c>
      <c r="W16" s="93">
        <f t="shared" si="4"/>
        <v>229290</v>
      </c>
      <c r="X16" s="97">
        <f t="shared" si="5"/>
        <v>2270710</v>
      </c>
      <c r="Z16" s="98">
        <v>1</v>
      </c>
      <c r="AA16" s="99"/>
      <c r="AC16" s="100">
        <f t="shared" si="8"/>
        <v>300000</v>
      </c>
    </row>
    <row r="17" spans="2:29" ht="20.100000000000001" customHeight="1" x14ac:dyDescent="0.3">
      <c r="B17" s="101">
        <v>9</v>
      </c>
      <c r="C17" s="87" t="s">
        <v>49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04">
        <v>200000</v>
      </c>
      <c r="P17" s="93">
        <f t="shared" si="0"/>
        <v>2500000</v>
      </c>
      <c r="Q17" s="94">
        <f t="shared" si="10"/>
        <v>25950</v>
      </c>
      <c r="R17" s="95">
        <f t="shared" si="2"/>
        <v>2590</v>
      </c>
      <c r="S17" s="95">
        <f t="shared" si="9"/>
        <v>99000</v>
      </c>
      <c r="T17" s="95">
        <f t="shared" ref="T17:T21" si="11">IFERROR(ROUNDDOWN((P17-AC17)*건강보험율,-1),)</f>
        <v>75460</v>
      </c>
      <c r="U17" s="96">
        <f>ROUNDDOWN(T17*11.52%,-1)</f>
        <v>8690</v>
      </c>
      <c r="V17" s="96">
        <f t="shared" si="3"/>
        <v>17600</v>
      </c>
      <c r="W17" s="93">
        <f t="shared" si="4"/>
        <v>229290</v>
      </c>
      <c r="X17" s="97">
        <f t="shared" si="5"/>
        <v>2270710</v>
      </c>
      <c r="Z17" s="98">
        <v>1</v>
      </c>
      <c r="AA17" s="99"/>
      <c r="AC17" s="100">
        <f t="shared" si="8"/>
        <v>300000</v>
      </c>
    </row>
    <row r="18" spans="2:29" ht="20.100000000000001" customHeight="1" x14ac:dyDescent="0.3">
      <c r="B18" s="105">
        <v>10</v>
      </c>
      <c r="C18" s="87" t="s">
        <v>53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08">
        <v>200000</v>
      </c>
      <c r="P18" s="93">
        <f t="shared" si="0"/>
        <v>2500000</v>
      </c>
      <c r="Q18" s="94">
        <f t="shared" si="10"/>
        <v>25950</v>
      </c>
      <c r="R18" s="95">
        <f t="shared" si="2"/>
        <v>2590</v>
      </c>
      <c r="S18" s="95">
        <f t="shared" si="9"/>
        <v>99000</v>
      </c>
      <c r="T18" s="95">
        <f t="shared" si="11"/>
        <v>75460</v>
      </c>
      <c r="U18" s="96">
        <f>ROUNDDOWN(T18*11.52%,-1)</f>
        <v>8690</v>
      </c>
      <c r="V18" s="96">
        <f t="shared" si="3"/>
        <v>17600</v>
      </c>
      <c r="W18" s="93">
        <f t="shared" si="4"/>
        <v>229290</v>
      </c>
      <c r="X18" s="97">
        <f t="shared" si="5"/>
        <v>2270710</v>
      </c>
      <c r="Z18" s="98">
        <v>1</v>
      </c>
      <c r="AA18" s="99"/>
      <c r="AC18" s="100">
        <f t="shared" si="8"/>
        <v>300000</v>
      </c>
    </row>
    <row r="19" spans="2:29" ht="20.100000000000001" customHeight="1" x14ac:dyDescent="0.3">
      <c r="B19" s="101">
        <v>11</v>
      </c>
      <c r="C19" s="87" t="s">
        <v>56</v>
      </c>
      <c r="D19" s="88" t="s">
        <v>50</v>
      </c>
      <c r="E19" s="89">
        <v>2100000</v>
      </c>
      <c r="F19" s="106"/>
      <c r="G19" s="106"/>
      <c r="H19" s="106"/>
      <c r="I19" s="106"/>
      <c r="J19" s="107"/>
      <c r="K19" s="107"/>
      <c r="L19" s="107"/>
      <c r="M19" s="107"/>
      <c r="N19" s="89">
        <v>200000</v>
      </c>
      <c r="O19" s="108">
        <v>200000</v>
      </c>
      <c r="P19" s="93">
        <f t="shared" si="0"/>
        <v>2500000</v>
      </c>
      <c r="Q19" s="94">
        <f t="shared" si="10"/>
        <v>25950</v>
      </c>
      <c r="R19" s="95">
        <f t="shared" si="2"/>
        <v>2590</v>
      </c>
      <c r="S19" s="95"/>
      <c r="T19" s="95">
        <f t="shared" si="11"/>
        <v>75460</v>
      </c>
      <c r="U19" s="96">
        <f>ROUNDDOWN(T19*11.52%,-1)</f>
        <v>8690</v>
      </c>
      <c r="V19" s="96">
        <f t="shared" si="3"/>
        <v>17600</v>
      </c>
      <c r="W19" s="93">
        <f t="shared" si="4"/>
        <v>130290</v>
      </c>
      <c r="X19" s="97">
        <f t="shared" si="5"/>
        <v>2369710</v>
      </c>
      <c r="Z19" s="98">
        <v>1</v>
      </c>
      <c r="AA19" s="99"/>
      <c r="AC19" s="100">
        <f t="shared" si="8"/>
        <v>300000</v>
      </c>
    </row>
    <row r="20" spans="2:29" ht="20.100000000000001" customHeight="1" x14ac:dyDescent="0.3">
      <c r="B20" s="105">
        <v>12</v>
      </c>
      <c r="C20" s="87"/>
      <c r="D20" s="88"/>
      <c r="E20" s="89"/>
      <c r="F20" s="106"/>
      <c r="G20" s="106"/>
      <c r="H20" s="106"/>
      <c r="I20" s="106"/>
      <c r="J20" s="107"/>
      <c r="K20" s="107"/>
      <c r="L20" s="107"/>
      <c r="M20" s="107"/>
      <c r="N20" s="89"/>
      <c r="O20" s="108"/>
      <c r="P20" s="93">
        <f t="shared" si="0"/>
        <v>0</v>
      </c>
      <c r="Q20" s="94">
        <f t="shared" si="10"/>
        <v>0</v>
      </c>
      <c r="R20" s="95">
        <f t="shared" si="2"/>
        <v>0</v>
      </c>
      <c r="S20" s="95">
        <f t="shared" si="9"/>
        <v>0</v>
      </c>
      <c r="T20" s="95">
        <f t="shared" si="11"/>
        <v>0</v>
      </c>
      <c r="U20" s="96">
        <f t="shared" ref="U20:U21" si="12">ROUNDDOWN(T20*요양보험율,-1)</f>
        <v>0</v>
      </c>
      <c r="V20" s="96">
        <f t="shared" si="3"/>
        <v>0</v>
      </c>
      <c r="W20" s="93">
        <f t="shared" si="4"/>
        <v>0</v>
      </c>
      <c r="X20" s="97">
        <f t="shared" si="5"/>
        <v>0</v>
      </c>
      <c r="Z20" s="98">
        <v>1</v>
      </c>
      <c r="AA20" s="99"/>
      <c r="AC20" s="100">
        <f t="shared" si="8"/>
        <v>0</v>
      </c>
    </row>
    <row r="21" spans="2:29" ht="20.100000000000001" customHeight="1" x14ac:dyDescent="0.3">
      <c r="B21" s="105">
        <v>13</v>
      </c>
      <c r="C21" s="87"/>
      <c r="D21" s="88"/>
      <c r="E21" s="89"/>
      <c r="F21" s="106"/>
      <c r="G21" s="106"/>
      <c r="H21" s="106"/>
      <c r="I21" s="106"/>
      <c r="J21" s="107"/>
      <c r="K21" s="107"/>
      <c r="L21" s="107"/>
      <c r="M21" s="107"/>
      <c r="N21" s="109"/>
      <c r="O21" s="108"/>
      <c r="P21" s="93">
        <f t="shared" ref="P21" si="13">SUM(E21:O21)</f>
        <v>0</v>
      </c>
      <c r="Q21" s="94">
        <f t="shared" si="10"/>
        <v>0</v>
      </c>
      <c r="R21" s="95">
        <f t="shared" si="2"/>
        <v>0</v>
      </c>
      <c r="S21" s="95">
        <f t="shared" si="9"/>
        <v>0</v>
      </c>
      <c r="T21" s="95">
        <f t="shared" si="11"/>
        <v>0</v>
      </c>
      <c r="U21" s="96">
        <f t="shared" si="12"/>
        <v>0</v>
      </c>
      <c r="V21" s="96">
        <f t="shared" si="3"/>
        <v>0</v>
      </c>
      <c r="W21" s="93">
        <f t="shared" si="4"/>
        <v>0</v>
      </c>
      <c r="X21" s="97">
        <f t="shared" si="5"/>
        <v>0</v>
      </c>
    </row>
    <row r="22" spans="2:29" ht="28.5" customHeight="1" x14ac:dyDescent="0.3">
      <c r="B22" s="216" t="s">
        <v>93</v>
      </c>
      <c r="C22" s="217"/>
      <c r="D22" s="218"/>
      <c r="E22" s="112">
        <f t="shared" ref="E22:X22" si="14">SUM(E9:E21)</f>
        <v>23100000</v>
      </c>
      <c r="F22" s="113">
        <f t="shared" si="14"/>
        <v>0</v>
      </c>
      <c r="G22" s="113">
        <f t="shared" si="14"/>
        <v>0</v>
      </c>
      <c r="H22" s="113">
        <f t="shared" si="14"/>
        <v>0</v>
      </c>
      <c r="I22" s="113">
        <f t="shared" si="14"/>
        <v>0</v>
      </c>
      <c r="J22" s="113">
        <f t="shared" si="14"/>
        <v>0</v>
      </c>
      <c r="K22" s="113">
        <f t="shared" si="14"/>
        <v>0</v>
      </c>
      <c r="L22" s="113">
        <f t="shared" si="14"/>
        <v>0</v>
      </c>
      <c r="M22" s="114">
        <f t="shared" si="14"/>
        <v>0</v>
      </c>
      <c r="N22" s="112">
        <f t="shared" si="14"/>
        <v>2200000</v>
      </c>
      <c r="O22" s="115">
        <f t="shared" si="14"/>
        <v>2200000</v>
      </c>
      <c r="P22" s="116">
        <f t="shared" si="14"/>
        <v>27500000</v>
      </c>
      <c r="Q22" s="112">
        <f t="shared" si="14"/>
        <v>285450</v>
      </c>
      <c r="R22" s="113">
        <f t="shared" si="14"/>
        <v>28490</v>
      </c>
      <c r="S22" s="113">
        <f t="shared" si="14"/>
        <v>792000</v>
      </c>
      <c r="T22" s="113">
        <f t="shared" si="14"/>
        <v>830060</v>
      </c>
      <c r="U22" s="114">
        <f t="shared" si="14"/>
        <v>95590</v>
      </c>
      <c r="V22" s="114">
        <f t="shared" si="14"/>
        <v>193600</v>
      </c>
      <c r="W22" s="116">
        <f t="shared" si="14"/>
        <v>2225190</v>
      </c>
      <c r="X22" s="117">
        <f t="shared" si="14"/>
        <v>25274810</v>
      </c>
    </row>
    <row r="23" spans="2:29" ht="20.25" customHeight="1" thickBot="1" x14ac:dyDescent="0.35">
      <c r="B23" s="219" t="s">
        <v>94</v>
      </c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</row>
    <row r="24" spans="2:29" ht="15" customHeight="1" x14ac:dyDescent="0.3">
      <c r="B24" s="118"/>
      <c r="C24" s="119" t="s">
        <v>49</v>
      </c>
      <c r="D24" s="220" t="s">
        <v>51</v>
      </c>
      <c r="E24" s="221"/>
      <c r="F24" s="220" t="s">
        <v>112</v>
      </c>
      <c r="G24" s="221"/>
      <c r="H24" s="222" t="s">
        <v>113</v>
      </c>
      <c r="I24" s="223"/>
      <c r="J24" s="223"/>
      <c r="K24" s="223"/>
      <c r="L24" s="223"/>
      <c r="M24" s="223"/>
      <c r="N24" s="223"/>
      <c r="O24" s="223"/>
      <c r="P24" s="224"/>
      <c r="Q24" s="64"/>
      <c r="R24" s="64"/>
      <c r="S24" s="64"/>
      <c r="T24" s="64"/>
      <c r="U24" s="64"/>
      <c r="V24" s="64"/>
    </row>
    <row r="25" spans="2:29" ht="15" customHeight="1" x14ac:dyDescent="0.3">
      <c r="B25" s="225" t="s">
        <v>96</v>
      </c>
      <c r="C25" s="120" t="s">
        <v>53</v>
      </c>
      <c r="D25" s="197" t="s">
        <v>55</v>
      </c>
      <c r="E25" s="198"/>
      <c r="F25" s="204" t="s">
        <v>112</v>
      </c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x14ac:dyDescent="0.3">
      <c r="B26" s="195"/>
      <c r="C26" s="120" t="s">
        <v>56</v>
      </c>
      <c r="D26" s="197" t="s">
        <v>58</v>
      </c>
      <c r="E26" s="198"/>
      <c r="F26" s="204" t="s">
        <v>112</v>
      </c>
      <c r="G26" s="205"/>
      <c r="H26" s="206"/>
      <c r="I26" s="207"/>
      <c r="J26" s="207"/>
      <c r="K26" s="207"/>
      <c r="L26" s="207"/>
      <c r="M26" s="207"/>
      <c r="N26" s="207"/>
      <c r="O26" s="207"/>
      <c r="P26" s="208"/>
      <c r="Q26" s="64"/>
      <c r="R26" s="64"/>
      <c r="S26" s="64"/>
      <c r="T26" s="64"/>
      <c r="U26" s="64"/>
      <c r="V26" s="64"/>
    </row>
    <row r="27" spans="2:29" ht="15" customHeight="1" thickBot="1" x14ac:dyDescent="0.35">
      <c r="B27" s="226"/>
      <c r="C27" s="121"/>
      <c r="D27" s="227"/>
      <c r="E27" s="228"/>
      <c r="F27" s="229"/>
      <c r="G27" s="230"/>
      <c r="H27" s="231"/>
      <c r="I27" s="232"/>
      <c r="J27" s="232"/>
      <c r="K27" s="232"/>
      <c r="L27" s="232"/>
      <c r="M27" s="232"/>
      <c r="N27" s="232"/>
      <c r="O27" s="232"/>
      <c r="P27" s="233"/>
      <c r="Q27" s="64"/>
      <c r="R27" s="64"/>
      <c r="S27" s="64"/>
      <c r="T27" s="64"/>
      <c r="U27" s="64"/>
      <c r="V27" s="64"/>
    </row>
    <row r="28" spans="2:29" ht="15" customHeight="1" thickTop="1" x14ac:dyDescent="0.3">
      <c r="B28" s="195" t="s">
        <v>97</v>
      </c>
      <c r="C28" s="120" t="s">
        <v>44</v>
      </c>
      <c r="D28" s="197" t="s">
        <v>46</v>
      </c>
      <c r="E28" s="198"/>
      <c r="F28" s="199" t="s">
        <v>114</v>
      </c>
      <c r="G28" s="200"/>
      <c r="H28" s="201"/>
      <c r="I28" s="202"/>
      <c r="J28" s="202"/>
      <c r="K28" s="202"/>
      <c r="L28" s="202"/>
      <c r="M28" s="202"/>
      <c r="N28" s="202"/>
      <c r="O28" s="202"/>
      <c r="P28" s="203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thickBot="1" x14ac:dyDescent="0.35">
      <c r="B30" s="196"/>
      <c r="C30" s="122"/>
      <c r="D30" s="209"/>
      <c r="E30" s="210"/>
      <c r="F30" s="211"/>
      <c r="G30" s="212"/>
      <c r="H30" s="213"/>
      <c r="I30" s="214"/>
      <c r="J30" s="214"/>
      <c r="K30" s="214"/>
      <c r="L30" s="214"/>
      <c r="M30" s="214"/>
      <c r="N30" s="214"/>
      <c r="O30" s="214"/>
      <c r="P30" s="215"/>
      <c r="Q30" s="64"/>
      <c r="R30" s="64"/>
      <c r="S30" s="64"/>
      <c r="T30" s="64"/>
      <c r="U30" s="64"/>
      <c r="V30" s="64"/>
    </row>
    <row r="31" spans="2:29" ht="20.100000000000001" customHeight="1" x14ac:dyDescent="0.3">
      <c r="Q31" s="64"/>
      <c r="R31" s="64"/>
      <c r="S31" s="64"/>
      <c r="T31" s="64"/>
      <c r="U31" s="64"/>
      <c r="V31" s="64"/>
    </row>
    <row r="32" spans="2:29" s="64" customFormat="1" ht="20.100000000000001" customHeight="1" x14ac:dyDescent="0.3">
      <c r="B32" s="62"/>
      <c r="C32" s="62"/>
      <c r="D32" s="62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62"/>
      <c r="C33" s="62"/>
      <c r="D33" s="6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62"/>
      <c r="C34" s="62"/>
      <c r="D34" s="62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62"/>
      <c r="C35" s="62"/>
      <c r="D35" s="62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62"/>
      <c r="C36" s="62"/>
      <c r="D36" s="62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62"/>
      <c r="C37" s="62"/>
      <c r="D37" s="62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62"/>
      <c r="C38" s="62"/>
      <c r="D38" s="62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62"/>
      <c r="C39" s="62"/>
      <c r="D39" s="62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62"/>
      <c r="C40" s="62"/>
      <c r="D40" s="62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62"/>
      <c r="C41" s="62"/>
      <c r="D41" s="62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62"/>
      <c r="C42" s="62"/>
      <c r="D42" s="62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62"/>
      <c r="C43" s="62"/>
      <c r="D43" s="62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62"/>
      <c r="C44" s="62"/>
      <c r="D44" s="62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62"/>
      <c r="C45" s="62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62"/>
      <c r="C46" s="62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62"/>
      <c r="C47" s="62"/>
      <c r="D47" s="62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62"/>
      <c r="C48" s="62"/>
      <c r="D48" s="62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62"/>
      <c r="C49" s="62"/>
      <c r="D49" s="62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62"/>
      <c r="C50" s="62"/>
      <c r="D50" s="62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62"/>
      <c r="C51" s="62"/>
      <c r="D51" s="62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62"/>
      <c r="C52" s="62"/>
      <c r="D52" s="62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62"/>
      <c r="C53" s="62"/>
      <c r="D53" s="62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62"/>
      <c r="C54" s="62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62"/>
      <c r="C55" s="62"/>
      <c r="D55" s="62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62"/>
      <c r="C56" s="62"/>
      <c r="D56" s="62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62"/>
      <c r="C57" s="62"/>
      <c r="D57" s="62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62"/>
      <c r="C58" s="62"/>
      <c r="D58" s="62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62"/>
      <c r="C59" s="62"/>
      <c r="D59" s="62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62"/>
      <c r="C60" s="62"/>
      <c r="D60" s="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62"/>
      <c r="C61" s="62"/>
      <c r="D61" s="62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62"/>
      <c r="C62" s="62"/>
      <c r="D62" s="62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62"/>
      <c r="C63" s="62"/>
      <c r="D63" s="62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62"/>
      <c r="C64" s="62"/>
      <c r="D64" s="62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62"/>
      <c r="C65" s="62"/>
      <c r="D65" s="62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62"/>
      <c r="C66" s="62"/>
      <c r="D66" s="62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62"/>
      <c r="C67" s="62"/>
      <c r="D67" s="62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62"/>
      <c r="C68" s="62"/>
      <c r="D68" s="62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62"/>
      <c r="C69" s="62"/>
      <c r="D69" s="62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62"/>
      <c r="C70" s="62"/>
      <c r="D70" s="62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62"/>
      <c r="C71" s="62"/>
      <c r="D71" s="62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62"/>
      <c r="C72" s="62"/>
      <c r="D72" s="62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62"/>
      <c r="C73" s="62"/>
      <c r="D73" s="62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62"/>
      <c r="C74" s="62"/>
      <c r="D74" s="62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62"/>
      <c r="C75" s="62"/>
      <c r="D75" s="62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62"/>
      <c r="C76" s="62"/>
      <c r="D76" s="62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62"/>
      <c r="C77" s="62"/>
      <c r="D77" s="62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62"/>
      <c r="C78" s="62"/>
      <c r="D78" s="62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62"/>
      <c r="C79" s="62"/>
      <c r="D79" s="62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62"/>
      <c r="C80" s="62"/>
      <c r="D80" s="62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62"/>
      <c r="C81" s="62"/>
      <c r="D81" s="62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62"/>
      <c r="C82" s="62"/>
      <c r="D82" s="62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62"/>
      <c r="C83" s="62"/>
      <c r="D83" s="62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62"/>
      <c r="C84" s="62"/>
      <c r="D84" s="62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62"/>
      <c r="C85" s="62"/>
      <c r="D85" s="62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62"/>
      <c r="C86" s="62"/>
      <c r="D86" s="62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62"/>
      <c r="C87" s="62"/>
      <c r="D87" s="62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62"/>
      <c r="C88" s="62"/>
      <c r="D88" s="62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62"/>
      <c r="C89" s="62"/>
      <c r="D89" s="62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62"/>
      <c r="C90" s="62"/>
      <c r="D90" s="62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62"/>
      <c r="C91" s="62"/>
      <c r="D91" s="62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62"/>
      <c r="C92" s="62"/>
      <c r="D92" s="62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62"/>
      <c r="C93" s="62"/>
      <c r="D93" s="62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62"/>
      <c r="C94" s="62"/>
      <c r="D94" s="62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62"/>
      <c r="C95" s="62"/>
      <c r="D95" s="62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62"/>
      <c r="C96" s="62"/>
      <c r="D96" s="62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62"/>
      <c r="C97" s="62"/>
      <c r="D97" s="62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62"/>
      <c r="C98" s="62"/>
      <c r="D98" s="62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62"/>
      <c r="C99" s="62"/>
      <c r="D99" s="62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62"/>
      <c r="C100" s="62"/>
      <c r="D100" s="62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62"/>
      <c r="C101" s="62"/>
      <c r="D101" s="62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62"/>
      <c r="C102" s="62"/>
      <c r="D102" s="62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62"/>
      <c r="C103" s="62"/>
      <c r="D103" s="62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62"/>
      <c r="C104" s="62"/>
      <c r="D104" s="62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62"/>
      <c r="C105" s="62"/>
      <c r="D105" s="62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62"/>
      <c r="C106" s="62"/>
      <c r="D106" s="62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62"/>
      <c r="C107" s="62"/>
      <c r="D107" s="62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62"/>
      <c r="C108" s="62"/>
      <c r="D108" s="62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62"/>
      <c r="C109" s="62"/>
      <c r="D109" s="62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62"/>
      <c r="C110" s="62"/>
      <c r="D110" s="62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62"/>
      <c r="C111" s="62"/>
      <c r="D111" s="62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62"/>
      <c r="C112" s="62"/>
      <c r="D112" s="62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62"/>
      <c r="C113" s="62"/>
      <c r="D113" s="62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62"/>
      <c r="C114" s="62"/>
      <c r="D114" s="62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62"/>
      <c r="C115" s="62"/>
      <c r="D115" s="62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62"/>
      <c r="C116" s="62"/>
      <c r="D116" s="62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62"/>
      <c r="C117" s="62"/>
      <c r="D117" s="62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62"/>
      <c r="C118" s="62"/>
      <c r="D118" s="62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62"/>
      <c r="C119" s="62"/>
      <c r="D119" s="62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62"/>
      <c r="C120" s="62"/>
      <c r="D120" s="62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62"/>
      <c r="C121" s="62"/>
      <c r="D121" s="62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62"/>
      <c r="C122" s="62"/>
      <c r="D122" s="62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62"/>
      <c r="C123" s="62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62"/>
      <c r="C124" s="62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62"/>
      <c r="C125" s="62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62"/>
      <c r="C126" s="62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62"/>
      <c r="C127" s="62"/>
      <c r="D127" s="62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62"/>
      <c r="C128" s="62"/>
      <c r="D128" s="62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62"/>
      <c r="C129" s="62"/>
      <c r="D129" s="62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62"/>
      <c r="C130" s="62"/>
      <c r="D130" s="62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62"/>
      <c r="C131" s="62"/>
      <c r="D131" s="62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62"/>
      <c r="C132" s="62"/>
      <c r="D132" s="62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62"/>
      <c r="C133" s="62"/>
      <c r="D133" s="62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62"/>
      <c r="C134" s="62"/>
      <c r="D134" s="62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62"/>
      <c r="C135" s="62"/>
      <c r="D135" s="62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62"/>
      <c r="C136" s="62"/>
      <c r="D136" s="62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62"/>
      <c r="C137" s="62"/>
      <c r="D137" s="62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62"/>
      <c r="C138" s="62"/>
      <c r="D138" s="62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62"/>
      <c r="C139" s="62"/>
      <c r="D139" s="62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62"/>
      <c r="C140" s="62"/>
      <c r="D140" s="62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62"/>
      <c r="C141" s="62"/>
      <c r="D141" s="62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62"/>
      <c r="C142" s="62"/>
      <c r="D142" s="62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62"/>
      <c r="C143" s="62"/>
      <c r="D143" s="62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62"/>
      <c r="C144" s="62"/>
      <c r="D144" s="62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62"/>
      <c r="C145" s="62"/>
      <c r="D145" s="62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62"/>
      <c r="C146" s="62"/>
      <c r="D146" s="62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62"/>
      <c r="C147" s="62"/>
      <c r="D147" s="62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62"/>
      <c r="C148" s="62"/>
      <c r="D148" s="62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62"/>
      <c r="C149" s="62"/>
      <c r="D149" s="62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62"/>
      <c r="C150" s="62"/>
      <c r="D150" s="62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62"/>
      <c r="C151" s="62"/>
      <c r="D151" s="62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62"/>
      <c r="C152" s="62"/>
      <c r="D152" s="62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62"/>
      <c r="C153" s="62"/>
      <c r="D153" s="62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62"/>
      <c r="C154" s="62"/>
      <c r="D154" s="62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62"/>
      <c r="C155" s="62"/>
      <c r="D155" s="62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62"/>
      <c r="C156" s="62"/>
      <c r="D156" s="62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62"/>
      <c r="C157" s="62"/>
      <c r="D157" s="62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62"/>
      <c r="C158" s="62"/>
      <c r="D158" s="62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62"/>
      <c r="C159" s="62"/>
      <c r="D159" s="62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62"/>
      <c r="C160" s="62"/>
      <c r="D160" s="62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62"/>
      <c r="C161" s="62"/>
      <c r="D161" s="62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62"/>
      <c r="C162" s="62"/>
      <c r="D162" s="62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62"/>
      <c r="C163" s="62"/>
      <c r="D163" s="62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62"/>
      <c r="C164" s="62"/>
      <c r="D164" s="62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62"/>
      <c r="C165" s="62"/>
      <c r="D165" s="62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62"/>
      <c r="C166" s="62"/>
      <c r="D166" s="62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62"/>
      <c r="C167" s="62"/>
      <c r="D167" s="62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62"/>
      <c r="C168" s="62"/>
      <c r="D168" s="62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62"/>
      <c r="C169" s="62"/>
      <c r="D169" s="62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62"/>
      <c r="C170" s="62"/>
      <c r="D170" s="62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62"/>
      <c r="C171" s="62"/>
      <c r="D171" s="62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62"/>
      <c r="C172" s="62"/>
      <c r="D172" s="62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62"/>
      <c r="C173" s="62"/>
      <c r="D173" s="62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62"/>
      <c r="C174" s="62"/>
      <c r="D174" s="62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62"/>
      <c r="C175" s="62"/>
      <c r="D175" s="62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62"/>
      <c r="C176" s="62"/>
      <c r="D176" s="62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62"/>
      <c r="C177" s="62"/>
      <c r="D177" s="62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62"/>
      <c r="C178" s="62"/>
      <c r="D178" s="62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62"/>
      <c r="C179" s="62"/>
      <c r="D179" s="62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62"/>
      <c r="C180" s="62"/>
      <c r="D180" s="62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62"/>
      <c r="C181" s="62"/>
      <c r="D181" s="62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62"/>
      <c r="C182" s="62"/>
      <c r="D182" s="62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62"/>
      <c r="C183" s="62"/>
      <c r="D183" s="62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62"/>
      <c r="C184" s="62"/>
      <c r="D184" s="62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62"/>
      <c r="C185" s="62"/>
      <c r="D185" s="62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62"/>
      <c r="C186" s="62"/>
      <c r="D186" s="62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62"/>
      <c r="C187" s="62"/>
      <c r="D187" s="62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62"/>
      <c r="C188" s="62"/>
      <c r="D188" s="62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62"/>
      <c r="C189" s="62"/>
      <c r="D189" s="62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62"/>
      <c r="C190" s="62"/>
      <c r="D190" s="62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62"/>
      <c r="C191" s="62"/>
      <c r="D191" s="62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62"/>
      <c r="C192" s="62"/>
      <c r="D192" s="62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62"/>
      <c r="C193" s="62"/>
      <c r="D193" s="62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62"/>
      <c r="C194" s="62"/>
      <c r="D194" s="62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62"/>
      <c r="C195" s="62"/>
      <c r="D195" s="62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62"/>
      <c r="C196" s="62"/>
      <c r="D196" s="62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62"/>
      <c r="C197" s="62"/>
      <c r="D197" s="62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62"/>
      <c r="C198" s="62"/>
      <c r="D198" s="62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62"/>
      <c r="C199" s="62"/>
      <c r="D199" s="62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62"/>
      <c r="C200" s="62"/>
      <c r="D200" s="62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62"/>
      <c r="C201" s="62"/>
      <c r="D201" s="62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62"/>
      <c r="C202" s="62"/>
      <c r="D202" s="62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62"/>
      <c r="C203" s="62"/>
      <c r="D203" s="62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62"/>
      <c r="C204" s="62"/>
      <c r="D204" s="62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62"/>
      <c r="C205" s="62"/>
      <c r="D205" s="62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62"/>
      <c r="C206" s="62"/>
      <c r="D206" s="62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62"/>
      <c r="C207" s="62"/>
      <c r="D207" s="62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62"/>
      <c r="C208" s="62"/>
      <c r="D208" s="62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62"/>
      <c r="C209" s="62"/>
      <c r="D209" s="62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62"/>
      <c r="C210" s="62"/>
      <c r="D210" s="62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62"/>
      <c r="C211" s="62"/>
      <c r="D211" s="62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62"/>
      <c r="C212" s="62"/>
      <c r="D212" s="62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62"/>
      <c r="C213" s="62"/>
      <c r="D213" s="62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62"/>
      <c r="C214" s="62"/>
      <c r="D214" s="62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62"/>
      <c r="C215" s="62"/>
      <c r="D215" s="62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62"/>
      <c r="C216" s="62"/>
      <c r="D216" s="62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62"/>
      <c r="C217" s="62"/>
      <c r="D217" s="62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62"/>
      <c r="C218" s="62"/>
      <c r="D218" s="62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62"/>
      <c r="C219" s="62"/>
      <c r="D219" s="62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62"/>
      <c r="C220" s="62"/>
      <c r="D220" s="62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62"/>
      <c r="C221" s="62"/>
      <c r="D221" s="62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62"/>
      <c r="C222" s="62"/>
      <c r="D222" s="62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62"/>
      <c r="C223" s="62"/>
      <c r="D223" s="62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62"/>
      <c r="C224" s="62"/>
      <c r="D224" s="62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62"/>
      <c r="C225" s="62"/>
      <c r="D225" s="62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62"/>
      <c r="C226" s="62"/>
      <c r="D226" s="62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62"/>
      <c r="C227" s="62"/>
      <c r="D227" s="62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62"/>
      <c r="C228" s="62"/>
      <c r="D228" s="62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62"/>
      <c r="C229" s="62"/>
      <c r="D229" s="62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62"/>
      <c r="C230" s="62"/>
      <c r="D230" s="62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62"/>
      <c r="C231" s="62"/>
      <c r="D231" s="62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62"/>
      <c r="C232" s="62"/>
      <c r="D232" s="62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62"/>
      <c r="C233" s="62"/>
      <c r="D233" s="62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62"/>
      <c r="C234" s="62"/>
      <c r="D234" s="62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62"/>
      <c r="C235" s="62"/>
      <c r="D235" s="62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62"/>
      <c r="C236" s="62"/>
      <c r="D236" s="62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62"/>
      <c r="C237" s="62"/>
      <c r="D237" s="62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62"/>
      <c r="C238" s="62"/>
      <c r="D238" s="62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62"/>
      <c r="C239" s="62"/>
      <c r="D239" s="62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62"/>
      <c r="C240" s="62"/>
      <c r="D240" s="62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62"/>
      <c r="C241" s="62"/>
      <c r="D241" s="62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62"/>
      <c r="C242" s="62"/>
      <c r="D242" s="62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62"/>
      <c r="C243" s="62"/>
      <c r="D243" s="62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62"/>
      <c r="C244" s="62"/>
      <c r="D244" s="62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62"/>
      <c r="C245" s="62"/>
      <c r="D245" s="62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62"/>
      <c r="C246" s="62"/>
      <c r="D246" s="62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62"/>
      <c r="C247" s="62"/>
      <c r="D247" s="62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62"/>
      <c r="C248" s="62"/>
      <c r="D248" s="62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62"/>
      <c r="C249" s="62"/>
      <c r="D249" s="62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62"/>
      <c r="C250" s="62"/>
      <c r="D250" s="62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62"/>
      <c r="C251" s="62"/>
      <c r="D251" s="62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62"/>
      <c r="C252" s="62"/>
      <c r="D252" s="62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62"/>
      <c r="C253" s="62"/>
      <c r="D253" s="62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62"/>
      <c r="C254" s="62"/>
      <c r="D254" s="62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62"/>
      <c r="C255" s="62"/>
      <c r="D255" s="62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62"/>
      <c r="C256" s="62"/>
      <c r="D256" s="62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62"/>
      <c r="C257" s="62"/>
      <c r="D257" s="62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62"/>
      <c r="C258" s="62"/>
      <c r="D258" s="62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62"/>
      <c r="C259" s="62"/>
      <c r="D259" s="62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62"/>
      <c r="C260" s="62"/>
      <c r="D260" s="62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62"/>
      <c r="C261" s="62"/>
      <c r="D261" s="62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62"/>
      <c r="C262" s="62"/>
      <c r="D262" s="62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62"/>
      <c r="C263" s="62"/>
      <c r="D263" s="62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62"/>
      <c r="C264" s="62"/>
      <c r="D264" s="62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62"/>
      <c r="C265" s="62"/>
      <c r="D265" s="62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62"/>
      <c r="C266" s="62"/>
      <c r="D266" s="62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62"/>
      <c r="C267" s="62"/>
      <c r="D267" s="62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62"/>
      <c r="C268" s="62"/>
      <c r="D268" s="62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62"/>
      <c r="C269" s="62"/>
      <c r="D269" s="62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62"/>
      <c r="C270" s="62"/>
      <c r="D270" s="62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62"/>
      <c r="C271" s="62"/>
      <c r="D271" s="62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62"/>
      <c r="C272" s="62"/>
      <c r="D272" s="62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62"/>
      <c r="C273" s="62"/>
      <c r="D273" s="62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62"/>
      <c r="C274" s="62"/>
      <c r="D274" s="62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62"/>
      <c r="C275" s="62"/>
      <c r="D275" s="62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62"/>
      <c r="C276" s="62"/>
      <c r="D276" s="62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62"/>
      <c r="C277" s="62"/>
      <c r="D277" s="62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</sheetData>
  <mergeCells count="45">
    <mergeCell ref="X4:X5"/>
    <mergeCell ref="B5:E5"/>
    <mergeCell ref="F5:G5"/>
    <mergeCell ref="B3:E4"/>
    <mergeCell ref="L3:P3"/>
    <mergeCell ref="T4:T5"/>
    <mergeCell ref="V4:V5"/>
    <mergeCell ref="W4:W5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B25:B27"/>
    <mergeCell ref="D25:E25"/>
    <mergeCell ref="F25:G25"/>
    <mergeCell ref="H25:P25"/>
    <mergeCell ref="D26:E26"/>
    <mergeCell ref="F26:G26"/>
    <mergeCell ref="H26:P26"/>
    <mergeCell ref="D27:E27"/>
    <mergeCell ref="F27:G27"/>
    <mergeCell ref="H27:P27"/>
    <mergeCell ref="B22:D22"/>
    <mergeCell ref="B23:X23"/>
    <mergeCell ref="D24:E24"/>
    <mergeCell ref="F24:G24"/>
    <mergeCell ref="H24:P24"/>
    <mergeCell ref="B28:B30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7"/>
  <sheetViews>
    <sheetView topLeftCell="A4" workbookViewId="0">
      <selection activeCell="A9" sqref="A9:XFD15"/>
    </sheetView>
  </sheetViews>
  <sheetFormatPr defaultRowHeight="13.5" x14ac:dyDescent="0.3"/>
  <cols>
    <col min="1" max="1" width="1.625" style="62" customWidth="1"/>
    <col min="2" max="2" width="4.625" style="62" bestFit="1" customWidth="1"/>
    <col min="3" max="3" width="7.625" style="62" bestFit="1" customWidth="1"/>
    <col min="4" max="4" width="8" style="62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62" customWidth="1"/>
    <col min="26" max="26" width="8.375" style="62" customWidth="1"/>
    <col min="27" max="27" width="7.25" style="62" customWidth="1"/>
    <col min="28" max="28" width="3.875" style="62" customWidth="1"/>
    <col min="29" max="29" width="0.5" style="62" customWidth="1"/>
    <col min="30" max="257" width="9" style="62"/>
    <col min="258" max="258" width="4.625" style="62" bestFit="1" customWidth="1"/>
    <col min="259" max="259" width="7.5" style="62" bestFit="1" customWidth="1"/>
    <col min="260" max="260" width="6.25" style="62" customWidth="1"/>
    <col min="261" max="261" width="11" style="62" bestFit="1" customWidth="1"/>
    <col min="262" max="263" width="9.625" style="62" bestFit="1" customWidth="1"/>
    <col min="264" max="264" width="8.25" style="62" bestFit="1" customWidth="1"/>
    <col min="265" max="266" width="9.625" style="62" bestFit="1" customWidth="1"/>
    <col min="267" max="267" width="8.25" style="62" bestFit="1" customWidth="1"/>
    <col min="268" max="269" width="9.625" style="62" bestFit="1" customWidth="1"/>
    <col min="270" max="271" width="8.25" style="62" bestFit="1" customWidth="1"/>
    <col min="272" max="272" width="11" style="62" bestFit="1" customWidth="1"/>
    <col min="273" max="273" width="8" style="62" bestFit="1" customWidth="1"/>
    <col min="274" max="274" width="7.75" style="62" bestFit="1" customWidth="1"/>
    <col min="275" max="276" width="9.625" style="62" bestFit="1" customWidth="1"/>
    <col min="277" max="278" width="9.625" style="62" customWidth="1"/>
    <col min="279" max="279" width="9.25" style="62" bestFit="1" customWidth="1"/>
    <col min="280" max="280" width="11" style="62" bestFit="1" customWidth="1"/>
    <col min="281" max="513" width="9" style="62"/>
    <col min="514" max="514" width="4.625" style="62" bestFit="1" customWidth="1"/>
    <col min="515" max="515" width="7.5" style="62" bestFit="1" customWidth="1"/>
    <col min="516" max="516" width="6.25" style="62" customWidth="1"/>
    <col min="517" max="517" width="11" style="62" bestFit="1" customWidth="1"/>
    <col min="518" max="519" width="9.625" style="62" bestFit="1" customWidth="1"/>
    <col min="520" max="520" width="8.25" style="62" bestFit="1" customWidth="1"/>
    <col min="521" max="522" width="9.625" style="62" bestFit="1" customWidth="1"/>
    <col min="523" max="523" width="8.25" style="62" bestFit="1" customWidth="1"/>
    <col min="524" max="525" width="9.625" style="62" bestFit="1" customWidth="1"/>
    <col min="526" max="527" width="8.25" style="62" bestFit="1" customWidth="1"/>
    <col min="528" max="528" width="11" style="62" bestFit="1" customWidth="1"/>
    <col min="529" max="529" width="8" style="62" bestFit="1" customWidth="1"/>
    <col min="530" max="530" width="7.75" style="62" bestFit="1" customWidth="1"/>
    <col min="531" max="532" width="9.625" style="62" bestFit="1" customWidth="1"/>
    <col min="533" max="534" width="9.625" style="62" customWidth="1"/>
    <col min="535" max="535" width="9.25" style="62" bestFit="1" customWidth="1"/>
    <col min="536" max="536" width="11" style="62" bestFit="1" customWidth="1"/>
    <col min="537" max="769" width="9" style="62"/>
    <col min="770" max="770" width="4.625" style="62" bestFit="1" customWidth="1"/>
    <col min="771" max="771" width="7.5" style="62" bestFit="1" customWidth="1"/>
    <col min="772" max="772" width="6.25" style="62" customWidth="1"/>
    <col min="773" max="773" width="11" style="62" bestFit="1" customWidth="1"/>
    <col min="774" max="775" width="9.625" style="62" bestFit="1" customWidth="1"/>
    <col min="776" max="776" width="8.25" style="62" bestFit="1" customWidth="1"/>
    <col min="777" max="778" width="9.625" style="62" bestFit="1" customWidth="1"/>
    <col min="779" max="779" width="8.25" style="62" bestFit="1" customWidth="1"/>
    <col min="780" max="781" width="9.625" style="62" bestFit="1" customWidth="1"/>
    <col min="782" max="783" width="8.25" style="62" bestFit="1" customWidth="1"/>
    <col min="784" max="784" width="11" style="62" bestFit="1" customWidth="1"/>
    <col min="785" max="785" width="8" style="62" bestFit="1" customWidth="1"/>
    <col min="786" max="786" width="7.75" style="62" bestFit="1" customWidth="1"/>
    <col min="787" max="788" width="9.625" style="62" bestFit="1" customWidth="1"/>
    <col min="789" max="790" width="9.625" style="62" customWidth="1"/>
    <col min="791" max="791" width="9.25" style="62" bestFit="1" customWidth="1"/>
    <col min="792" max="792" width="11" style="62" bestFit="1" customWidth="1"/>
    <col min="793" max="1025" width="9" style="62"/>
    <col min="1026" max="1026" width="4.625" style="62" bestFit="1" customWidth="1"/>
    <col min="1027" max="1027" width="7.5" style="62" bestFit="1" customWidth="1"/>
    <col min="1028" max="1028" width="6.25" style="62" customWidth="1"/>
    <col min="1029" max="1029" width="11" style="62" bestFit="1" customWidth="1"/>
    <col min="1030" max="1031" width="9.625" style="62" bestFit="1" customWidth="1"/>
    <col min="1032" max="1032" width="8.25" style="62" bestFit="1" customWidth="1"/>
    <col min="1033" max="1034" width="9.625" style="62" bestFit="1" customWidth="1"/>
    <col min="1035" max="1035" width="8.25" style="62" bestFit="1" customWidth="1"/>
    <col min="1036" max="1037" width="9.625" style="62" bestFit="1" customWidth="1"/>
    <col min="1038" max="1039" width="8.25" style="62" bestFit="1" customWidth="1"/>
    <col min="1040" max="1040" width="11" style="62" bestFit="1" customWidth="1"/>
    <col min="1041" max="1041" width="8" style="62" bestFit="1" customWidth="1"/>
    <col min="1042" max="1042" width="7.75" style="62" bestFit="1" customWidth="1"/>
    <col min="1043" max="1044" width="9.625" style="62" bestFit="1" customWidth="1"/>
    <col min="1045" max="1046" width="9.625" style="62" customWidth="1"/>
    <col min="1047" max="1047" width="9.25" style="62" bestFit="1" customWidth="1"/>
    <col min="1048" max="1048" width="11" style="62" bestFit="1" customWidth="1"/>
    <col min="1049" max="1281" width="9" style="62"/>
    <col min="1282" max="1282" width="4.625" style="62" bestFit="1" customWidth="1"/>
    <col min="1283" max="1283" width="7.5" style="62" bestFit="1" customWidth="1"/>
    <col min="1284" max="1284" width="6.25" style="62" customWidth="1"/>
    <col min="1285" max="1285" width="11" style="62" bestFit="1" customWidth="1"/>
    <col min="1286" max="1287" width="9.625" style="62" bestFit="1" customWidth="1"/>
    <col min="1288" max="1288" width="8.25" style="62" bestFit="1" customWidth="1"/>
    <col min="1289" max="1290" width="9.625" style="62" bestFit="1" customWidth="1"/>
    <col min="1291" max="1291" width="8.25" style="62" bestFit="1" customWidth="1"/>
    <col min="1292" max="1293" width="9.625" style="62" bestFit="1" customWidth="1"/>
    <col min="1294" max="1295" width="8.25" style="62" bestFit="1" customWidth="1"/>
    <col min="1296" max="1296" width="11" style="62" bestFit="1" customWidth="1"/>
    <col min="1297" max="1297" width="8" style="62" bestFit="1" customWidth="1"/>
    <col min="1298" max="1298" width="7.75" style="62" bestFit="1" customWidth="1"/>
    <col min="1299" max="1300" width="9.625" style="62" bestFit="1" customWidth="1"/>
    <col min="1301" max="1302" width="9.625" style="62" customWidth="1"/>
    <col min="1303" max="1303" width="9.25" style="62" bestFit="1" customWidth="1"/>
    <col min="1304" max="1304" width="11" style="62" bestFit="1" customWidth="1"/>
    <col min="1305" max="1537" width="9" style="62"/>
    <col min="1538" max="1538" width="4.625" style="62" bestFit="1" customWidth="1"/>
    <col min="1539" max="1539" width="7.5" style="62" bestFit="1" customWidth="1"/>
    <col min="1540" max="1540" width="6.25" style="62" customWidth="1"/>
    <col min="1541" max="1541" width="11" style="62" bestFit="1" customWidth="1"/>
    <col min="1542" max="1543" width="9.625" style="62" bestFit="1" customWidth="1"/>
    <col min="1544" max="1544" width="8.25" style="62" bestFit="1" customWidth="1"/>
    <col min="1545" max="1546" width="9.625" style="62" bestFit="1" customWidth="1"/>
    <col min="1547" max="1547" width="8.25" style="62" bestFit="1" customWidth="1"/>
    <col min="1548" max="1549" width="9.625" style="62" bestFit="1" customWidth="1"/>
    <col min="1550" max="1551" width="8.25" style="62" bestFit="1" customWidth="1"/>
    <col min="1552" max="1552" width="11" style="62" bestFit="1" customWidth="1"/>
    <col min="1553" max="1553" width="8" style="62" bestFit="1" customWidth="1"/>
    <col min="1554" max="1554" width="7.75" style="62" bestFit="1" customWidth="1"/>
    <col min="1555" max="1556" width="9.625" style="62" bestFit="1" customWidth="1"/>
    <col min="1557" max="1558" width="9.625" style="62" customWidth="1"/>
    <col min="1559" max="1559" width="9.25" style="62" bestFit="1" customWidth="1"/>
    <col min="1560" max="1560" width="11" style="62" bestFit="1" customWidth="1"/>
    <col min="1561" max="1793" width="9" style="62"/>
    <col min="1794" max="1794" width="4.625" style="62" bestFit="1" customWidth="1"/>
    <col min="1795" max="1795" width="7.5" style="62" bestFit="1" customWidth="1"/>
    <col min="1796" max="1796" width="6.25" style="62" customWidth="1"/>
    <col min="1797" max="1797" width="11" style="62" bestFit="1" customWidth="1"/>
    <col min="1798" max="1799" width="9.625" style="62" bestFit="1" customWidth="1"/>
    <col min="1800" max="1800" width="8.25" style="62" bestFit="1" customWidth="1"/>
    <col min="1801" max="1802" width="9.625" style="62" bestFit="1" customWidth="1"/>
    <col min="1803" max="1803" width="8.25" style="62" bestFit="1" customWidth="1"/>
    <col min="1804" max="1805" width="9.625" style="62" bestFit="1" customWidth="1"/>
    <col min="1806" max="1807" width="8.25" style="62" bestFit="1" customWidth="1"/>
    <col min="1808" max="1808" width="11" style="62" bestFit="1" customWidth="1"/>
    <col min="1809" max="1809" width="8" style="62" bestFit="1" customWidth="1"/>
    <col min="1810" max="1810" width="7.75" style="62" bestFit="1" customWidth="1"/>
    <col min="1811" max="1812" width="9.625" style="62" bestFit="1" customWidth="1"/>
    <col min="1813" max="1814" width="9.625" style="62" customWidth="1"/>
    <col min="1815" max="1815" width="9.25" style="62" bestFit="1" customWidth="1"/>
    <col min="1816" max="1816" width="11" style="62" bestFit="1" customWidth="1"/>
    <col min="1817" max="2049" width="9" style="62"/>
    <col min="2050" max="2050" width="4.625" style="62" bestFit="1" customWidth="1"/>
    <col min="2051" max="2051" width="7.5" style="62" bestFit="1" customWidth="1"/>
    <col min="2052" max="2052" width="6.25" style="62" customWidth="1"/>
    <col min="2053" max="2053" width="11" style="62" bestFit="1" customWidth="1"/>
    <col min="2054" max="2055" width="9.625" style="62" bestFit="1" customWidth="1"/>
    <col min="2056" max="2056" width="8.25" style="62" bestFit="1" customWidth="1"/>
    <col min="2057" max="2058" width="9.625" style="62" bestFit="1" customWidth="1"/>
    <col min="2059" max="2059" width="8.25" style="62" bestFit="1" customWidth="1"/>
    <col min="2060" max="2061" width="9.625" style="62" bestFit="1" customWidth="1"/>
    <col min="2062" max="2063" width="8.25" style="62" bestFit="1" customWidth="1"/>
    <col min="2064" max="2064" width="11" style="62" bestFit="1" customWidth="1"/>
    <col min="2065" max="2065" width="8" style="62" bestFit="1" customWidth="1"/>
    <col min="2066" max="2066" width="7.75" style="62" bestFit="1" customWidth="1"/>
    <col min="2067" max="2068" width="9.625" style="62" bestFit="1" customWidth="1"/>
    <col min="2069" max="2070" width="9.625" style="62" customWidth="1"/>
    <col min="2071" max="2071" width="9.25" style="62" bestFit="1" customWidth="1"/>
    <col min="2072" max="2072" width="11" style="62" bestFit="1" customWidth="1"/>
    <col min="2073" max="2305" width="9" style="62"/>
    <col min="2306" max="2306" width="4.625" style="62" bestFit="1" customWidth="1"/>
    <col min="2307" max="2307" width="7.5" style="62" bestFit="1" customWidth="1"/>
    <col min="2308" max="2308" width="6.25" style="62" customWidth="1"/>
    <col min="2309" max="2309" width="11" style="62" bestFit="1" customWidth="1"/>
    <col min="2310" max="2311" width="9.625" style="62" bestFit="1" customWidth="1"/>
    <col min="2312" max="2312" width="8.25" style="62" bestFit="1" customWidth="1"/>
    <col min="2313" max="2314" width="9.625" style="62" bestFit="1" customWidth="1"/>
    <col min="2315" max="2315" width="8.25" style="62" bestFit="1" customWidth="1"/>
    <col min="2316" max="2317" width="9.625" style="62" bestFit="1" customWidth="1"/>
    <col min="2318" max="2319" width="8.25" style="62" bestFit="1" customWidth="1"/>
    <col min="2320" max="2320" width="11" style="62" bestFit="1" customWidth="1"/>
    <col min="2321" max="2321" width="8" style="62" bestFit="1" customWidth="1"/>
    <col min="2322" max="2322" width="7.75" style="62" bestFit="1" customWidth="1"/>
    <col min="2323" max="2324" width="9.625" style="62" bestFit="1" customWidth="1"/>
    <col min="2325" max="2326" width="9.625" style="62" customWidth="1"/>
    <col min="2327" max="2327" width="9.25" style="62" bestFit="1" customWidth="1"/>
    <col min="2328" max="2328" width="11" style="62" bestFit="1" customWidth="1"/>
    <col min="2329" max="2561" width="9" style="62"/>
    <col min="2562" max="2562" width="4.625" style="62" bestFit="1" customWidth="1"/>
    <col min="2563" max="2563" width="7.5" style="62" bestFit="1" customWidth="1"/>
    <col min="2564" max="2564" width="6.25" style="62" customWidth="1"/>
    <col min="2565" max="2565" width="11" style="62" bestFit="1" customWidth="1"/>
    <col min="2566" max="2567" width="9.625" style="62" bestFit="1" customWidth="1"/>
    <col min="2568" max="2568" width="8.25" style="62" bestFit="1" customWidth="1"/>
    <col min="2569" max="2570" width="9.625" style="62" bestFit="1" customWidth="1"/>
    <col min="2571" max="2571" width="8.25" style="62" bestFit="1" customWidth="1"/>
    <col min="2572" max="2573" width="9.625" style="62" bestFit="1" customWidth="1"/>
    <col min="2574" max="2575" width="8.25" style="62" bestFit="1" customWidth="1"/>
    <col min="2576" max="2576" width="11" style="62" bestFit="1" customWidth="1"/>
    <col min="2577" max="2577" width="8" style="62" bestFit="1" customWidth="1"/>
    <col min="2578" max="2578" width="7.75" style="62" bestFit="1" customWidth="1"/>
    <col min="2579" max="2580" width="9.625" style="62" bestFit="1" customWidth="1"/>
    <col min="2581" max="2582" width="9.625" style="62" customWidth="1"/>
    <col min="2583" max="2583" width="9.25" style="62" bestFit="1" customWidth="1"/>
    <col min="2584" max="2584" width="11" style="62" bestFit="1" customWidth="1"/>
    <col min="2585" max="2817" width="9" style="62"/>
    <col min="2818" max="2818" width="4.625" style="62" bestFit="1" customWidth="1"/>
    <col min="2819" max="2819" width="7.5" style="62" bestFit="1" customWidth="1"/>
    <col min="2820" max="2820" width="6.25" style="62" customWidth="1"/>
    <col min="2821" max="2821" width="11" style="62" bestFit="1" customWidth="1"/>
    <col min="2822" max="2823" width="9.625" style="62" bestFit="1" customWidth="1"/>
    <col min="2824" max="2824" width="8.25" style="62" bestFit="1" customWidth="1"/>
    <col min="2825" max="2826" width="9.625" style="62" bestFit="1" customWidth="1"/>
    <col min="2827" max="2827" width="8.25" style="62" bestFit="1" customWidth="1"/>
    <col min="2828" max="2829" width="9.625" style="62" bestFit="1" customWidth="1"/>
    <col min="2830" max="2831" width="8.25" style="62" bestFit="1" customWidth="1"/>
    <col min="2832" max="2832" width="11" style="62" bestFit="1" customWidth="1"/>
    <col min="2833" max="2833" width="8" style="62" bestFit="1" customWidth="1"/>
    <col min="2834" max="2834" width="7.75" style="62" bestFit="1" customWidth="1"/>
    <col min="2835" max="2836" width="9.625" style="62" bestFit="1" customWidth="1"/>
    <col min="2837" max="2838" width="9.625" style="62" customWidth="1"/>
    <col min="2839" max="2839" width="9.25" style="62" bestFit="1" customWidth="1"/>
    <col min="2840" max="2840" width="11" style="62" bestFit="1" customWidth="1"/>
    <col min="2841" max="3073" width="9" style="62"/>
    <col min="3074" max="3074" width="4.625" style="62" bestFit="1" customWidth="1"/>
    <col min="3075" max="3075" width="7.5" style="62" bestFit="1" customWidth="1"/>
    <col min="3076" max="3076" width="6.25" style="62" customWidth="1"/>
    <col min="3077" max="3077" width="11" style="62" bestFit="1" customWidth="1"/>
    <col min="3078" max="3079" width="9.625" style="62" bestFit="1" customWidth="1"/>
    <col min="3080" max="3080" width="8.25" style="62" bestFit="1" customWidth="1"/>
    <col min="3081" max="3082" width="9.625" style="62" bestFit="1" customWidth="1"/>
    <col min="3083" max="3083" width="8.25" style="62" bestFit="1" customWidth="1"/>
    <col min="3084" max="3085" width="9.625" style="62" bestFit="1" customWidth="1"/>
    <col min="3086" max="3087" width="8.25" style="62" bestFit="1" customWidth="1"/>
    <col min="3088" max="3088" width="11" style="62" bestFit="1" customWidth="1"/>
    <col min="3089" max="3089" width="8" style="62" bestFit="1" customWidth="1"/>
    <col min="3090" max="3090" width="7.75" style="62" bestFit="1" customWidth="1"/>
    <col min="3091" max="3092" width="9.625" style="62" bestFit="1" customWidth="1"/>
    <col min="3093" max="3094" width="9.625" style="62" customWidth="1"/>
    <col min="3095" max="3095" width="9.25" style="62" bestFit="1" customWidth="1"/>
    <col min="3096" max="3096" width="11" style="62" bestFit="1" customWidth="1"/>
    <col min="3097" max="3329" width="9" style="62"/>
    <col min="3330" max="3330" width="4.625" style="62" bestFit="1" customWidth="1"/>
    <col min="3331" max="3331" width="7.5" style="62" bestFit="1" customWidth="1"/>
    <col min="3332" max="3332" width="6.25" style="62" customWidth="1"/>
    <col min="3333" max="3333" width="11" style="62" bestFit="1" customWidth="1"/>
    <col min="3334" max="3335" width="9.625" style="62" bestFit="1" customWidth="1"/>
    <col min="3336" max="3336" width="8.25" style="62" bestFit="1" customWidth="1"/>
    <col min="3337" max="3338" width="9.625" style="62" bestFit="1" customWidth="1"/>
    <col min="3339" max="3339" width="8.25" style="62" bestFit="1" customWidth="1"/>
    <col min="3340" max="3341" width="9.625" style="62" bestFit="1" customWidth="1"/>
    <col min="3342" max="3343" width="8.25" style="62" bestFit="1" customWidth="1"/>
    <col min="3344" max="3344" width="11" style="62" bestFit="1" customWidth="1"/>
    <col min="3345" max="3345" width="8" style="62" bestFit="1" customWidth="1"/>
    <col min="3346" max="3346" width="7.75" style="62" bestFit="1" customWidth="1"/>
    <col min="3347" max="3348" width="9.625" style="62" bestFit="1" customWidth="1"/>
    <col min="3349" max="3350" width="9.625" style="62" customWidth="1"/>
    <col min="3351" max="3351" width="9.25" style="62" bestFit="1" customWidth="1"/>
    <col min="3352" max="3352" width="11" style="62" bestFit="1" customWidth="1"/>
    <col min="3353" max="3585" width="9" style="62"/>
    <col min="3586" max="3586" width="4.625" style="62" bestFit="1" customWidth="1"/>
    <col min="3587" max="3587" width="7.5" style="62" bestFit="1" customWidth="1"/>
    <col min="3588" max="3588" width="6.25" style="62" customWidth="1"/>
    <col min="3589" max="3589" width="11" style="62" bestFit="1" customWidth="1"/>
    <col min="3590" max="3591" width="9.625" style="62" bestFit="1" customWidth="1"/>
    <col min="3592" max="3592" width="8.25" style="62" bestFit="1" customWidth="1"/>
    <col min="3593" max="3594" width="9.625" style="62" bestFit="1" customWidth="1"/>
    <col min="3595" max="3595" width="8.25" style="62" bestFit="1" customWidth="1"/>
    <col min="3596" max="3597" width="9.625" style="62" bestFit="1" customWidth="1"/>
    <col min="3598" max="3599" width="8.25" style="62" bestFit="1" customWidth="1"/>
    <col min="3600" max="3600" width="11" style="62" bestFit="1" customWidth="1"/>
    <col min="3601" max="3601" width="8" style="62" bestFit="1" customWidth="1"/>
    <col min="3602" max="3602" width="7.75" style="62" bestFit="1" customWidth="1"/>
    <col min="3603" max="3604" width="9.625" style="62" bestFit="1" customWidth="1"/>
    <col min="3605" max="3606" width="9.625" style="62" customWidth="1"/>
    <col min="3607" max="3607" width="9.25" style="62" bestFit="1" customWidth="1"/>
    <col min="3608" max="3608" width="11" style="62" bestFit="1" customWidth="1"/>
    <col min="3609" max="3841" width="9" style="62"/>
    <col min="3842" max="3842" width="4.625" style="62" bestFit="1" customWidth="1"/>
    <col min="3843" max="3843" width="7.5" style="62" bestFit="1" customWidth="1"/>
    <col min="3844" max="3844" width="6.25" style="62" customWidth="1"/>
    <col min="3845" max="3845" width="11" style="62" bestFit="1" customWidth="1"/>
    <col min="3846" max="3847" width="9.625" style="62" bestFit="1" customWidth="1"/>
    <col min="3848" max="3848" width="8.25" style="62" bestFit="1" customWidth="1"/>
    <col min="3849" max="3850" width="9.625" style="62" bestFit="1" customWidth="1"/>
    <col min="3851" max="3851" width="8.25" style="62" bestFit="1" customWidth="1"/>
    <col min="3852" max="3853" width="9.625" style="62" bestFit="1" customWidth="1"/>
    <col min="3854" max="3855" width="8.25" style="62" bestFit="1" customWidth="1"/>
    <col min="3856" max="3856" width="11" style="62" bestFit="1" customWidth="1"/>
    <col min="3857" max="3857" width="8" style="62" bestFit="1" customWidth="1"/>
    <col min="3858" max="3858" width="7.75" style="62" bestFit="1" customWidth="1"/>
    <col min="3859" max="3860" width="9.625" style="62" bestFit="1" customWidth="1"/>
    <col min="3861" max="3862" width="9.625" style="62" customWidth="1"/>
    <col min="3863" max="3863" width="9.25" style="62" bestFit="1" customWidth="1"/>
    <col min="3864" max="3864" width="11" style="62" bestFit="1" customWidth="1"/>
    <col min="3865" max="4097" width="9" style="62"/>
    <col min="4098" max="4098" width="4.625" style="62" bestFit="1" customWidth="1"/>
    <col min="4099" max="4099" width="7.5" style="62" bestFit="1" customWidth="1"/>
    <col min="4100" max="4100" width="6.25" style="62" customWidth="1"/>
    <col min="4101" max="4101" width="11" style="62" bestFit="1" customWidth="1"/>
    <col min="4102" max="4103" width="9.625" style="62" bestFit="1" customWidth="1"/>
    <col min="4104" max="4104" width="8.25" style="62" bestFit="1" customWidth="1"/>
    <col min="4105" max="4106" width="9.625" style="62" bestFit="1" customWidth="1"/>
    <col min="4107" max="4107" width="8.25" style="62" bestFit="1" customWidth="1"/>
    <col min="4108" max="4109" width="9.625" style="62" bestFit="1" customWidth="1"/>
    <col min="4110" max="4111" width="8.25" style="62" bestFit="1" customWidth="1"/>
    <col min="4112" max="4112" width="11" style="62" bestFit="1" customWidth="1"/>
    <col min="4113" max="4113" width="8" style="62" bestFit="1" customWidth="1"/>
    <col min="4114" max="4114" width="7.75" style="62" bestFit="1" customWidth="1"/>
    <col min="4115" max="4116" width="9.625" style="62" bestFit="1" customWidth="1"/>
    <col min="4117" max="4118" width="9.625" style="62" customWidth="1"/>
    <col min="4119" max="4119" width="9.25" style="62" bestFit="1" customWidth="1"/>
    <col min="4120" max="4120" width="11" style="62" bestFit="1" customWidth="1"/>
    <col min="4121" max="4353" width="9" style="62"/>
    <col min="4354" max="4354" width="4.625" style="62" bestFit="1" customWidth="1"/>
    <col min="4355" max="4355" width="7.5" style="62" bestFit="1" customWidth="1"/>
    <col min="4356" max="4356" width="6.25" style="62" customWidth="1"/>
    <col min="4357" max="4357" width="11" style="62" bestFit="1" customWidth="1"/>
    <col min="4358" max="4359" width="9.625" style="62" bestFit="1" customWidth="1"/>
    <col min="4360" max="4360" width="8.25" style="62" bestFit="1" customWidth="1"/>
    <col min="4361" max="4362" width="9.625" style="62" bestFit="1" customWidth="1"/>
    <col min="4363" max="4363" width="8.25" style="62" bestFit="1" customWidth="1"/>
    <col min="4364" max="4365" width="9.625" style="62" bestFit="1" customWidth="1"/>
    <col min="4366" max="4367" width="8.25" style="62" bestFit="1" customWidth="1"/>
    <col min="4368" max="4368" width="11" style="62" bestFit="1" customWidth="1"/>
    <col min="4369" max="4369" width="8" style="62" bestFit="1" customWidth="1"/>
    <col min="4370" max="4370" width="7.75" style="62" bestFit="1" customWidth="1"/>
    <col min="4371" max="4372" width="9.625" style="62" bestFit="1" customWidth="1"/>
    <col min="4373" max="4374" width="9.625" style="62" customWidth="1"/>
    <col min="4375" max="4375" width="9.25" style="62" bestFit="1" customWidth="1"/>
    <col min="4376" max="4376" width="11" style="62" bestFit="1" customWidth="1"/>
    <col min="4377" max="4609" width="9" style="62"/>
    <col min="4610" max="4610" width="4.625" style="62" bestFit="1" customWidth="1"/>
    <col min="4611" max="4611" width="7.5" style="62" bestFit="1" customWidth="1"/>
    <col min="4612" max="4612" width="6.25" style="62" customWidth="1"/>
    <col min="4613" max="4613" width="11" style="62" bestFit="1" customWidth="1"/>
    <col min="4614" max="4615" width="9.625" style="62" bestFit="1" customWidth="1"/>
    <col min="4616" max="4616" width="8.25" style="62" bestFit="1" customWidth="1"/>
    <col min="4617" max="4618" width="9.625" style="62" bestFit="1" customWidth="1"/>
    <col min="4619" max="4619" width="8.25" style="62" bestFit="1" customWidth="1"/>
    <col min="4620" max="4621" width="9.625" style="62" bestFit="1" customWidth="1"/>
    <col min="4622" max="4623" width="8.25" style="62" bestFit="1" customWidth="1"/>
    <col min="4624" max="4624" width="11" style="62" bestFit="1" customWidth="1"/>
    <col min="4625" max="4625" width="8" style="62" bestFit="1" customWidth="1"/>
    <col min="4626" max="4626" width="7.75" style="62" bestFit="1" customWidth="1"/>
    <col min="4627" max="4628" width="9.625" style="62" bestFit="1" customWidth="1"/>
    <col min="4629" max="4630" width="9.625" style="62" customWidth="1"/>
    <col min="4631" max="4631" width="9.25" style="62" bestFit="1" customWidth="1"/>
    <col min="4632" max="4632" width="11" style="62" bestFit="1" customWidth="1"/>
    <col min="4633" max="4865" width="9" style="62"/>
    <col min="4866" max="4866" width="4.625" style="62" bestFit="1" customWidth="1"/>
    <col min="4867" max="4867" width="7.5" style="62" bestFit="1" customWidth="1"/>
    <col min="4868" max="4868" width="6.25" style="62" customWidth="1"/>
    <col min="4869" max="4869" width="11" style="62" bestFit="1" customWidth="1"/>
    <col min="4870" max="4871" width="9.625" style="62" bestFit="1" customWidth="1"/>
    <col min="4872" max="4872" width="8.25" style="62" bestFit="1" customWidth="1"/>
    <col min="4873" max="4874" width="9.625" style="62" bestFit="1" customWidth="1"/>
    <col min="4875" max="4875" width="8.25" style="62" bestFit="1" customWidth="1"/>
    <col min="4876" max="4877" width="9.625" style="62" bestFit="1" customWidth="1"/>
    <col min="4878" max="4879" width="8.25" style="62" bestFit="1" customWidth="1"/>
    <col min="4880" max="4880" width="11" style="62" bestFit="1" customWidth="1"/>
    <col min="4881" max="4881" width="8" style="62" bestFit="1" customWidth="1"/>
    <col min="4882" max="4882" width="7.75" style="62" bestFit="1" customWidth="1"/>
    <col min="4883" max="4884" width="9.625" style="62" bestFit="1" customWidth="1"/>
    <col min="4885" max="4886" width="9.625" style="62" customWidth="1"/>
    <col min="4887" max="4887" width="9.25" style="62" bestFit="1" customWidth="1"/>
    <col min="4888" max="4888" width="11" style="62" bestFit="1" customWidth="1"/>
    <col min="4889" max="5121" width="9" style="62"/>
    <col min="5122" max="5122" width="4.625" style="62" bestFit="1" customWidth="1"/>
    <col min="5123" max="5123" width="7.5" style="62" bestFit="1" customWidth="1"/>
    <col min="5124" max="5124" width="6.25" style="62" customWidth="1"/>
    <col min="5125" max="5125" width="11" style="62" bestFit="1" customWidth="1"/>
    <col min="5126" max="5127" width="9.625" style="62" bestFit="1" customWidth="1"/>
    <col min="5128" max="5128" width="8.25" style="62" bestFit="1" customWidth="1"/>
    <col min="5129" max="5130" width="9.625" style="62" bestFit="1" customWidth="1"/>
    <col min="5131" max="5131" width="8.25" style="62" bestFit="1" customWidth="1"/>
    <col min="5132" max="5133" width="9.625" style="62" bestFit="1" customWidth="1"/>
    <col min="5134" max="5135" width="8.25" style="62" bestFit="1" customWidth="1"/>
    <col min="5136" max="5136" width="11" style="62" bestFit="1" customWidth="1"/>
    <col min="5137" max="5137" width="8" style="62" bestFit="1" customWidth="1"/>
    <col min="5138" max="5138" width="7.75" style="62" bestFit="1" customWidth="1"/>
    <col min="5139" max="5140" width="9.625" style="62" bestFit="1" customWidth="1"/>
    <col min="5141" max="5142" width="9.625" style="62" customWidth="1"/>
    <col min="5143" max="5143" width="9.25" style="62" bestFit="1" customWidth="1"/>
    <col min="5144" max="5144" width="11" style="62" bestFit="1" customWidth="1"/>
    <col min="5145" max="5377" width="9" style="62"/>
    <col min="5378" max="5378" width="4.625" style="62" bestFit="1" customWidth="1"/>
    <col min="5379" max="5379" width="7.5" style="62" bestFit="1" customWidth="1"/>
    <col min="5380" max="5380" width="6.25" style="62" customWidth="1"/>
    <col min="5381" max="5381" width="11" style="62" bestFit="1" customWidth="1"/>
    <col min="5382" max="5383" width="9.625" style="62" bestFit="1" customWidth="1"/>
    <col min="5384" max="5384" width="8.25" style="62" bestFit="1" customWidth="1"/>
    <col min="5385" max="5386" width="9.625" style="62" bestFit="1" customWidth="1"/>
    <col min="5387" max="5387" width="8.25" style="62" bestFit="1" customWidth="1"/>
    <col min="5388" max="5389" width="9.625" style="62" bestFit="1" customWidth="1"/>
    <col min="5390" max="5391" width="8.25" style="62" bestFit="1" customWidth="1"/>
    <col min="5392" max="5392" width="11" style="62" bestFit="1" customWidth="1"/>
    <col min="5393" max="5393" width="8" style="62" bestFit="1" customWidth="1"/>
    <col min="5394" max="5394" width="7.75" style="62" bestFit="1" customWidth="1"/>
    <col min="5395" max="5396" width="9.625" style="62" bestFit="1" customWidth="1"/>
    <col min="5397" max="5398" width="9.625" style="62" customWidth="1"/>
    <col min="5399" max="5399" width="9.25" style="62" bestFit="1" customWidth="1"/>
    <col min="5400" max="5400" width="11" style="62" bestFit="1" customWidth="1"/>
    <col min="5401" max="5633" width="9" style="62"/>
    <col min="5634" max="5634" width="4.625" style="62" bestFit="1" customWidth="1"/>
    <col min="5635" max="5635" width="7.5" style="62" bestFit="1" customWidth="1"/>
    <col min="5636" max="5636" width="6.25" style="62" customWidth="1"/>
    <col min="5637" max="5637" width="11" style="62" bestFit="1" customWidth="1"/>
    <col min="5638" max="5639" width="9.625" style="62" bestFit="1" customWidth="1"/>
    <col min="5640" max="5640" width="8.25" style="62" bestFit="1" customWidth="1"/>
    <col min="5641" max="5642" width="9.625" style="62" bestFit="1" customWidth="1"/>
    <col min="5643" max="5643" width="8.25" style="62" bestFit="1" customWidth="1"/>
    <col min="5644" max="5645" width="9.625" style="62" bestFit="1" customWidth="1"/>
    <col min="5646" max="5647" width="8.25" style="62" bestFit="1" customWidth="1"/>
    <col min="5648" max="5648" width="11" style="62" bestFit="1" customWidth="1"/>
    <col min="5649" max="5649" width="8" style="62" bestFit="1" customWidth="1"/>
    <col min="5650" max="5650" width="7.75" style="62" bestFit="1" customWidth="1"/>
    <col min="5651" max="5652" width="9.625" style="62" bestFit="1" customWidth="1"/>
    <col min="5653" max="5654" width="9.625" style="62" customWidth="1"/>
    <col min="5655" max="5655" width="9.25" style="62" bestFit="1" customWidth="1"/>
    <col min="5656" max="5656" width="11" style="62" bestFit="1" customWidth="1"/>
    <col min="5657" max="5889" width="9" style="62"/>
    <col min="5890" max="5890" width="4.625" style="62" bestFit="1" customWidth="1"/>
    <col min="5891" max="5891" width="7.5" style="62" bestFit="1" customWidth="1"/>
    <col min="5892" max="5892" width="6.25" style="62" customWidth="1"/>
    <col min="5893" max="5893" width="11" style="62" bestFit="1" customWidth="1"/>
    <col min="5894" max="5895" width="9.625" style="62" bestFit="1" customWidth="1"/>
    <col min="5896" max="5896" width="8.25" style="62" bestFit="1" customWidth="1"/>
    <col min="5897" max="5898" width="9.625" style="62" bestFit="1" customWidth="1"/>
    <col min="5899" max="5899" width="8.25" style="62" bestFit="1" customWidth="1"/>
    <col min="5900" max="5901" width="9.625" style="62" bestFit="1" customWidth="1"/>
    <col min="5902" max="5903" width="8.25" style="62" bestFit="1" customWidth="1"/>
    <col min="5904" max="5904" width="11" style="62" bestFit="1" customWidth="1"/>
    <col min="5905" max="5905" width="8" style="62" bestFit="1" customWidth="1"/>
    <col min="5906" max="5906" width="7.75" style="62" bestFit="1" customWidth="1"/>
    <col min="5907" max="5908" width="9.625" style="62" bestFit="1" customWidth="1"/>
    <col min="5909" max="5910" width="9.625" style="62" customWidth="1"/>
    <col min="5911" max="5911" width="9.25" style="62" bestFit="1" customWidth="1"/>
    <col min="5912" max="5912" width="11" style="62" bestFit="1" customWidth="1"/>
    <col min="5913" max="6145" width="9" style="62"/>
    <col min="6146" max="6146" width="4.625" style="62" bestFit="1" customWidth="1"/>
    <col min="6147" max="6147" width="7.5" style="62" bestFit="1" customWidth="1"/>
    <col min="6148" max="6148" width="6.25" style="62" customWidth="1"/>
    <col min="6149" max="6149" width="11" style="62" bestFit="1" customWidth="1"/>
    <col min="6150" max="6151" width="9.625" style="62" bestFit="1" customWidth="1"/>
    <col min="6152" max="6152" width="8.25" style="62" bestFit="1" customWidth="1"/>
    <col min="6153" max="6154" width="9.625" style="62" bestFit="1" customWidth="1"/>
    <col min="6155" max="6155" width="8.25" style="62" bestFit="1" customWidth="1"/>
    <col min="6156" max="6157" width="9.625" style="62" bestFit="1" customWidth="1"/>
    <col min="6158" max="6159" width="8.25" style="62" bestFit="1" customWidth="1"/>
    <col min="6160" max="6160" width="11" style="62" bestFit="1" customWidth="1"/>
    <col min="6161" max="6161" width="8" style="62" bestFit="1" customWidth="1"/>
    <col min="6162" max="6162" width="7.75" style="62" bestFit="1" customWidth="1"/>
    <col min="6163" max="6164" width="9.625" style="62" bestFit="1" customWidth="1"/>
    <col min="6165" max="6166" width="9.625" style="62" customWidth="1"/>
    <col min="6167" max="6167" width="9.25" style="62" bestFit="1" customWidth="1"/>
    <col min="6168" max="6168" width="11" style="62" bestFit="1" customWidth="1"/>
    <col min="6169" max="6401" width="9" style="62"/>
    <col min="6402" max="6402" width="4.625" style="62" bestFit="1" customWidth="1"/>
    <col min="6403" max="6403" width="7.5" style="62" bestFit="1" customWidth="1"/>
    <col min="6404" max="6404" width="6.25" style="62" customWidth="1"/>
    <col min="6405" max="6405" width="11" style="62" bestFit="1" customWidth="1"/>
    <col min="6406" max="6407" width="9.625" style="62" bestFit="1" customWidth="1"/>
    <col min="6408" max="6408" width="8.25" style="62" bestFit="1" customWidth="1"/>
    <col min="6409" max="6410" width="9.625" style="62" bestFit="1" customWidth="1"/>
    <col min="6411" max="6411" width="8.25" style="62" bestFit="1" customWidth="1"/>
    <col min="6412" max="6413" width="9.625" style="62" bestFit="1" customWidth="1"/>
    <col min="6414" max="6415" width="8.25" style="62" bestFit="1" customWidth="1"/>
    <col min="6416" max="6416" width="11" style="62" bestFit="1" customWidth="1"/>
    <col min="6417" max="6417" width="8" style="62" bestFit="1" customWidth="1"/>
    <col min="6418" max="6418" width="7.75" style="62" bestFit="1" customWidth="1"/>
    <col min="6419" max="6420" width="9.625" style="62" bestFit="1" customWidth="1"/>
    <col min="6421" max="6422" width="9.625" style="62" customWidth="1"/>
    <col min="6423" max="6423" width="9.25" style="62" bestFit="1" customWidth="1"/>
    <col min="6424" max="6424" width="11" style="62" bestFit="1" customWidth="1"/>
    <col min="6425" max="6657" width="9" style="62"/>
    <col min="6658" max="6658" width="4.625" style="62" bestFit="1" customWidth="1"/>
    <col min="6659" max="6659" width="7.5" style="62" bestFit="1" customWidth="1"/>
    <col min="6660" max="6660" width="6.25" style="62" customWidth="1"/>
    <col min="6661" max="6661" width="11" style="62" bestFit="1" customWidth="1"/>
    <col min="6662" max="6663" width="9.625" style="62" bestFit="1" customWidth="1"/>
    <col min="6664" max="6664" width="8.25" style="62" bestFit="1" customWidth="1"/>
    <col min="6665" max="6666" width="9.625" style="62" bestFit="1" customWidth="1"/>
    <col min="6667" max="6667" width="8.25" style="62" bestFit="1" customWidth="1"/>
    <col min="6668" max="6669" width="9.625" style="62" bestFit="1" customWidth="1"/>
    <col min="6670" max="6671" width="8.25" style="62" bestFit="1" customWidth="1"/>
    <col min="6672" max="6672" width="11" style="62" bestFit="1" customWidth="1"/>
    <col min="6673" max="6673" width="8" style="62" bestFit="1" customWidth="1"/>
    <col min="6674" max="6674" width="7.75" style="62" bestFit="1" customWidth="1"/>
    <col min="6675" max="6676" width="9.625" style="62" bestFit="1" customWidth="1"/>
    <col min="6677" max="6678" width="9.625" style="62" customWidth="1"/>
    <col min="6679" max="6679" width="9.25" style="62" bestFit="1" customWidth="1"/>
    <col min="6680" max="6680" width="11" style="62" bestFit="1" customWidth="1"/>
    <col min="6681" max="6913" width="9" style="62"/>
    <col min="6914" max="6914" width="4.625" style="62" bestFit="1" customWidth="1"/>
    <col min="6915" max="6915" width="7.5" style="62" bestFit="1" customWidth="1"/>
    <col min="6916" max="6916" width="6.25" style="62" customWidth="1"/>
    <col min="6917" max="6917" width="11" style="62" bestFit="1" customWidth="1"/>
    <col min="6918" max="6919" width="9.625" style="62" bestFit="1" customWidth="1"/>
    <col min="6920" max="6920" width="8.25" style="62" bestFit="1" customWidth="1"/>
    <col min="6921" max="6922" width="9.625" style="62" bestFit="1" customWidth="1"/>
    <col min="6923" max="6923" width="8.25" style="62" bestFit="1" customWidth="1"/>
    <col min="6924" max="6925" width="9.625" style="62" bestFit="1" customWidth="1"/>
    <col min="6926" max="6927" width="8.25" style="62" bestFit="1" customWidth="1"/>
    <col min="6928" max="6928" width="11" style="62" bestFit="1" customWidth="1"/>
    <col min="6929" max="6929" width="8" style="62" bestFit="1" customWidth="1"/>
    <col min="6930" max="6930" width="7.75" style="62" bestFit="1" customWidth="1"/>
    <col min="6931" max="6932" width="9.625" style="62" bestFit="1" customWidth="1"/>
    <col min="6933" max="6934" width="9.625" style="62" customWidth="1"/>
    <col min="6935" max="6935" width="9.25" style="62" bestFit="1" customWidth="1"/>
    <col min="6936" max="6936" width="11" style="62" bestFit="1" customWidth="1"/>
    <col min="6937" max="7169" width="9" style="62"/>
    <col min="7170" max="7170" width="4.625" style="62" bestFit="1" customWidth="1"/>
    <col min="7171" max="7171" width="7.5" style="62" bestFit="1" customWidth="1"/>
    <col min="7172" max="7172" width="6.25" style="62" customWidth="1"/>
    <col min="7173" max="7173" width="11" style="62" bestFit="1" customWidth="1"/>
    <col min="7174" max="7175" width="9.625" style="62" bestFit="1" customWidth="1"/>
    <col min="7176" max="7176" width="8.25" style="62" bestFit="1" customWidth="1"/>
    <col min="7177" max="7178" width="9.625" style="62" bestFit="1" customWidth="1"/>
    <col min="7179" max="7179" width="8.25" style="62" bestFit="1" customWidth="1"/>
    <col min="7180" max="7181" width="9.625" style="62" bestFit="1" customWidth="1"/>
    <col min="7182" max="7183" width="8.25" style="62" bestFit="1" customWidth="1"/>
    <col min="7184" max="7184" width="11" style="62" bestFit="1" customWidth="1"/>
    <col min="7185" max="7185" width="8" style="62" bestFit="1" customWidth="1"/>
    <col min="7186" max="7186" width="7.75" style="62" bestFit="1" customWidth="1"/>
    <col min="7187" max="7188" width="9.625" style="62" bestFit="1" customWidth="1"/>
    <col min="7189" max="7190" width="9.625" style="62" customWidth="1"/>
    <col min="7191" max="7191" width="9.25" style="62" bestFit="1" customWidth="1"/>
    <col min="7192" max="7192" width="11" style="62" bestFit="1" customWidth="1"/>
    <col min="7193" max="7425" width="9" style="62"/>
    <col min="7426" max="7426" width="4.625" style="62" bestFit="1" customWidth="1"/>
    <col min="7427" max="7427" width="7.5" style="62" bestFit="1" customWidth="1"/>
    <col min="7428" max="7428" width="6.25" style="62" customWidth="1"/>
    <col min="7429" max="7429" width="11" style="62" bestFit="1" customWidth="1"/>
    <col min="7430" max="7431" width="9.625" style="62" bestFit="1" customWidth="1"/>
    <col min="7432" max="7432" width="8.25" style="62" bestFit="1" customWidth="1"/>
    <col min="7433" max="7434" width="9.625" style="62" bestFit="1" customWidth="1"/>
    <col min="7435" max="7435" width="8.25" style="62" bestFit="1" customWidth="1"/>
    <col min="7436" max="7437" width="9.625" style="62" bestFit="1" customWidth="1"/>
    <col min="7438" max="7439" width="8.25" style="62" bestFit="1" customWidth="1"/>
    <col min="7440" max="7440" width="11" style="62" bestFit="1" customWidth="1"/>
    <col min="7441" max="7441" width="8" style="62" bestFit="1" customWidth="1"/>
    <col min="7442" max="7442" width="7.75" style="62" bestFit="1" customWidth="1"/>
    <col min="7443" max="7444" width="9.625" style="62" bestFit="1" customWidth="1"/>
    <col min="7445" max="7446" width="9.625" style="62" customWidth="1"/>
    <col min="7447" max="7447" width="9.25" style="62" bestFit="1" customWidth="1"/>
    <col min="7448" max="7448" width="11" style="62" bestFit="1" customWidth="1"/>
    <col min="7449" max="7681" width="9" style="62"/>
    <col min="7682" max="7682" width="4.625" style="62" bestFit="1" customWidth="1"/>
    <col min="7683" max="7683" width="7.5" style="62" bestFit="1" customWidth="1"/>
    <col min="7684" max="7684" width="6.25" style="62" customWidth="1"/>
    <col min="7685" max="7685" width="11" style="62" bestFit="1" customWidth="1"/>
    <col min="7686" max="7687" width="9.625" style="62" bestFit="1" customWidth="1"/>
    <col min="7688" max="7688" width="8.25" style="62" bestFit="1" customWidth="1"/>
    <col min="7689" max="7690" width="9.625" style="62" bestFit="1" customWidth="1"/>
    <col min="7691" max="7691" width="8.25" style="62" bestFit="1" customWidth="1"/>
    <col min="7692" max="7693" width="9.625" style="62" bestFit="1" customWidth="1"/>
    <col min="7694" max="7695" width="8.25" style="62" bestFit="1" customWidth="1"/>
    <col min="7696" max="7696" width="11" style="62" bestFit="1" customWidth="1"/>
    <col min="7697" max="7697" width="8" style="62" bestFit="1" customWidth="1"/>
    <col min="7698" max="7698" width="7.75" style="62" bestFit="1" customWidth="1"/>
    <col min="7699" max="7700" width="9.625" style="62" bestFit="1" customWidth="1"/>
    <col min="7701" max="7702" width="9.625" style="62" customWidth="1"/>
    <col min="7703" max="7703" width="9.25" style="62" bestFit="1" customWidth="1"/>
    <col min="7704" max="7704" width="11" style="62" bestFit="1" customWidth="1"/>
    <col min="7705" max="7937" width="9" style="62"/>
    <col min="7938" max="7938" width="4.625" style="62" bestFit="1" customWidth="1"/>
    <col min="7939" max="7939" width="7.5" style="62" bestFit="1" customWidth="1"/>
    <col min="7940" max="7940" width="6.25" style="62" customWidth="1"/>
    <col min="7941" max="7941" width="11" style="62" bestFit="1" customWidth="1"/>
    <col min="7942" max="7943" width="9.625" style="62" bestFit="1" customWidth="1"/>
    <col min="7944" max="7944" width="8.25" style="62" bestFit="1" customWidth="1"/>
    <col min="7945" max="7946" width="9.625" style="62" bestFit="1" customWidth="1"/>
    <col min="7947" max="7947" width="8.25" style="62" bestFit="1" customWidth="1"/>
    <col min="7948" max="7949" width="9.625" style="62" bestFit="1" customWidth="1"/>
    <col min="7950" max="7951" width="8.25" style="62" bestFit="1" customWidth="1"/>
    <col min="7952" max="7952" width="11" style="62" bestFit="1" customWidth="1"/>
    <col min="7953" max="7953" width="8" style="62" bestFit="1" customWidth="1"/>
    <col min="7954" max="7954" width="7.75" style="62" bestFit="1" customWidth="1"/>
    <col min="7955" max="7956" width="9.625" style="62" bestFit="1" customWidth="1"/>
    <col min="7957" max="7958" width="9.625" style="62" customWidth="1"/>
    <col min="7959" max="7959" width="9.25" style="62" bestFit="1" customWidth="1"/>
    <col min="7960" max="7960" width="11" style="62" bestFit="1" customWidth="1"/>
    <col min="7961" max="8193" width="9" style="62"/>
    <col min="8194" max="8194" width="4.625" style="62" bestFit="1" customWidth="1"/>
    <col min="8195" max="8195" width="7.5" style="62" bestFit="1" customWidth="1"/>
    <col min="8196" max="8196" width="6.25" style="62" customWidth="1"/>
    <col min="8197" max="8197" width="11" style="62" bestFit="1" customWidth="1"/>
    <col min="8198" max="8199" width="9.625" style="62" bestFit="1" customWidth="1"/>
    <col min="8200" max="8200" width="8.25" style="62" bestFit="1" customWidth="1"/>
    <col min="8201" max="8202" width="9.625" style="62" bestFit="1" customWidth="1"/>
    <col min="8203" max="8203" width="8.25" style="62" bestFit="1" customWidth="1"/>
    <col min="8204" max="8205" width="9.625" style="62" bestFit="1" customWidth="1"/>
    <col min="8206" max="8207" width="8.25" style="62" bestFit="1" customWidth="1"/>
    <col min="8208" max="8208" width="11" style="62" bestFit="1" customWidth="1"/>
    <col min="8209" max="8209" width="8" style="62" bestFit="1" customWidth="1"/>
    <col min="8210" max="8210" width="7.75" style="62" bestFit="1" customWidth="1"/>
    <col min="8211" max="8212" width="9.625" style="62" bestFit="1" customWidth="1"/>
    <col min="8213" max="8214" width="9.625" style="62" customWidth="1"/>
    <col min="8215" max="8215" width="9.25" style="62" bestFit="1" customWidth="1"/>
    <col min="8216" max="8216" width="11" style="62" bestFit="1" customWidth="1"/>
    <col min="8217" max="8449" width="9" style="62"/>
    <col min="8450" max="8450" width="4.625" style="62" bestFit="1" customWidth="1"/>
    <col min="8451" max="8451" width="7.5" style="62" bestFit="1" customWidth="1"/>
    <col min="8452" max="8452" width="6.25" style="62" customWidth="1"/>
    <col min="8453" max="8453" width="11" style="62" bestFit="1" customWidth="1"/>
    <col min="8454" max="8455" width="9.625" style="62" bestFit="1" customWidth="1"/>
    <col min="8456" max="8456" width="8.25" style="62" bestFit="1" customWidth="1"/>
    <col min="8457" max="8458" width="9.625" style="62" bestFit="1" customWidth="1"/>
    <col min="8459" max="8459" width="8.25" style="62" bestFit="1" customWidth="1"/>
    <col min="8460" max="8461" width="9.625" style="62" bestFit="1" customWidth="1"/>
    <col min="8462" max="8463" width="8.25" style="62" bestFit="1" customWidth="1"/>
    <col min="8464" max="8464" width="11" style="62" bestFit="1" customWidth="1"/>
    <col min="8465" max="8465" width="8" style="62" bestFit="1" customWidth="1"/>
    <col min="8466" max="8466" width="7.75" style="62" bestFit="1" customWidth="1"/>
    <col min="8467" max="8468" width="9.625" style="62" bestFit="1" customWidth="1"/>
    <col min="8469" max="8470" width="9.625" style="62" customWidth="1"/>
    <col min="8471" max="8471" width="9.25" style="62" bestFit="1" customWidth="1"/>
    <col min="8472" max="8472" width="11" style="62" bestFit="1" customWidth="1"/>
    <col min="8473" max="8705" width="9" style="62"/>
    <col min="8706" max="8706" width="4.625" style="62" bestFit="1" customWidth="1"/>
    <col min="8707" max="8707" width="7.5" style="62" bestFit="1" customWidth="1"/>
    <col min="8708" max="8708" width="6.25" style="62" customWidth="1"/>
    <col min="8709" max="8709" width="11" style="62" bestFit="1" customWidth="1"/>
    <col min="8710" max="8711" width="9.625" style="62" bestFit="1" customWidth="1"/>
    <col min="8712" max="8712" width="8.25" style="62" bestFit="1" customWidth="1"/>
    <col min="8713" max="8714" width="9.625" style="62" bestFit="1" customWidth="1"/>
    <col min="8715" max="8715" width="8.25" style="62" bestFit="1" customWidth="1"/>
    <col min="8716" max="8717" width="9.625" style="62" bestFit="1" customWidth="1"/>
    <col min="8718" max="8719" width="8.25" style="62" bestFit="1" customWidth="1"/>
    <col min="8720" max="8720" width="11" style="62" bestFit="1" customWidth="1"/>
    <col min="8721" max="8721" width="8" style="62" bestFit="1" customWidth="1"/>
    <col min="8722" max="8722" width="7.75" style="62" bestFit="1" customWidth="1"/>
    <col min="8723" max="8724" width="9.625" style="62" bestFit="1" customWidth="1"/>
    <col min="8725" max="8726" width="9.625" style="62" customWidth="1"/>
    <col min="8727" max="8727" width="9.25" style="62" bestFit="1" customWidth="1"/>
    <col min="8728" max="8728" width="11" style="62" bestFit="1" customWidth="1"/>
    <col min="8729" max="8961" width="9" style="62"/>
    <col min="8962" max="8962" width="4.625" style="62" bestFit="1" customWidth="1"/>
    <col min="8963" max="8963" width="7.5" style="62" bestFit="1" customWidth="1"/>
    <col min="8964" max="8964" width="6.25" style="62" customWidth="1"/>
    <col min="8965" max="8965" width="11" style="62" bestFit="1" customWidth="1"/>
    <col min="8966" max="8967" width="9.625" style="62" bestFit="1" customWidth="1"/>
    <col min="8968" max="8968" width="8.25" style="62" bestFit="1" customWidth="1"/>
    <col min="8969" max="8970" width="9.625" style="62" bestFit="1" customWidth="1"/>
    <col min="8971" max="8971" width="8.25" style="62" bestFit="1" customWidth="1"/>
    <col min="8972" max="8973" width="9.625" style="62" bestFit="1" customWidth="1"/>
    <col min="8974" max="8975" width="8.25" style="62" bestFit="1" customWidth="1"/>
    <col min="8976" max="8976" width="11" style="62" bestFit="1" customWidth="1"/>
    <col min="8977" max="8977" width="8" style="62" bestFit="1" customWidth="1"/>
    <col min="8978" max="8978" width="7.75" style="62" bestFit="1" customWidth="1"/>
    <col min="8979" max="8980" width="9.625" style="62" bestFit="1" customWidth="1"/>
    <col min="8981" max="8982" width="9.625" style="62" customWidth="1"/>
    <col min="8983" max="8983" width="9.25" style="62" bestFit="1" customWidth="1"/>
    <col min="8984" max="8984" width="11" style="62" bestFit="1" customWidth="1"/>
    <col min="8985" max="9217" width="9" style="62"/>
    <col min="9218" max="9218" width="4.625" style="62" bestFit="1" customWidth="1"/>
    <col min="9219" max="9219" width="7.5" style="62" bestFit="1" customWidth="1"/>
    <col min="9220" max="9220" width="6.25" style="62" customWidth="1"/>
    <col min="9221" max="9221" width="11" style="62" bestFit="1" customWidth="1"/>
    <col min="9222" max="9223" width="9.625" style="62" bestFit="1" customWidth="1"/>
    <col min="9224" max="9224" width="8.25" style="62" bestFit="1" customWidth="1"/>
    <col min="9225" max="9226" width="9.625" style="62" bestFit="1" customWidth="1"/>
    <col min="9227" max="9227" width="8.25" style="62" bestFit="1" customWidth="1"/>
    <col min="9228" max="9229" width="9.625" style="62" bestFit="1" customWidth="1"/>
    <col min="9230" max="9231" width="8.25" style="62" bestFit="1" customWidth="1"/>
    <col min="9232" max="9232" width="11" style="62" bestFit="1" customWidth="1"/>
    <col min="9233" max="9233" width="8" style="62" bestFit="1" customWidth="1"/>
    <col min="9234" max="9234" width="7.75" style="62" bestFit="1" customWidth="1"/>
    <col min="9235" max="9236" width="9.625" style="62" bestFit="1" customWidth="1"/>
    <col min="9237" max="9238" width="9.625" style="62" customWidth="1"/>
    <col min="9239" max="9239" width="9.25" style="62" bestFit="1" customWidth="1"/>
    <col min="9240" max="9240" width="11" style="62" bestFit="1" customWidth="1"/>
    <col min="9241" max="9473" width="9" style="62"/>
    <col min="9474" max="9474" width="4.625" style="62" bestFit="1" customWidth="1"/>
    <col min="9475" max="9475" width="7.5" style="62" bestFit="1" customWidth="1"/>
    <col min="9476" max="9476" width="6.25" style="62" customWidth="1"/>
    <col min="9477" max="9477" width="11" style="62" bestFit="1" customWidth="1"/>
    <col min="9478" max="9479" width="9.625" style="62" bestFit="1" customWidth="1"/>
    <col min="9480" max="9480" width="8.25" style="62" bestFit="1" customWidth="1"/>
    <col min="9481" max="9482" width="9.625" style="62" bestFit="1" customWidth="1"/>
    <col min="9483" max="9483" width="8.25" style="62" bestFit="1" customWidth="1"/>
    <col min="9484" max="9485" width="9.625" style="62" bestFit="1" customWidth="1"/>
    <col min="9486" max="9487" width="8.25" style="62" bestFit="1" customWidth="1"/>
    <col min="9488" max="9488" width="11" style="62" bestFit="1" customWidth="1"/>
    <col min="9489" max="9489" width="8" style="62" bestFit="1" customWidth="1"/>
    <col min="9490" max="9490" width="7.75" style="62" bestFit="1" customWidth="1"/>
    <col min="9491" max="9492" width="9.625" style="62" bestFit="1" customWidth="1"/>
    <col min="9493" max="9494" width="9.625" style="62" customWidth="1"/>
    <col min="9495" max="9495" width="9.25" style="62" bestFit="1" customWidth="1"/>
    <col min="9496" max="9496" width="11" style="62" bestFit="1" customWidth="1"/>
    <col min="9497" max="9729" width="9" style="62"/>
    <col min="9730" max="9730" width="4.625" style="62" bestFit="1" customWidth="1"/>
    <col min="9731" max="9731" width="7.5" style="62" bestFit="1" customWidth="1"/>
    <col min="9732" max="9732" width="6.25" style="62" customWidth="1"/>
    <col min="9733" max="9733" width="11" style="62" bestFit="1" customWidth="1"/>
    <col min="9734" max="9735" width="9.625" style="62" bestFit="1" customWidth="1"/>
    <col min="9736" max="9736" width="8.25" style="62" bestFit="1" customWidth="1"/>
    <col min="9737" max="9738" width="9.625" style="62" bestFit="1" customWidth="1"/>
    <col min="9739" max="9739" width="8.25" style="62" bestFit="1" customWidth="1"/>
    <col min="9740" max="9741" width="9.625" style="62" bestFit="1" customWidth="1"/>
    <col min="9742" max="9743" width="8.25" style="62" bestFit="1" customWidth="1"/>
    <col min="9744" max="9744" width="11" style="62" bestFit="1" customWidth="1"/>
    <col min="9745" max="9745" width="8" style="62" bestFit="1" customWidth="1"/>
    <col min="9746" max="9746" width="7.75" style="62" bestFit="1" customWidth="1"/>
    <col min="9747" max="9748" width="9.625" style="62" bestFit="1" customWidth="1"/>
    <col min="9749" max="9750" width="9.625" style="62" customWidth="1"/>
    <col min="9751" max="9751" width="9.25" style="62" bestFit="1" customWidth="1"/>
    <col min="9752" max="9752" width="11" style="62" bestFit="1" customWidth="1"/>
    <col min="9753" max="9985" width="9" style="62"/>
    <col min="9986" max="9986" width="4.625" style="62" bestFit="1" customWidth="1"/>
    <col min="9987" max="9987" width="7.5" style="62" bestFit="1" customWidth="1"/>
    <col min="9988" max="9988" width="6.25" style="62" customWidth="1"/>
    <col min="9989" max="9989" width="11" style="62" bestFit="1" customWidth="1"/>
    <col min="9990" max="9991" width="9.625" style="62" bestFit="1" customWidth="1"/>
    <col min="9992" max="9992" width="8.25" style="62" bestFit="1" customWidth="1"/>
    <col min="9993" max="9994" width="9.625" style="62" bestFit="1" customWidth="1"/>
    <col min="9995" max="9995" width="8.25" style="62" bestFit="1" customWidth="1"/>
    <col min="9996" max="9997" width="9.625" style="62" bestFit="1" customWidth="1"/>
    <col min="9998" max="9999" width="8.25" style="62" bestFit="1" customWidth="1"/>
    <col min="10000" max="10000" width="11" style="62" bestFit="1" customWidth="1"/>
    <col min="10001" max="10001" width="8" style="62" bestFit="1" customWidth="1"/>
    <col min="10002" max="10002" width="7.75" style="62" bestFit="1" customWidth="1"/>
    <col min="10003" max="10004" width="9.625" style="62" bestFit="1" customWidth="1"/>
    <col min="10005" max="10006" width="9.625" style="62" customWidth="1"/>
    <col min="10007" max="10007" width="9.25" style="62" bestFit="1" customWidth="1"/>
    <col min="10008" max="10008" width="11" style="62" bestFit="1" customWidth="1"/>
    <col min="10009" max="10241" width="9" style="62"/>
    <col min="10242" max="10242" width="4.625" style="62" bestFit="1" customWidth="1"/>
    <col min="10243" max="10243" width="7.5" style="62" bestFit="1" customWidth="1"/>
    <col min="10244" max="10244" width="6.25" style="62" customWidth="1"/>
    <col min="10245" max="10245" width="11" style="62" bestFit="1" customWidth="1"/>
    <col min="10246" max="10247" width="9.625" style="62" bestFit="1" customWidth="1"/>
    <col min="10248" max="10248" width="8.25" style="62" bestFit="1" customWidth="1"/>
    <col min="10249" max="10250" width="9.625" style="62" bestFit="1" customWidth="1"/>
    <col min="10251" max="10251" width="8.25" style="62" bestFit="1" customWidth="1"/>
    <col min="10252" max="10253" width="9.625" style="62" bestFit="1" customWidth="1"/>
    <col min="10254" max="10255" width="8.25" style="62" bestFit="1" customWidth="1"/>
    <col min="10256" max="10256" width="11" style="62" bestFit="1" customWidth="1"/>
    <col min="10257" max="10257" width="8" style="62" bestFit="1" customWidth="1"/>
    <col min="10258" max="10258" width="7.75" style="62" bestFit="1" customWidth="1"/>
    <col min="10259" max="10260" width="9.625" style="62" bestFit="1" customWidth="1"/>
    <col min="10261" max="10262" width="9.625" style="62" customWidth="1"/>
    <col min="10263" max="10263" width="9.25" style="62" bestFit="1" customWidth="1"/>
    <col min="10264" max="10264" width="11" style="62" bestFit="1" customWidth="1"/>
    <col min="10265" max="10497" width="9" style="62"/>
    <col min="10498" max="10498" width="4.625" style="62" bestFit="1" customWidth="1"/>
    <col min="10499" max="10499" width="7.5" style="62" bestFit="1" customWidth="1"/>
    <col min="10500" max="10500" width="6.25" style="62" customWidth="1"/>
    <col min="10501" max="10501" width="11" style="62" bestFit="1" customWidth="1"/>
    <col min="10502" max="10503" width="9.625" style="62" bestFit="1" customWidth="1"/>
    <col min="10504" max="10504" width="8.25" style="62" bestFit="1" customWidth="1"/>
    <col min="10505" max="10506" width="9.625" style="62" bestFit="1" customWidth="1"/>
    <col min="10507" max="10507" width="8.25" style="62" bestFit="1" customWidth="1"/>
    <col min="10508" max="10509" width="9.625" style="62" bestFit="1" customWidth="1"/>
    <col min="10510" max="10511" width="8.25" style="62" bestFit="1" customWidth="1"/>
    <col min="10512" max="10512" width="11" style="62" bestFit="1" customWidth="1"/>
    <col min="10513" max="10513" width="8" style="62" bestFit="1" customWidth="1"/>
    <col min="10514" max="10514" width="7.75" style="62" bestFit="1" customWidth="1"/>
    <col min="10515" max="10516" width="9.625" style="62" bestFit="1" customWidth="1"/>
    <col min="10517" max="10518" width="9.625" style="62" customWidth="1"/>
    <col min="10519" max="10519" width="9.25" style="62" bestFit="1" customWidth="1"/>
    <col min="10520" max="10520" width="11" style="62" bestFit="1" customWidth="1"/>
    <col min="10521" max="10753" width="9" style="62"/>
    <col min="10754" max="10754" width="4.625" style="62" bestFit="1" customWidth="1"/>
    <col min="10755" max="10755" width="7.5" style="62" bestFit="1" customWidth="1"/>
    <col min="10756" max="10756" width="6.25" style="62" customWidth="1"/>
    <col min="10757" max="10757" width="11" style="62" bestFit="1" customWidth="1"/>
    <col min="10758" max="10759" width="9.625" style="62" bestFit="1" customWidth="1"/>
    <col min="10760" max="10760" width="8.25" style="62" bestFit="1" customWidth="1"/>
    <col min="10761" max="10762" width="9.625" style="62" bestFit="1" customWidth="1"/>
    <col min="10763" max="10763" width="8.25" style="62" bestFit="1" customWidth="1"/>
    <col min="10764" max="10765" width="9.625" style="62" bestFit="1" customWidth="1"/>
    <col min="10766" max="10767" width="8.25" style="62" bestFit="1" customWidth="1"/>
    <col min="10768" max="10768" width="11" style="62" bestFit="1" customWidth="1"/>
    <col min="10769" max="10769" width="8" style="62" bestFit="1" customWidth="1"/>
    <col min="10770" max="10770" width="7.75" style="62" bestFit="1" customWidth="1"/>
    <col min="10771" max="10772" width="9.625" style="62" bestFit="1" customWidth="1"/>
    <col min="10773" max="10774" width="9.625" style="62" customWidth="1"/>
    <col min="10775" max="10775" width="9.25" style="62" bestFit="1" customWidth="1"/>
    <col min="10776" max="10776" width="11" style="62" bestFit="1" customWidth="1"/>
    <col min="10777" max="11009" width="9" style="62"/>
    <col min="11010" max="11010" width="4.625" style="62" bestFit="1" customWidth="1"/>
    <col min="11011" max="11011" width="7.5" style="62" bestFit="1" customWidth="1"/>
    <col min="11012" max="11012" width="6.25" style="62" customWidth="1"/>
    <col min="11013" max="11013" width="11" style="62" bestFit="1" customWidth="1"/>
    <col min="11014" max="11015" width="9.625" style="62" bestFit="1" customWidth="1"/>
    <col min="11016" max="11016" width="8.25" style="62" bestFit="1" customWidth="1"/>
    <col min="11017" max="11018" width="9.625" style="62" bestFit="1" customWidth="1"/>
    <col min="11019" max="11019" width="8.25" style="62" bestFit="1" customWidth="1"/>
    <col min="11020" max="11021" width="9.625" style="62" bestFit="1" customWidth="1"/>
    <col min="11022" max="11023" width="8.25" style="62" bestFit="1" customWidth="1"/>
    <col min="11024" max="11024" width="11" style="62" bestFit="1" customWidth="1"/>
    <col min="11025" max="11025" width="8" style="62" bestFit="1" customWidth="1"/>
    <col min="11026" max="11026" width="7.75" style="62" bestFit="1" customWidth="1"/>
    <col min="11027" max="11028" width="9.625" style="62" bestFit="1" customWidth="1"/>
    <col min="11029" max="11030" width="9.625" style="62" customWidth="1"/>
    <col min="11031" max="11031" width="9.25" style="62" bestFit="1" customWidth="1"/>
    <col min="11032" max="11032" width="11" style="62" bestFit="1" customWidth="1"/>
    <col min="11033" max="11265" width="9" style="62"/>
    <col min="11266" max="11266" width="4.625" style="62" bestFit="1" customWidth="1"/>
    <col min="11267" max="11267" width="7.5" style="62" bestFit="1" customWidth="1"/>
    <col min="11268" max="11268" width="6.25" style="62" customWidth="1"/>
    <col min="11269" max="11269" width="11" style="62" bestFit="1" customWidth="1"/>
    <col min="11270" max="11271" width="9.625" style="62" bestFit="1" customWidth="1"/>
    <col min="11272" max="11272" width="8.25" style="62" bestFit="1" customWidth="1"/>
    <col min="11273" max="11274" width="9.625" style="62" bestFit="1" customWidth="1"/>
    <col min="11275" max="11275" width="8.25" style="62" bestFit="1" customWidth="1"/>
    <col min="11276" max="11277" width="9.625" style="62" bestFit="1" customWidth="1"/>
    <col min="11278" max="11279" width="8.25" style="62" bestFit="1" customWidth="1"/>
    <col min="11280" max="11280" width="11" style="62" bestFit="1" customWidth="1"/>
    <col min="11281" max="11281" width="8" style="62" bestFit="1" customWidth="1"/>
    <col min="11282" max="11282" width="7.75" style="62" bestFit="1" customWidth="1"/>
    <col min="11283" max="11284" width="9.625" style="62" bestFit="1" customWidth="1"/>
    <col min="11285" max="11286" width="9.625" style="62" customWidth="1"/>
    <col min="11287" max="11287" width="9.25" style="62" bestFit="1" customWidth="1"/>
    <col min="11288" max="11288" width="11" style="62" bestFit="1" customWidth="1"/>
    <col min="11289" max="11521" width="9" style="62"/>
    <col min="11522" max="11522" width="4.625" style="62" bestFit="1" customWidth="1"/>
    <col min="11523" max="11523" width="7.5" style="62" bestFit="1" customWidth="1"/>
    <col min="11524" max="11524" width="6.25" style="62" customWidth="1"/>
    <col min="11525" max="11525" width="11" style="62" bestFit="1" customWidth="1"/>
    <col min="11526" max="11527" width="9.625" style="62" bestFit="1" customWidth="1"/>
    <col min="11528" max="11528" width="8.25" style="62" bestFit="1" customWidth="1"/>
    <col min="11529" max="11530" width="9.625" style="62" bestFit="1" customWidth="1"/>
    <col min="11531" max="11531" width="8.25" style="62" bestFit="1" customWidth="1"/>
    <col min="11532" max="11533" width="9.625" style="62" bestFit="1" customWidth="1"/>
    <col min="11534" max="11535" width="8.25" style="62" bestFit="1" customWidth="1"/>
    <col min="11536" max="11536" width="11" style="62" bestFit="1" customWidth="1"/>
    <col min="11537" max="11537" width="8" style="62" bestFit="1" customWidth="1"/>
    <col min="11538" max="11538" width="7.75" style="62" bestFit="1" customWidth="1"/>
    <col min="11539" max="11540" width="9.625" style="62" bestFit="1" customWidth="1"/>
    <col min="11541" max="11542" width="9.625" style="62" customWidth="1"/>
    <col min="11543" max="11543" width="9.25" style="62" bestFit="1" customWidth="1"/>
    <col min="11544" max="11544" width="11" style="62" bestFit="1" customWidth="1"/>
    <col min="11545" max="11777" width="9" style="62"/>
    <col min="11778" max="11778" width="4.625" style="62" bestFit="1" customWidth="1"/>
    <col min="11779" max="11779" width="7.5" style="62" bestFit="1" customWidth="1"/>
    <col min="11780" max="11780" width="6.25" style="62" customWidth="1"/>
    <col min="11781" max="11781" width="11" style="62" bestFit="1" customWidth="1"/>
    <col min="11782" max="11783" width="9.625" style="62" bestFit="1" customWidth="1"/>
    <col min="11784" max="11784" width="8.25" style="62" bestFit="1" customWidth="1"/>
    <col min="11785" max="11786" width="9.625" style="62" bestFit="1" customWidth="1"/>
    <col min="11787" max="11787" width="8.25" style="62" bestFit="1" customWidth="1"/>
    <col min="11788" max="11789" width="9.625" style="62" bestFit="1" customWidth="1"/>
    <col min="11790" max="11791" width="8.25" style="62" bestFit="1" customWidth="1"/>
    <col min="11792" max="11792" width="11" style="62" bestFit="1" customWidth="1"/>
    <col min="11793" max="11793" width="8" style="62" bestFit="1" customWidth="1"/>
    <col min="11794" max="11794" width="7.75" style="62" bestFit="1" customWidth="1"/>
    <col min="11795" max="11796" width="9.625" style="62" bestFit="1" customWidth="1"/>
    <col min="11797" max="11798" width="9.625" style="62" customWidth="1"/>
    <col min="11799" max="11799" width="9.25" style="62" bestFit="1" customWidth="1"/>
    <col min="11800" max="11800" width="11" style="62" bestFit="1" customWidth="1"/>
    <col min="11801" max="12033" width="9" style="62"/>
    <col min="12034" max="12034" width="4.625" style="62" bestFit="1" customWidth="1"/>
    <col min="12035" max="12035" width="7.5" style="62" bestFit="1" customWidth="1"/>
    <col min="12036" max="12036" width="6.25" style="62" customWidth="1"/>
    <col min="12037" max="12037" width="11" style="62" bestFit="1" customWidth="1"/>
    <col min="12038" max="12039" width="9.625" style="62" bestFit="1" customWidth="1"/>
    <col min="12040" max="12040" width="8.25" style="62" bestFit="1" customWidth="1"/>
    <col min="12041" max="12042" width="9.625" style="62" bestFit="1" customWidth="1"/>
    <col min="12043" max="12043" width="8.25" style="62" bestFit="1" customWidth="1"/>
    <col min="12044" max="12045" width="9.625" style="62" bestFit="1" customWidth="1"/>
    <col min="12046" max="12047" width="8.25" style="62" bestFit="1" customWidth="1"/>
    <col min="12048" max="12048" width="11" style="62" bestFit="1" customWidth="1"/>
    <col min="12049" max="12049" width="8" style="62" bestFit="1" customWidth="1"/>
    <col min="12050" max="12050" width="7.75" style="62" bestFit="1" customWidth="1"/>
    <col min="12051" max="12052" width="9.625" style="62" bestFit="1" customWidth="1"/>
    <col min="12053" max="12054" width="9.625" style="62" customWidth="1"/>
    <col min="12055" max="12055" width="9.25" style="62" bestFit="1" customWidth="1"/>
    <col min="12056" max="12056" width="11" style="62" bestFit="1" customWidth="1"/>
    <col min="12057" max="12289" width="9" style="62"/>
    <col min="12290" max="12290" width="4.625" style="62" bestFit="1" customWidth="1"/>
    <col min="12291" max="12291" width="7.5" style="62" bestFit="1" customWidth="1"/>
    <col min="12292" max="12292" width="6.25" style="62" customWidth="1"/>
    <col min="12293" max="12293" width="11" style="62" bestFit="1" customWidth="1"/>
    <col min="12294" max="12295" width="9.625" style="62" bestFit="1" customWidth="1"/>
    <col min="12296" max="12296" width="8.25" style="62" bestFit="1" customWidth="1"/>
    <col min="12297" max="12298" width="9.625" style="62" bestFit="1" customWidth="1"/>
    <col min="12299" max="12299" width="8.25" style="62" bestFit="1" customWidth="1"/>
    <col min="12300" max="12301" width="9.625" style="62" bestFit="1" customWidth="1"/>
    <col min="12302" max="12303" width="8.25" style="62" bestFit="1" customWidth="1"/>
    <col min="12304" max="12304" width="11" style="62" bestFit="1" customWidth="1"/>
    <col min="12305" max="12305" width="8" style="62" bestFit="1" customWidth="1"/>
    <col min="12306" max="12306" width="7.75" style="62" bestFit="1" customWidth="1"/>
    <col min="12307" max="12308" width="9.625" style="62" bestFit="1" customWidth="1"/>
    <col min="12309" max="12310" width="9.625" style="62" customWidth="1"/>
    <col min="12311" max="12311" width="9.25" style="62" bestFit="1" customWidth="1"/>
    <col min="12312" max="12312" width="11" style="62" bestFit="1" customWidth="1"/>
    <col min="12313" max="12545" width="9" style="62"/>
    <col min="12546" max="12546" width="4.625" style="62" bestFit="1" customWidth="1"/>
    <col min="12547" max="12547" width="7.5" style="62" bestFit="1" customWidth="1"/>
    <col min="12548" max="12548" width="6.25" style="62" customWidth="1"/>
    <col min="12549" max="12549" width="11" style="62" bestFit="1" customWidth="1"/>
    <col min="12550" max="12551" width="9.625" style="62" bestFit="1" customWidth="1"/>
    <col min="12552" max="12552" width="8.25" style="62" bestFit="1" customWidth="1"/>
    <col min="12553" max="12554" width="9.625" style="62" bestFit="1" customWidth="1"/>
    <col min="12555" max="12555" width="8.25" style="62" bestFit="1" customWidth="1"/>
    <col min="12556" max="12557" width="9.625" style="62" bestFit="1" customWidth="1"/>
    <col min="12558" max="12559" width="8.25" style="62" bestFit="1" customWidth="1"/>
    <col min="12560" max="12560" width="11" style="62" bestFit="1" customWidth="1"/>
    <col min="12561" max="12561" width="8" style="62" bestFit="1" customWidth="1"/>
    <col min="12562" max="12562" width="7.75" style="62" bestFit="1" customWidth="1"/>
    <col min="12563" max="12564" width="9.625" style="62" bestFit="1" customWidth="1"/>
    <col min="12565" max="12566" width="9.625" style="62" customWidth="1"/>
    <col min="12567" max="12567" width="9.25" style="62" bestFit="1" customWidth="1"/>
    <col min="12568" max="12568" width="11" style="62" bestFit="1" customWidth="1"/>
    <col min="12569" max="12801" width="9" style="62"/>
    <col min="12802" max="12802" width="4.625" style="62" bestFit="1" customWidth="1"/>
    <col min="12803" max="12803" width="7.5" style="62" bestFit="1" customWidth="1"/>
    <col min="12804" max="12804" width="6.25" style="62" customWidth="1"/>
    <col min="12805" max="12805" width="11" style="62" bestFit="1" customWidth="1"/>
    <col min="12806" max="12807" width="9.625" style="62" bestFit="1" customWidth="1"/>
    <col min="12808" max="12808" width="8.25" style="62" bestFit="1" customWidth="1"/>
    <col min="12809" max="12810" width="9.625" style="62" bestFit="1" customWidth="1"/>
    <col min="12811" max="12811" width="8.25" style="62" bestFit="1" customWidth="1"/>
    <col min="12812" max="12813" width="9.625" style="62" bestFit="1" customWidth="1"/>
    <col min="12814" max="12815" width="8.25" style="62" bestFit="1" customWidth="1"/>
    <col min="12816" max="12816" width="11" style="62" bestFit="1" customWidth="1"/>
    <col min="12817" max="12817" width="8" style="62" bestFit="1" customWidth="1"/>
    <col min="12818" max="12818" width="7.75" style="62" bestFit="1" customWidth="1"/>
    <col min="12819" max="12820" width="9.625" style="62" bestFit="1" customWidth="1"/>
    <col min="12821" max="12822" width="9.625" style="62" customWidth="1"/>
    <col min="12823" max="12823" width="9.25" style="62" bestFit="1" customWidth="1"/>
    <col min="12824" max="12824" width="11" style="62" bestFit="1" customWidth="1"/>
    <col min="12825" max="13057" width="9" style="62"/>
    <col min="13058" max="13058" width="4.625" style="62" bestFit="1" customWidth="1"/>
    <col min="13059" max="13059" width="7.5" style="62" bestFit="1" customWidth="1"/>
    <col min="13060" max="13060" width="6.25" style="62" customWidth="1"/>
    <col min="13061" max="13061" width="11" style="62" bestFit="1" customWidth="1"/>
    <col min="13062" max="13063" width="9.625" style="62" bestFit="1" customWidth="1"/>
    <col min="13064" max="13064" width="8.25" style="62" bestFit="1" customWidth="1"/>
    <col min="13065" max="13066" width="9.625" style="62" bestFit="1" customWidth="1"/>
    <col min="13067" max="13067" width="8.25" style="62" bestFit="1" customWidth="1"/>
    <col min="13068" max="13069" width="9.625" style="62" bestFit="1" customWidth="1"/>
    <col min="13070" max="13071" width="8.25" style="62" bestFit="1" customWidth="1"/>
    <col min="13072" max="13072" width="11" style="62" bestFit="1" customWidth="1"/>
    <col min="13073" max="13073" width="8" style="62" bestFit="1" customWidth="1"/>
    <col min="13074" max="13074" width="7.75" style="62" bestFit="1" customWidth="1"/>
    <col min="13075" max="13076" width="9.625" style="62" bestFit="1" customWidth="1"/>
    <col min="13077" max="13078" width="9.625" style="62" customWidth="1"/>
    <col min="13079" max="13079" width="9.25" style="62" bestFit="1" customWidth="1"/>
    <col min="13080" max="13080" width="11" style="62" bestFit="1" customWidth="1"/>
    <col min="13081" max="13313" width="9" style="62"/>
    <col min="13314" max="13314" width="4.625" style="62" bestFit="1" customWidth="1"/>
    <col min="13315" max="13315" width="7.5" style="62" bestFit="1" customWidth="1"/>
    <col min="13316" max="13316" width="6.25" style="62" customWidth="1"/>
    <col min="13317" max="13317" width="11" style="62" bestFit="1" customWidth="1"/>
    <col min="13318" max="13319" width="9.625" style="62" bestFit="1" customWidth="1"/>
    <col min="13320" max="13320" width="8.25" style="62" bestFit="1" customWidth="1"/>
    <col min="13321" max="13322" width="9.625" style="62" bestFit="1" customWidth="1"/>
    <col min="13323" max="13323" width="8.25" style="62" bestFit="1" customWidth="1"/>
    <col min="13324" max="13325" width="9.625" style="62" bestFit="1" customWidth="1"/>
    <col min="13326" max="13327" width="8.25" style="62" bestFit="1" customWidth="1"/>
    <col min="13328" max="13328" width="11" style="62" bestFit="1" customWidth="1"/>
    <col min="13329" max="13329" width="8" style="62" bestFit="1" customWidth="1"/>
    <col min="13330" max="13330" width="7.75" style="62" bestFit="1" customWidth="1"/>
    <col min="13331" max="13332" width="9.625" style="62" bestFit="1" customWidth="1"/>
    <col min="13333" max="13334" width="9.625" style="62" customWidth="1"/>
    <col min="13335" max="13335" width="9.25" style="62" bestFit="1" customWidth="1"/>
    <col min="13336" max="13336" width="11" style="62" bestFit="1" customWidth="1"/>
    <col min="13337" max="13569" width="9" style="62"/>
    <col min="13570" max="13570" width="4.625" style="62" bestFit="1" customWidth="1"/>
    <col min="13571" max="13571" width="7.5" style="62" bestFit="1" customWidth="1"/>
    <col min="13572" max="13572" width="6.25" style="62" customWidth="1"/>
    <col min="13573" max="13573" width="11" style="62" bestFit="1" customWidth="1"/>
    <col min="13574" max="13575" width="9.625" style="62" bestFit="1" customWidth="1"/>
    <col min="13576" max="13576" width="8.25" style="62" bestFit="1" customWidth="1"/>
    <col min="13577" max="13578" width="9.625" style="62" bestFit="1" customWidth="1"/>
    <col min="13579" max="13579" width="8.25" style="62" bestFit="1" customWidth="1"/>
    <col min="13580" max="13581" width="9.625" style="62" bestFit="1" customWidth="1"/>
    <col min="13582" max="13583" width="8.25" style="62" bestFit="1" customWidth="1"/>
    <col min="13584" max="13584" width="11" style="62" bestFit="1" customWidth="1"/>
    <col min="13585" max="13585" width="8" style="62" bestFit="1" customWidth="1"/>
    <col min="13586" max="13586" width="7.75" style="62" bestFit="1" customWidth="1"/>
    <col min="13587" max="13588" width="9.625" style="62" bestFit="1" customWidth="1"/>
    <col min="13589" max="13590" width="9.625" style="62" customWidth="1"/>
    <col min="13591" max="13591" width="9.25" style="62" bestFit="1" customWidth="1"/>
    <col min="13592" max="13592" width="11" style="62" bestFit="1" customWidth="1"/>
    <col min="13593" max="13825" width="9" style="62"/>
    <col min="13826" max="13826" width="4.625" style="62" bestFit="1" customWidth="1"/>
    <col min="13827" max="13827" width="7.5" style="62" bestFit="1" customWidth="1"/>
    <col min="13828" max="13828" width="6.25" style="62" customWidth="1"/>
    <col min="13829" max="13829" width="11" style="62" bestFit="1" customWidth="1"/>
    <col min="13830" max="13831" width="9.625" style="62" bestFit="1" customWidth="1"/>
    <col min="13832" max="13832" width="8.25" style="62" bestFit="1" customWidth="1"/>
    <col min="13833" max="13834" width="9.625" style="62" bestFit="1" customWidth="1"/>
    <col min="13835" max="13835" width="8.25" style="62" bestFit="1" customWidth="1"/>
    <col min="13836" max="13837" width="9.625" style="62" bestFit="1" customWidth="1"/>
    <col min="13838" max="13839" width="8.25" style="62" bestFit="1" customWidth="1"/>
    <col min="13840" max="13840" width="11" style="62" bestFit="1" customWidth="1"/>
    <col min="13841" max="13841" width="8" style="62" bestFit="1" customWidth="1"/>
    <col min="13842" max="13842" width="7.75" style="62" bestFit="1" customWidth="1"/>
    <col min="13843" max="13844" width="9.625" style="62" bestFit="1" customWidth="1"/>
    <col min="13845" max="13846" width="9.625" style="62" customWidth="1"/>
    <col min="13847" max="13847" width="9.25" style="62" bestFit="1" customWidth="1"/>
    <col min="13848" max="13848" width="11" style="62" bestFit="1" customWidth="1"/>
    <col min="13849" max="14081" width="9" style="62"/>
    <col min="14082" max="14082" width="4.625" style="62" bestFit="1" customWidth="1"/>
    <col min="14083" max="14083" width="7.5" style="62" bestFit="1" customWidth="1"/>
    <col min="14084" max="14084" width="6.25" style="62" customWidth="1"/>
    <col min="14085" max="14085" width="11" style="62" bestFit="1" customWidth="1"/>
    <col min="14086" max="14087" width="9.625" style="62" bestFit="1" customWidth="1"/>
    <col min="14088" max="14088" width="8.25" style="62" bestFit="1" customWidth="1"/>
    <col min="14089" max="14090" width="9.625" style="62" bestFit="1" customWidth="1"/>
    <col min="14091" max="14091" width="8.25" style="62" bestFit="1" customWidth="1"/>
    <col min="14092" max="14093" width="9.625" style="62" bestFit="1" customWidth="1"/>
    <col min="14094" max="14095" width="8.25" style="62" bestFit="1" customWidth="1"/>
    <col min="14096" max="14096" width="11" style="62" bestFit="1" customWidth="1"/>
    <col min="14097" max="14097" width="8" style="62" bestFit="1" customWidth="1"/>
    <col min="14098" max="14098" width="7.75" style="62" bestFit="1" customWidth="1"/>
    <col min="14099" max="14100" width="9.625" style="62" bestFit="1" customWidth="1"/>
    <col min="14101" max="14102" width="9.625" style="62" customWidth="1"/>
    <col min="14103" max="14103" width="9.25" style="62" bestFit="1" customWidth="1"/>
    <col min="14104" max="14104" width="11" style="62" bestFit="1" customWidth="1"/>
    <col min="14105" max="14337" width="9" style="62"/>
    <col min="14338" max="14338" width="4.625" style="62" bestFit="1" customWidth="1"/>
    <col min="14339" max="14339" width="7.5" style="62" bestFit="1" customWidth="1"/>
    <col min="14340" max="14340" width="6.25" style="62" customWidth="1"/>
    <col min="14341" max="14341" width="11" style="62" bestFit="1" customWidth="1"/>
    <col min="14342" max="14343" width="9.625" style="62" bestFit="1" customWidth="1"/>
    <col min="14344" max="14344" width="8.25" style="62" bestFit="1" customWidth="1"/>
    <col min="14345" max="14346" width="9.625" style="62" bestFit="1" customWidth="1"/>
    <col min="14347" max="14347" width="8.25" style="62" bestFit="1" customWidth="1"/>
    <col min="14348" max="14349" width="9.625" style="62" bestFit="1" customWidth="1"/>
    <col min="14350" max="14351" width="8.25" style="62" bestFit="1" customWidth="1"/>
    <col min="14352" max="14352" width="11" style="62" bestFit="1" customWidth="1"/>
    <col min="14353" max="14353" width="8" style="62" bestFit="1" customWidth="1"/>
    <col min="14354" max="14354" width="7.75" style="62" bestFit="1" customWidth="1"/>
    <col min="14355" max="14356" width="9.625" style="62" bestFit="1" customWidth="1"/>
    <col min="14357" max="14358" width="9.625" style="62" customWidth="1"/>
    <col min="14359" max="14359" width="9.25" style="62" bestFit="1" customWidth="1"/>
    <col min="14360" max="14360" width="11" style="62" bestFit="1" customWidth="1"/>
    <col min="14361" max="14593" width="9" style="62"/>
    <col min="14594" max="14594" width="4.625" style="62" bestFit="1" customWidth="1"/>
    <col min="14595" max="14595" width="7.5" style="62" bestFit="1" customWidth="1"/>
    <col min="14596" max="14596" width="6.25" style="62" customWidth="1"/>
    <col min="14597" max="14597" width="11" style="62" bestFit="1" customWidth="1"/>
    <col min="14598" max="14599" width="9.625" style="62" bestFit="1" customWidth="1"/>
    <col min="14600" max="14600" width="8.25" style="62" bestFit="1" customWidth="1"/>
    <col min="14601" max="14602" width="9.625" style="62" bestFit="1" customWidth="1"/>
    <col min="14603" max="14603" width="8.25" style="62" bestFit="1" customWidth="1"/>
    <col min="14604" max="14605" width="9.625" style="62" bestFit="1" customWidth="1"/>
    <col min="14606" max="14607" width="8.25" style="62" bestFit="1" customWidth="1"/>
    <col min="14608" max="14608" width="11" style="62" bestFit="1" customWidth="1"/>
    <col min="14609" max="14609" width="8" style="62" bestFit="1" customWidth="1"/>
    <col min="14610" max="14610" width="7.75" style="62" bestFit="1" customWidth="1"/>
    <col min="14611" max="14612" width="9.625" style="62" bestFit="1" customWidth="1"/>
    <col min="14613" max="14614" width="9.625" style="62" customWidth="1"/>
    <col min="14615" max="14615" width="9.25" style="62" bestFit="1" customWidth="1"/>
    <col min="14616" max="14616" width="11" style="62" bestFit="1" customWidth="1"/>
    <col min="14617" max="14849" width="9" style="62"/>
    <col min="14850" max="14850" width="4.625" style="62" bestFit="1" customWidth="1"/>
    <col min="14851" max="14851" width="7.5" style="62" bestFit="1" customWidth="1"/>
    <col min="14852" max="14852" width="6.25" style="62" customWidth="1"/>
    <col min="14853" max="14853" width="11" style="62" bestFit="1" customWidth="1"/>
    <col min="14854" max="14855" width="9.625" style="62" bestFit="1" customWidth="1"/>
    <col min="14856" max="14856" width="8.25" style="62" bestFit="1" customWidth="1"/>
    <col min="14857" max="14858" width="9.625" style="62" bestFit="1" customWidth="1"/>
    <col min="14859" max="14859" width="8.25" style="62" bestFit="1" customWidth="1"/>
    <col min="14860" max="14861" width="9.625" style="62" bestFit="1" customWidth="1"/>
    <col min="14862" max="14863" width="8.25" style="62" bestFit="1" customWidth="1"/>
    <col min="14864" max="14864" width="11" style="62" bestFit="1" customWidth="1"/>
    <col min="14865" max="14865" width="8" style="62" bestFit="1" customWidth="1"/>
    <col min="14866" max="14866" width="7.75" style="62" bestFit="1" customWidth="1"/>
    <col min="14867" max="14868" width="9.625" style="62" bestFit="1" customWidth="1"/>
    <col min="14869" max="14870" width="9.625" style="62" customWidth="1"/>
    <col min="14871" max="14871" width="9.25" style="62" bestFit="1" customWidth="1"/>
    <col min="14872" max="14872" width="11" style="62" bestFit="1" customWidth="1"/>
    <col min="14873" max="15105" width="9" style="62"/>
    <col min="15106" max="15106" width="4.625" style="62" bestFit="1" customWidth="1"/>
    <col min="15107" max="15107" width="7.5" style="62" bestFit="1" customWidth="1"/>
    <col min="15108" max="15108" width="6.25" style="62" customWidth="1"/>
    <col min="15109" max="15109" width="11" style="62" bestFit="1" customWidth="1"/>
    <col min="15110" max="15111" width="9.625" style="62" bestFit="1" customWidth="1"/>
    <col min="15112" max="15112" width="8.25" style="62" bestFit="1" customWidth="1"/>
    <col min="15113" max="15114" width="9.625" style="62" bestFit="1" customWidth="1"/>
    <col min="15115" max="15115" width="8.25" style="62" bestFit="1" customWidth="1"/>
    <col min="15116" max="15117" width="9.625" style="62" bestFit="1" customWidth="1"/>
    <col min="15118" max="15119" width="8.25" style="62" bestFit="1" customWidth="1"/>
    <col min="15120" max="15120" width="11" style="62" bestFit="1" customWidth="1"/>
    <col min="15121" max="15121" width="8" style="62" bestFit="1" customWidth="1"/>
    <col min="15122" max="15122" width="7.75" style="62" bestFit="1" customWidth="1"/>
    <col min="15123" max="15124" width="9.625" style="62" bestFit="1" customWidth="1"/>
    <col min="15125" max="15126" width="9.625" style="62" customWidth="1"/>
    <col min="15127" max="15127" width="9.25" style="62" bestFit="1" customWidth="1"/>
    <col min="15128" max="15128" width="11" style="62" bestFit="1" customWidth="1"/>
    <col min="15129" max="15361" width="9" style="62"/>
    <col min="15362" max="15362" width="4.625" style="62" bestFit="1" customWidth="1"/>
    <col min="15363" max="15363" width="7.5" style="62" bestFit="1" customWidth="1"/>
    <col min="15364" max="15364" width="6.25" style="62" customWidth="1"/>
    <col min="15365" max="15365" width="11" style="62" bestFit="1" customWidth="1"/>
    <col min="15366" max="15367" width="9.625" style="62" bestFit="1" customWidth="1"/>
    <col min="15368" max="15368" width="8.25" style="62" bestFit="1" customWidth="1"/>
    <col min="15369" max="15370" width="9.625" style="62" bestFit="1" customWidth="1"/>
    <col min="15371" max="15371" width="8.25" style="62" bestFit="1" customWidth="1"/>
    <col min="15372" max="15373" width="9.625" style="62" bestFit="1" customWidth="1"/>
    <col min="15374" max="15375" width="8.25" style="62" bestFit="1" customWidth="1"/>
    <col min="15376" max="15376" width="11" style="62" bestFit="1" customWidth="1"/>
    <col min="15377" max="15377" width="8" style="62" bestFit="1" customWidth="1"/>
    <col min="15378" max="15378" width="7.75" style="62" bestFit="1" customWidth="1"/>
    <col min="15379" max="15380" width="9.625" style="62" bestFit="1" customWidth="1"/>
    <col min="15381" max="15382" width="9.625" style="62" customWidth="1"/>
    <col min="15383" max="15383" width="9.25" style="62" bestFit="1" customWidth="1"/>
    <col min="15384" max="15384" width="11" style="62" bestFit="1" customWidth="1"/>
    <col min="15385" max="15617" width="9" style="62"/>
    <col min="15618" max="15618" width="4.625" style="62" bestFit="1" customWidth="1"/>
    <col min="15619" max="15619" width="7.5" style="62" bestFit="1" customWidth="1"/>
    <col min="15620" max="15620" width="6.25" style="62" customWidth="1"/>
    <col min="15621" max="15621" width="11" style="62" bestFit="1" customWidth="1"/>
    <col min="15622" max="15623" width="9.625" style="62" bestFit="1" customWidth="1"/>
    <col min="15624" max="15624" width="8.25" style="62" bestFit="1" customWidth="1"/>
    <col min="15625" max="15626" width="9.625" style="62" bestFit="1" customWidth="1"/>
    <col min="15627" max="15627" width="8.25" style="62" bestFit="1" customWidth="1"/>
    <col min="15628" max="15629" width="9.625" style="62" bestFit="1" customWidth="1"/>
    <col min="15630" max="15631" width="8.25" style="62" bestFit="1" customWidth="1"/>
    <col min="15632" max="15632" width="11" style="62" bestFit="1" customWidth="1"/>
    <col min="15633" max="15633" width="8" style="62" bestFit="1" customWidth="1"/>
    <col min="15634" max="15634" width="7.75" style="62" bestFit="1" customWidth="1"/>
    <col min="15635" max="15636" width="9.625" style="62" bestFit="1" customWidth="1"/>
    <col min="15637" max="15638" width="9.625" style="62" customWidth="1"/>
    <col min="15639" max="15639" width="9.25" style="62" bestFit="1" customWidth="1"/>
    <col min="15640" max="15640" width="11" style="62" bestFit="1" customWidth="1"/>
    <col min="15641" max="15873" width="9" style="62"/>
    <col min="15874" max="15874" width="4.625" style="62" bestFit="1" customWidth="1"/>
    <col min="15875" max="15875" width="7.5" style="62" bestFit="1" customWidth="1"/>
    <col min="15876" max="15876" width="6.25" style="62" customWidth="1"/>
    <col min="15877" max="15877" width="11" style="62" bestFit="1" customWidth="1"/>
    <col min="15878" max="15879" width="9.625" style="62" bestFit="1" customWidth="1"/>
    <col min="15880" max="15880" width="8.25" style="62" bestFit="1" customWidth="1"/>
    <col min="15881" max="15882" width="9.625" style="62" bestFit="1" customWidth="1"/>
    <col min="15883" max="15883" width="8.25" style="62" bestFit="1" customWidth="1"/>
    <col min="15884" max="15885" width="9.625" style="62" bestFit="1" customWidth="1"/>
    <col min="15886" max="15887" width="8.25" style="62" bestFit="1" customWidth="1"/>
    <col min="15888" max="15888" width="11" style="62" bestFit="1" customWidth="1"/>
    <col min="15889" max="15889" width="8" style="62" bestFit="1" customWidth="1"/>
    <col min="15890" max="15890" width="7.75" style="62" bestFit="1" customWidth="1"/>
    <col min="15891" max="15892" width="9.625" style="62" bestFit="1" customWidth="1"/>
    <col min="15893" max="15894" width="9.625" style="62" customWidth="1"/>
    <col min="15895" max="15895" width="9.25" style="62" bestFit="1" customWidth="1"/>
    <col min="15896" max="15896" width="11" style="62" bestFit="1" customWidth="1"/>
    <col min="15897" max="16129" width="9" style="62"/>
    <col min="16130" max="16130" width="4.625" style="62" bestFit="1" customWidth="1"/>
    <col min="16131" max="16131" width="7.5" style="62" bestFit="1" customWidth="1"/>
    <col min="16132" max="16132" width="6.25" style="62" customWidth="1"/>
    <col min="16133" max="16133" width="11" style="62" bestFit="1" customWidth="1"/>
    <col min="16134" max="16135" width="9.625" style="62" bestFit="1" customWidth="1"/>
    <col min="16136" max="16136" width="8.25" style="62" bestFit="1" customWidth="1"/>
    <col min="16137" max="16138" width="9.625" style="62" bestFit="1" customWidth="1"/>
    <col min="16139" max="16139" width="8.25" style="62" bestFit="1" customWidth="1"/>
    <col min="16140" max="16141" width="9.625" style="62" bestFit="1" customWidth="1"/>
    <col min="16142" max="16143" width="8.25" style="62" bestFit="1" customWidth="1"/>
    <col min="16144" max="16144" width="11" style="62" bestFit="1" customWidth="1"/>
    <col min="16145" max="16145" width="8" style="62" bestFit="1" customWidth="1"/>
    <col min="16146" max="16146" width="7.75" style="62" bestFit="1" customWidth="1"/>
    <col min="16147" max="16148" width="9.625" style="62" bestFit="1" customWidth="1"/>
    <col min="16149" max="16150" width="9.625" style="62" customWidth="1"/>
    <col min="16151" max="16151" width="9.25" style="62" bestFit="1" customWidth="1"/>
    <col min="16152" max="16152" width="11" style="62" bestFit="1" customWidth="1"/>
    <col min="16153" max="16384" width="9" style="62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115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68"/>
      <c r="V4" s="252"/>
      <c r="W4" s="252"/>
      <c r="X4" s="252"/>
    </row>
    <row r="5" spans="2:29" ht="20.25" customHeight="1" x14ac:dyDescent="0.3">
      <c r="B5" s="253" t="s">
        <v>128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73"/>
      <c r="Q5" s="69"/>
      <c r="R5" s="69"/>
      <c r="S5" s="69"/>
      <c r="T5" s="252"/>
      <c r="U5" s="6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99</v>
      </c>
      <c r="F7" s="243"/>
      <c r="G7" s="243"/>
      <c r="H7" s="243"/>
      <c r="I7" s="243"/>
      <c r="J7" s="243"/>
      <c r="K7" s="243"/>
      <c r="L7" s="243"/>
      <c r="M7" s="243"/>
      <c r="N7" s="242" t="s">
        <v>100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101</v>
      </c>
      <c r="AA7" s="250" t="s">
        <v>102</v>
      </c>
      <c r="AC7" s="234" t="s">
        <v>103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104</v>
      </c>
      <c r="G8" s="81" t="s">
        <v>105</v>
      </c>
      <c r="H8" s="81" t="s">
        <v>106</v>
      </c>
      <c r="I8" s="81" t="s">
        <v>77</v>
      </c>
      <c r="J8" s="82" t="s">
        <v>107</v>
      </c>
      <c r="K8" s="82" t="s">
        <v>108</v>
      </c>
      <c r="L8" s="82" t="s">
        <v>109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s="140" customFormat="1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" si="0">SUM(E9:O9)</f>
        <v>2500000</v>
      </c>
      <c r="Q9" s="94">
        <f t="shared" ref="Q9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15" si="3">IFERROR(ROUNDDOWN((P9-AC9)*3.43%,-1),)</f>
        <v>75460</v>
      </c>
      <c r="U9" s="96">
        <f t="shared" ref="U9:U15" si="4">ROUNDDOWN(T9*11.52%,-1)</f>
        <v>8690</v>
      </c>
      <c r="V9" s="96">
        <f t="shared" ref="V9" si="5">IFERROR(IF(D9&lt;&gt;"대표이사",ROUNDDOWN((P9-AC9)*고용보험율,-1),0),)</f>
        <v>17600</v>
      </c>
      <c r="W9" s="93">
        <f t="shared" ref="W9" si="6">SUM(Q9:V9)</f>
        <v>229290</v>
      </c>
      <c r="X9" s="97">
        <f t="shared" ref="X9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ref="P10:P20" si="8">SUM(E10:O10)</f>
        <v>2500000</v>
      </c>
      <c r="Q10" s="125">
        <f t="shared" ref="Q10:Q20" si="9">IFERROR(IF(P10-AC10&lt;=10000000,VLOOKUP((P10-AC10)/1000,간이세액표,IF(11&lt;Z10+AA10,13,2+Z10+AA10),TRUE),IF(P10-AC10&gt;14000000,VLOOKUP((P10-AC10)/1000,간이세액표,IF(11&lt;Z10+AA10,13,2+Z10+AA10),TRUE)+1372000+ROUNDDOWN(((P10-AC10-14000000)*98%)*38%,-1),VLOOKUP((P10-AC10)/1000,간이세액표,IF(11&lt;Z10+AA10,13,2+Z10+AA10),TRUE)+ROUNDDOWN(((P10-AC10-10000000)*98%)*35%,-1))),)</f>
        <v>25950</v>
      </c>
      <c r="R10" s="126">
        <f t="shared" ref="R10:R20" si="10">ROUNDDOWN(Q10*10%,-1)</f>
        <v>2590</v>
      </c>
      <c r="S10" s="126">
        <f t="shared" ref="S10:S20" si="11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ref="V10:V20" si="12">IFERROR(IF(D10&lt;&gt;"대표이사",ROUNDDOWN((P10-AC10)*고용보험율,-1),0),)</f>
        <v>17600</v>
      </c>
      <c r="W10" s="124">
        <f t="shared" ref="W10:W20" si="13">SUM(Q10:V10)</f>
        <v>229290</v>
      </c>
      <c r="X10" s="128">
        <f t="shared" ref="X10:X20" si="14">P10-W10</f>
        <v>2270710</v>
      </c>
      <c r="Z10" s="98">
        <v>1</v>
      </c>
      <c r="AA10" s="99"/>
      <c r="AC10" s="100">
        <f t="shared" ref="AC10:AC20" si="15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8"/>
        <v>2500000</v>
      </c>
      <c r="Q11" s="125">
        <f t="shared" si="9"/>
        <v>25950</v>
      </c>
      <c r="R11" s="126">
        <f t="shared" si="10"/>
        <v>2590</v>
      </c>
      <c r="S11" s="126">
        <f t="shared" si="11"/>
        <v>99000</v>
      </c>
      <c r="T11" s="95">
        <f t="shared" si="3"/>
        <v>75460</v>
      </c>
      <c r="U11" s="96">
        <f t="shared" si="4"/>
        <v>8690</v>
      </c>
      <c r="V11" s="127">
        <f t="shared" si="12"/>
        <v>17600</v>
      </c>
      <c r="W11" s="124">
        <f t="shared" si="13"/>
        <v>229290</v>
      </c>
      <c r="X11" s="128">
        <f t="shared" si="14"/>
        <v>2270710</v>
      </c>
      <c r="Z11" s="98">
        <v>1</v>
      </c>
      <c r="AA11" s="99"/>
      <c r="AC11" s="100">
        <f t="shared" si="15"/>
        <v>300000</v>
      </c>
    </row>
    <row r="12" spans="2:29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>
        <f>[1]직원인적급여카드!M5</f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f t="shared" si="8"/>
        <v>2500000</v>
      </c>
      <c r="Q12" s="125">
        <f t="shared" si="9"/>
        <v>25950</v>
      </c>
      <c r="R12" s="126">
        <f t="shared" si="10"/>
        <v>2590</v>
      </c>
      <c r="S12" s="126">
        <f t="shared" si="11"/>
        <v>99000</v>
      </c>
      <c r="T12" s="95">
        <f t="shared" si="3"/>
        <v>75460</v>
      </c>
      <c r="U12" s="96">
        <f t="shared" si="4"/>
        <v>8690</v>
      </c>
      <c r="V12" s="127">
        <f t="shared" si="12"/>
        <v>17600</v>
      </c>
      <c r="W12" s="124">
        <f t="shared" si="13"/>
        <v>229290</v>
      </c>
      <c r="X12" s="128">
        <f t="shared" si="14"/>
        <v>2270710</v>
      </c>
      <c r="Z12" s="98">
        <v>1</v>
      </c>
      <c r="AA12" s="99"/>
      <c r="AC12" s="100">
        <f t="shared" si="15"/>
        <v>300000</v>
      </c>
    </row>
    <row r="13" spans="2:29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8"/>
        <v>2500000</v>
      </c>
      <c r="Q13" s="125">
        <f t="shared" si="9"/>
        <v>25950</v>
      </c>
      <c r="R13" s="126">
        <f t="shared" si="10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12"/>
        <v>17600</v>
      </c>
      <c r="W13" s="124">
        <f t="shared" si="13"/>
        <v>130290</v>
      </c>
      <c r="X13" s="128">
        <f t="shared" si="14"/>
        <v>2369710</v>
      </c>
      <c r="Z13" s="98">
        <v>1</v>
      </c>
      <c r="AA13" s="99"/>
      <c r="AC13" s="100">
        <f t="shared" si="15"/>
        <v>300000</v>
      </c>
    </row>
    <row r="14" spans="2:29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8"/>
        <v>2500000</v>
      </c>
      <c r="Q14" s="125">
        <f t="shared" si="9"/>
        <v>25950</v>
      </c>
      <c r="R14" s="126">
        <f t="shared" si="10"/>
        <v>2590</v>
      </c>
      <c r="S14" s="126">
        <f t="shared" si="11"/>
        <v>99000</v>
      </c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229290</v>
      </c>
      <c r="X14" s="128">
        <f t="shared" si="14"/>
        <v>2270710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tr">
        <f>[1]직원인적급여카드!B8</f>
        <v>이일복</v>
      </c>
      <c r="D15" s="88" t="s">
        <v>91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8"/>
        <v>2500000</v>
      </c>
      <c r="Q15" s="94">
        <f t="shared" si="9"/>
        <v>25950</v>
      </c>
      <c r="R15" s="95">
        <f t="shared" si="10"/>
        <v>2590</v>
      </c>
      <c r="S15" s="95"/>
      <c r="T15" s="95">
        <f t="shared" si="3"/>
        <v>75460</v>
      </c>
      <c r="U15" s="96">
        <f t="shared" si="4"/>
        <v>8690</v>
      </c>
      <c r="V15" s="96">
        <f t="shared" ref="V15" si="16">IFERROR(IF(D15&lt;&gt;"대표이사",ROUNDDOWN((P15-AC15)*고용보험율,-1),0),)</f>
        <v>17600</v>
      </c>
      <c r="W15" s="93">
        <f t="shared" ref="W15" si="17">SUM(Q15:V15)</f>
        <v>130290</v>
      </c>
      <c r="X15" s="97">
        <f t="shared" si="14"/>
        <v>2369710</v>
      </c>
      <c r="Z15" s="98">
        <v>1</v>
      </c>
      <c r="AA15" s="99"/>
      <c r="AC15" s="100">
        <f t="shared" ref="AC15" si="18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92</v>
      </c>
      <c r="D16" s="88" t="s">
        <v>90</v>
      </c>
      <c r="E16" s="89"/>
      <c r="F16" s="102"/>
      <c r="G16" s="102"/>
      <c r="H16" s="102"/>
      <c r="I16" s="102"/>
      <c r="J16" s="103"/>
      <c r="K16" s="103"/>
      <c r="L16" s="103"/>
      <c r="M16" s="103"/>
      <c r="N16" s="89"/>
      <c r="O16" s="129"/>
      <c r="P16" s="124"/>
      <c r="Q16" s="125">
        <f t="shared" si="9"/>
        <v>0</v>
      </c>
      <c r="R16" s="126">
        <f t="shared" si="10"/>
        <v>0</v>
      </c>
      <c r="S16" s="126">
        <f t="shared" si="11"/>
        <v>0</v>
      </c>
      <c r="T16" s="126">
        <f t="shared" ref="T16:T20" si="19">IFERROR(ROUNDDOWN((P16-AC16)*건강보험율,-1),)</f>
        <v>0</v>
      </c>
      <c r="U16" s="127">
        <f>ROUNDDOWN(T16*요양보험율,-1)</f>
        <v>0</v>
      </c>
      <c r="V16" s="127">
        <f t="shared" si="12"/>
        <v>0</v>
      </c>
      <c r="W16" s="124">
        <f t="shared" si="13"/>
        <v>0</v>
      </c>
      <c r="X16" s="128">
        <f t="shared" si="14"/>
        <v>0</v>
      </c>
      <c r="Z16" s="98"/>
      <c r="AA16" s="99"/>
      <c r="AC16" s="100">
        <f t="shared" si="15"/>
        <v>0</v>
      </c>
    </row>
    <row r="17" spans="2:29" ht="20.100000000000001" customHeight="1" x14ac:dyDescent="0.3">
      <c r="B17" s="101">
        <v>9</v>
      </c>
      <c r="C17" s="87" t="s">
        <v>116</v>
      </c>
      <c r="D17" s="88" t="s">
        <v>91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9">
        <v>200000</v>
      </c>
      <c r="P17" s="124">
        <f t="shared" si="8"/>
        <v>2500000</v>
      </c>
      <c r="Q17" s="125">
        <f t="shared" si="9"/>
        <v>25950</v>
      </c>
      <c r="R17" s="126">
        <f t="shared" si="10"/>
        <v>2590</v>
      </c>
      <c r="S17" s="126">
        <f t="shared" si="11"/>
        <v>99000</v>
      </c>
      <c r="T17" s="95">
        <f>IFERROR(ROUNDDOWN((P17-AC17)*3.43%,-1),)</f>
        <v>75460</v>
      </c>
      <c r="U17" s="96">
        <f>ROUNDDOWN(T17*11.52%,-1)</f>
        <v>8690</v>
      </c>
      <c r="V17" s="127">
        <f t="shared" si="12"/>
        <v>17600</v>
      </c>
      <c r="W17" s="124">
        <f t="shared" si="13"/>
        <v>229290</v>
      </c>
      <c r="X17" s="128">
        <f t="shared" si="14"/>
        <v>2270710</v>
      </c>
      <c r="Z17" s="98">
        <v>1</v>
      </c>
      <c r="AA17" s="99"/>
      <c r="AC17" s="100">
        <f t="shared" si="15"/>
        <v>300000</v>
      </c>
    </row>
    <row r="18" spans="2:29" ht="20.100000000000001" customHeight="1" x14ac:dyDescent="0.3">
      <c r="B18" s="101">
        <v>10</v>
      </c>
      <c r="C18" s="87" t="s">
        <v>117</v>
      </c>
      <c r="D18" s="88" t="s">
        <v>118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8"/>
        <v>2500000</v>
      </c>
      <c r="Q18" s="125">
        <f t="shared" ref="Q18" si="20">IFERROR(IF(P18-AC18&lt;=10000000,VLOOKUP((P18-AC18)/1000,간이세액표,IF(11&lt;Z18+AA18,13,2+Z18+AA18),TRUE),IF(P18-AC18&gt;14000000,VLOOKUP((P18-AC18)/1000,간이세액표,IF(11&lt;Z18+AA18,13,2+Z18+AA18),TRUE)+1372000+ROUNDDOWN(((P18-AC18-14000000)*98%)*38%,-1),VLOOKUP((P18-AC18)/1000,간이세액표,IF(11&lt;Z18+AA18,13,2+Z18+AA18),TRUE)+ROUNDDOWN(((P18-AC18-10000000)*98%)*35%,-1))),)</f>
        <v>25950</v>
      </c>
      <c r="R18" s="126">
        <f t="shared" si="10"/>
        <v>2590</v>
      </c>
      <c r="S18" s="126">
        <f t="shared" ref="S18" si="21">IFERROR(IF(AND(P18-AC18&gt;=월액최저,P18-AC18&lt;=월액최고),ROUNDDOWN((P18-AC18)*국민연금,-1),IF(P18-AC18&gt;=월액최고,최고연금,IF(AND(P18-AC18&lt;=월액최저,P18-AC18&gt;=1),최저연금,))),)</f>
        <v>99000</v>
      </c>
      <c r="T18" s="95">
        <f>IFERROR(ROUNDDOWN((P18-AC18)*3.43%,-1),)</f>
        <v>75460</v>
      </c>
      <c r="U18" s="96">
        <f>ROUNDDOWN(T18*11.52%,-1)</f>
        <v>8690</v>
      </c>
      <c r="V18" s="127">
        <f t="shared" ref="V18" si="22">IFERROR(IF(D18&lt;&gt;"대표이사",ROUNDDOWN((P18-AC18)*고용보험율,-1),0),)</f>
        <v>17600</v>
      </c>
      <c r="W18" s="124">
        <f t="shared" si="13"/>
        <v>229290</v>
      </c>
      <c r="X18" s="128">
        <f t="shared" si="14"/>
        <v>2270710</v>
      </c>
      <c r="Z18" s="98">
        <v>1</v>
      </c>
      <c r="AA18" s="99"/>
      <c r="AC18" s="100">
        <f t="shared" si="15"/>
        <v>300000</v>
      </c>
    </row>
    <row r="19" spans="2:29" ht="20.100000000000001" customHeight="1" x14ac:dyDescent="0.3">
      <c r="B19" s="101">
        <v>11</v>
      </c>
      <c r="C19" s="87" t="s">
        <v>119</v>
      </c>
      <c r="D19" s="88" t="s">
        <v>91</v>
      </c>
      <c r="E19" s="89">
        <v>2100000</v>
      </c>
      <c r="F19" s="106"/>
      <c r="G19" s="106"/>
      <c r="H19" s="106"/>
      <c r="I19" s="106"/>
      <c r="J19" s="107"/>
      <c r="K19" s="107"/>
      <c r="L19" s="107"/>
      <c r="M19" s="107"/>
      <c r="N19" s="89">
        <v>200000</v>
      </c>
      <c r="O19" s="130">
        <v>200000</v>
      </c>
      <c r="P19" s="124">
        <f t="shared" si="8"/>
        <v>2500000</v>
      </c>
      <c r="Q19" s="125">
        <f t="shared" si="9"/>
        <v>25950</v>
      </c>
      <c r="R19" s="126">
        <f t="shared" si="10"/>
        <v>2590</v>
      </c>
      <c r="S19" s="126"/>
      <c r="T19" s="95">
        <f>IFERROR(ROUNDDOWN((P19-AC19)*3.43%,-1),)</f>
        <v>75460</v>
      </c>
      <c r="U19" s="96">
        <f>ROUNDDOWN(T19*11.52%,-1)</f>
        <v>8690</v>
      </c>
      <c r="V19" s="127">
        <f t="shared" si="12"/>
        <v>17600</v>
      </c>
      <c r="W19" s="124">
        <f t="shared" si="13"/>
        <v>130290</v>
      </c>
      <c r="X19" s="128">
        <f t="shared" si="14"/>
        <v>2369710</v>
      </c>
      <c r="Z19" s="98">
        <v>1</v>
      </c>
      <c r="AA19" s="99"/>
      <c r="AC19" s="100">
        <f t="shared" si="15"/>
        <v>300000</v>
      </c>
    </row>
    <row r="20" spans="2:29" ht="20.100000000000001" customHeight="1" x14ac:dyDescent="0.3">
      <c r="B20" s="101">
        <v>12</v>
      </c>
      <c r="C20" s="87"/>
      <c r="D20" s="88"/>
      <c r="E20" s="89"/>
      <c r="F20" s="106"/>
      <c r="G20" s="106"/>
      <c r="H20" s="106"/>
      <c r="I20" s="106"/>
      <c r="J20" s="107"/>
      <c r="K20" s="107"/>
      <c r="L20" s="107"/>
      <c r="M20" s="107"/>
      <c r="N20" s="89"/>
      <c r="O20" s="130"/>
      <c r="P20" s="124">
        <f t="shared" si="8"/>
        <v>0</v>
      </c>
      <c r="Q20" s="125">
        <f t="shared" si="9"/>
        <v>0</v>
      </c>
      <c r="R20" s="126">
        <f t="shared" si="10"/>
        <v>0</v>
      </c>
      <c r="S20" s="126">
        <f t="shared" si="11"/>
        <v>0</v>
      </c>
      <c r="T20" s="126">
        <f t="shared" si="19"/>
        <v>0</v>
      </c>
      <c r="U20" s="127">
        <f t="shared" ref="U20" si="23">ROUNDDOWN(T20*요양보험율,-1)</f>
        <v>0</v>
      </c>
      <c r="V20" s="127">
        <f t="shared" si="12"/>
        <v>0</v>
      </c>
      <c r="W20" s="124">
        <f t="shared" si="13"/>
        <v>0</v>
      </c>
      <c r="X20" s="128">
        <f t="shared" si="14"/>
        <v>0</v>
      </c>
      <c r="Z20" s="98">
        <v>1</v>
      </c>
      <c r="AA20" s="99"/>
      <c r="AC20" s="100">
        <f t="shared" si="15"/>
        <v>0</v>
      </c>
    </row>
    <row r="21" spans="2:29" ht="20.100000000000001" customHeight="1" x14ac:dyDescent="0.3">
      <c r="B21" s="216" t="s">
        <v>120</v>
      </c>
      <c r="C21" s="217"/>
      <c r="D21" s="218"/>
      <c r="E21" s="131">
        <f t="shared" ref="E21:X21" si="24">SUM(E9:E20)</f>
        <v>21000000</v>
      </c>
      <c r="F21" s="132">
        <f t="shared" si="24"/>
        <v>0</v>
      </c>
      <c r="G21" s="132">
        <f t="shared" si="24"/>
        <v>0</v>
      </c>
      <c r="H21" s="132">
        <f t="shared" si="24"/>
        <v>0</v>
      </c>
      <c r="I21" s="132">
        <f t="shared" si="24"/>
        <v>0</v>
      </c>
      <c r="J21" s="132">
        <f t="shared" si="24"/>
        <v>0</v>
      </c>
      <c r="K21" s="132">
        <f t="shared" si="24"/>
        <v>0</v>
      </c>
      <c r="L21" s="132">
        <f t="shared" si="24"/>
        <v>0</v>
      </c>
      <c r="M21" s="133">
        <f t="shared" si="24"/>
        <v>0</v>
      </c>
      <c r="N21" s="131">
        <f t="shared" si="24"/>
        <v>2000000</v>
      </c>
      <c r="O21" s="134">
        <f t="shared" si="24"/>
        <v>2000000</v>
      </c>
      <c r="P21" s="135">
        <f t="shared" si="24"/>
        <v>25000000</v>
      </c>
      <c r="Q21" s="131">
        <f t="shared" si="24"/>
        <v>259500</v>
      </c>
      <c r="R21" s="132">
        <f t="shared" si="24"/>
        <v>25900</v>
      </c>
      <c r="S21" s="132">
        <f t="shared" si="24"/>
        <v>693000</v>
      </c>
      <c r="T21" s="132">
        <f t="shared" si="24"/>
        <v>754600</v>
      </c>
      <c r="U21" s="133">
        <f t="shared" si="24"/>
        <v>86900</v>
      </c>
      <c r="V21" s="133">
        <f t="shared" si="24"/>
        <v>176000</v>
      </c>
      <c r="W21" s="135">
        <f t="shared" si="24"/>
        <v>1995900</v>
      </c>
      <c r="X21" s="136">
        <f t="shared" si="24"/>
        <v>23004100</v>
      </c>
    </row>
    <row r="22" spans="2:29" ht="20.25" customHeight="1" thickBot="1" x14ac:dyDescent="0.35">
      <c r="B22" s="219" t="s">
        <v>121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</row>
    <row r="23" spans="2:29" ht="15" customHeight="1" x14ac:dyDescent="0.3">
      <c r="B23" s="118"/>
      <c r="C23" s="119" t="s">
        <v>122</v>
      </c>
      <c r="D23" s="220" t="s">
        <v>123</v>
      </c>
      <c r="E23" s="221"/>
      <c r="F23" s="220" t="s">
        <v>124</v>
      </c>
      <c r="G23" s="221"/>
      <c r="H23" s="222" t="s">
        <v>125</v>
      </c>
      <c r="I23" s="223"/>
      <c r="J23" s="223"/>
      <c r="K23" s="223"/>
      <c r="L23" s="223"/>
      <c r="M23" s="223"/>
      <c r="N23" s="223"/>
      <c r="O23" s="223"/>
      <c r="P23" s="224"/>
      <c r="Q23" s="64"/>
      <c r="R23" s="64"/>
      <c r="S23" s="64"/>
      <c r="T23" s="64"/>
      <c r="U23" s="64"/>
      <c r="V23" s="64"/>
    </row>
    <row r="24" spans="2:29" ht="15" customHeight="1" x14ac:dyDescent="0.3">
      <c r="B24" s="225" t="s">
        <v>126</v>
      </c>
      <c r="C24" s="120"/>
      <c r="D24" s="197"/>
      <c r="E24" s="198"/>
      <c r="F24" s="204"/>
      <c r="G24" s="205"/>
      <c r="H24" s="206"/>
      <c r="I24" s="207"/>
      <c r="J24" s="207"/>
      <c r="K24" s="207"/>
      <c r="L24" s="207"/>
      <c r="M24" s="207"/>
      <c r="N24" s="207"/>
      <c r="O24" s="207"/>
      <c r="P24" s="208"/>
      <c r="Q24" s="64"/>
      <c r="R24" s="64"/>
      <c r="S24" s="64"/>
      <c r="T24" s="64"/>
      <c r="U24" s="64"/>
      <c r="V24" s="64"/>
    </row>
    <row r="25" spans="2:29" ht="15" customHeight="1" x14ac:dyDescent="0.3">
      <c r="B25" s="195"/>
      <c r="C25" s="120"/>
      <c r="D25" s="197"/>
      <c r="E25" s="198"/>
      <c r="F25" s="204"/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thickBot="1" x14ac:dyDescent="0.35">
      <c r="B26" s="226"/>
      <c r="C26" s="121"/>
      <c r="D26" s="227"/>
      <c r="E26" s="228"/>
      <c r="F26" s="229"/>
      <c r="G26" s="230"/>
      <c r="H26" s="231"/>
      <c r="I26" s="232"/>
      <c r="J26" s="232"/>
      <c r="K26" s="232"/>
      <c r="L26" s="232"/>
      <c r="M26" s="232"/>
      <c r="N26" s="232"/>
      <c r="O26" s="232"/>
      <c r="P26" s="233"/>
      <c r="Q26" s="64"/>
      <c r="R26" s="64"/>
      <c r="S26" s="64"/>
      <c r="T26" s="64"/>
      <c r="U26" s="64"/>
      <c r="V26" s="64"/>
    </row>
    <row r="27" spans="2:29" ht="15" customHeight="1" thickTop="1" x14ac:dyDescent="0.3">
      <c r="B27" s="195" t="s">
        <v>127</v>
      </c>
      <c r="C27" s="120"/>
      <c r="D27" s="197"/>
      <c r="E27" s="198"/>
      <c r="F27" s="199"/>
      <c r="G27" s="200"/>
      <c r="H27" s="201"/>
      <c r="I27" s="202"/>
      <c r="J27" s="202"/>
      <c r="K27" s="202"/>
      <c r="L27" s="202"/>
      <c r="M27" s="202"/>
      <c r="N27" s="202"/>
      <c r="O27" s="202"/>
      <c r="P27" s="203"/>
      <c r="Q27" s="64"/>
      <c r="R27" s="64"/>
      <c r="S27" s="64"/>
      <c r="T27" s="64"/>
      <c r="U27" s="64"/>
      <c r="V27" s="64"/>
    </row>
    <row r="28" spans="2:29" ht="15" customHeight="1" x14ac:dyDescent="0.3">
      <c r="B28" s="195"/>
      <c r="C28" s="120"/>
      <c r="D28" s="197"/>
      <c r="E28" s="198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thickBot="1" x14ac:dyDescent="0.35">
      <c r="B29" s="196"/>
      <c r="C29" s="122"/>
      <c r="D29" s="209"/>
      <c r="E29" s="210"/>
      <c r="F29" s="211"/>
      <c r="G29" s="212"/>
      <c r="H29" s="213"/>
      <c r="I29" s="214"/>
      <c r="J29" s="214"/>
      <c r="K29" s="214"/>
      <c r="L29" s="214"/>
      <c r="M29" s="214"/>
      <c r="N29" s="214"/>
      <c r="O29" s="214"/>
      <c r="P29" s="215"/>
      <c r="Q29" s="64"/>
      <c r="R29" s="64"/>
      <c r="S29" s="64"/>
      <c r="T29" s="64"/>
      <c r="U29" s="64"/>
      <c r="V29" s="64"/>
    </row>
    <row r="30" spans="2:29" ht="20.100000000000001" customHeight="1" x14ac:dyDescent="0.3">
      <c r="Q30" s="64"/>
      <c r="R30" s="64"/>
      <c r="S30" s="64"/>
      <c r="T30" s="64"/>
      <c r="U30" s="64"/>
      <c r="V30" s="64"/>
    </row>
    <row r="31" spans="2:29" s="64" customFormat="1" ht="20.100000000000001" customHeight="1" x14ac:dyDescent="0.3">
      <c r="B31" s="62"/>
      <c r="C31" s="62"/>
      <c r="D31" s="62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2:29" s="64" customFormat="1" ht="20.100000000000001" customHeight="1" x14ac:dyDescent="0.3">
      <c r="B32" s="62"/>
      <c r="C32" s="62"/>
      <c r="D32" s="62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62"/>
      <c r="C33" s="62"/>
      <c r="D33" s="6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62"/>
      <c r="C34" s="62"/>
      <c r="D34" s="62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62"/>
      <c r="C35" s="62"/>
      <c r="D35" s="62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62"/>
      <c r="C36" s="62"/>
      <c r="D36" s="62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62"/>
      <c r="C37" s="62"/>
      <c r="D37" s="62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62"/>
      <c r="C38" s="62"/>
      <c r="D38" s="62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62"/>
      <c r="C39" s="62"/>
      <c r="D39" s="62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62"/>
      <c r="C40" s="62"/>
      <c r="D40" s="62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62"/>
      <c r="C41" s="62"/>
      <c r="D41" s="62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62"/>
      <c r="C42" s="62"/>
      <c r="D42" s="62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62"/>
      <c r="C43" s="62"/>
      <c r="D43" s="62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62"/>
      <c r="C44" s="62"/>
      <c r="D44" s="62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62"/>
      <c r="C45" s="62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62"/>
      <c r="C46" s="62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62"/>
      <c r="C47" s="62"/>
      <c r="D47" s="62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62"/>
      <c r="C48" s="62"/>
      <c r="D48" s="62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62"/>
      <c r="C49" s="62"/>
      <c r="D49" s="62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62"/>
      <c r="C50" s="62"/>
      <c r="D50" s="62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62"/>
      <c r="C51" s="62"/>
      <c r="D51" s="62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62"/>
      <c r="C52" s="62"/>
      <c r="D52" s="62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62"/>
      <c r="C53" s="62"/>
      <c r="D53" s="62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62"/>
      <c r="C54" s="62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62"/>
      <c r="C55" s="62"/>
      <c r="D55" s="62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62"/>
      <c r="C56" s="62"/>
      <c r="D56" s="62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62"/>
      <c r="C57" s="62"/>
      <c r="D57" s="62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62"/>
      <c r="C58" s="62"/>
      <c r="D58" s="62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62"/>
      <c r="C59" s="62"/>
      <c r="D59" s="62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62"/>
      <c r="C60" s="62"/>
      <c r="D60" s="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62"/>
      <c r="C61" s="62"/>
      <c r="D61" s="62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62"/>
      <c r="C62" s="62"/>
      <c r="D62" s="62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62"/>
      <c r="C63" s="62"/>
      <c r="D63" s="62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62"/>
      <c r="C64" s="62"/>
      <c r="D64" s="62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62"/>
      <c r="C65" s="62"/>
      <c r="D65" s="62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62"/>
      <c r="C66" s="62"/>
      <c r="D66" s="62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62"/>
      <c r="C67" s="62"/>
      <c r="D67" s="62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62"/>
      <c r="C68" s="62"/>
      <c r="D68" s="62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62"/>
      <c r="C69" s="62"/>
      <c r="D69" s="62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62"/>
      <c r="C70" s="62"/>
      <c r="D70" s="62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62"/>
      <c r="C71" s="62"/>
      <c r="D71" s="62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62"/>
      <c r="C72" s="62"/>
      <c r="D72" s="62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62"/>
      <c r="C73" s="62"/>
      <c r="D73" s="62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62"/>
      <c r="C74" s="62"/>
      <c r="D74" s="62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62"/>
      <c r="C75" s="62"/>
      <c r="D75" s="62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62"/>
      <c r="C76" s="62"/>
      <c r="D76" s="62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62"/>
      <c r="C77" s="62"/>
      <c r="D77" s="62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62"/>
      <c r="C78" s="62"/>
      <c r="D78" s="62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62"/>
      <c r="C79" s="62"/>
      <c r="D79" s="62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62"/>
      <c r="C80" s="62"/>
      <c r="D80" s="62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62"/>
      <c r="C81" s="62"/>
      <c r="D81" s="62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62"/>
      <c r="C82" s="62"/>
      <c r="D82" s="62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62"/>
      <c r="C83" s="62"/>
      <c r="D83" s="62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62"/>
      <c r="C84" s="62"/>
      <c r="D84" s="62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62"/>
      <c r="C85" s="62"/>
      <c r="D85" s="62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62"/>
      <c r="C86" s="62"/>
      <c r="D86" s="62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62"/>
      <c r="C87" s="62"/>
      <c r="D87" s="62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62"/>
      <c r="C88" s="62"/>
      <c r="D88" s="62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62"/>
      <c r="C89" s="62"/>
      <c r="D89" s="62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62"/>
      <c r="C90" s="62"/>
      <c r="D90" s="62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62"/>
      <c r="C91" s="62"/>
      <c r="D91" s="62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62"/>
      <c r="C92" s="62"/>
      <c r="D92" s="62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62"/>
      <c r="C93" s="62"/>
      <c r="D93" s="62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62"/>
      <c r="C94" s="62"/>
      <c r="D94" s="62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62"/>
      <c r="C95" s="62"/>
      <c r="D95" s="62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62"/>
      <c r="C96" s="62"/>
      <c r="D96" s="62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62"/>
      <c r="C97" s="62"/>
      <c r="D97" s="62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62"/>
      <c r="C98" s="62"/>
      <c r="D98" s="62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62"/>
      <c r="C99" s="62"/>
      <c r="D99" s="62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62"/>
      <c r="C100" s="62"/>
      <c r="D100" s="62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62"/>
      <c r="C101" s="62"/>
      <c r="D101" s="62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62"/>
      <c r="C102" s="62"/>
      <c r="D102" s="62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62"/>
      <c r="C103" s="62"/>
      <c r="D103" s="62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62"/>
      <c r="C104" s="62"/>
      <c r="D104" s="62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62"/>
      <c r="C105" s="62"/>
      <c r="D105" s="62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62"/>
      <c r="C106" s="62"/>
      <c r="D106" s="62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62"/>
      <c r="C107" s="62"/>
      <c r="D107" s="62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62"/>
      <c r="C108" s="62"/>
      <c r="D108" s="62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62"/>
      <c r="C109" s="62"/>
      <c r="D109" s="62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62"/>
      <c r="C110" s="62"/>
      <c r="D110" s="62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62"/>
      <c r="C111" s="62"/>
      <c r="D111" s="62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62"/>
      <c r="C112" s="62"/>
      <c r="D112" s="62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62"/>
      <c r="C113" s="62"/>
      <c r="D113" s="62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62"/>
      <c r="C114" s="62"/>
      <c r="D114" s="62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62"/>
      <c r="C115" s="62"/>
      <c r="D115" s="62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62"/>
      <c r="C116" s="62"/>
      <c r="D116" s="62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62"/>
      <c r="C117" s="62"/>
      <c r="D117" s="62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62"/>
      <c r="C118" s="62"/>
      <c r="D118" s="62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62"/>
      <c r="C119" s="62"/>
      <c r="D119" s="62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62"/>
      <c r="C120" s="62"/>
      <c r="D120" s="62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62"/>
      <c r="C121" s="62"/>
      <c r="D121" s="62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62"/>
      <c r="C122" s="62"/>
      <c r="D122" s="62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62"/>
      <c r="C123" s="62"/>
      <c r="D123" s="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62"/>
      <c r="C124" s="62"/>
      <c r="D124" s="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62"/>
      <c r="C125" s="62"/>
      <c r="D125" s="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62"/>
      <c r="C126" s="62"/>
      <c r="D126" s="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62"/>
      <c r="C127" s="62"/>
      <c r="D127" s="62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62"/>
      <c r="C128" s="62"/>
      <c r="D128" s="62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62"/>
      <c r="C129" s="62"/>
      <c r="D129" s="62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62"/>
      <c r="C130" s="62"/>
      <c r="D130" s="62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62"/>
      <c r="C131" s="62"/>
      <c r="D131" s="62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62"/>
      <c r="C132" s="62"/>
      <c r="D132" s="62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62"/>
      <c r="C133" s="62"/>
      <c r="D133" s="62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62"/>
      <c r="C134" s="62"/>
      <c r="D134" s="62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62"/>
      <c r="C135" s="62"/>
      <c r="D135" s="62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62"/>
      <c r="C136" s="62"/>
      <c r="D136" s="62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62"/>
      <c r="C137" s="62"/>
      <c r="D137" s="62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62"/>
      <c r="C138" s="62"/>
      <c r="D138" s="62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62"/>
      <c r="C139" s="62"/>
      <c r="D139" s="62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62"/>
      <c r="C140" s="62"/>
      <c r="D140" s="62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62"/>
      <c r="C141" s="62"/>
      <c r="D141" s="62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62"/>
      <c r="C142" s="62"/>
      <c r="D142" s="62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62"/>
      <c r="C143" s="62"/>
      <c r="D143" s="62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62"/>
      <c r="C144" s="62"/>
      <c r="D144" s="62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62"/>
      <c r="C145" s="62"/>
      <c r="D145" s="62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62"/>
      <c r="C146" s="62"/>
      <c r="D146" s="62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62"/>
      <c r="C147" s="62"/>
      <c r="D147" s="62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62"/>
      <c r="C148" s="62"/>
      <c r="D148" s="62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62"/>
      <c r="C149" s="62"/>
      <c r="D149" s="62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62"/>
      <c r="C150" s="62"/>
      <c r="D150" s="62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62"/>
      <c r="C151" s="62"/>
      <c r="D151" s="62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62"/>
      <c r="C152" s="62"/>
      <c r="D152" s="62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62"/>
      <c r="C153" s="62"/>
      <c r="D153" s="62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62"/>
      <c r="C154" s="62"/>
      <c r="D154" s="62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62"/>
      <c r="C155" s="62"/>
      <c r="D155" s="62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62"/>
      <c r="C156" s="62"/>
      <c r="D156" s="62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62"/>
      <c r="C157" s="62"/>
      <c r="D157" s="62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62"/>
      <c r="C158" s="62"/>
      <c r="D158" s="62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62"/>
      <c r="C159" s="62"/>
      <c r="D159" s="62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62"/>
      <c r="C160" s="62"/>
      <c r="D160" s="62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62"/>
      <c r="C161" s="62"/>
      <c r="D161" s="62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62"/>
      <c r="C162" s="62"/>
      <c r="D162" s="62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62"/>
      <c r="C163" s="62"/>
      <c r="D163" s="62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62"/>
      <c r="C164" s="62"/>
      <c r="D164" s="62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62"/>
      <c r="C165" s="62"/>
      <c r="D165" s="62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62"/>
      <c r="C166" s="62"/>
      <c r="D166" s="62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62"/>
      <c r="C167" s="62"/>
      <c r="D167" s="62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62"/>
      <c r="C168" s="62"/>
      <c r="D168" s="62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62"/>
      <c r="C169" s="62"/>
      <c r="D169" s="62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62"/>
      <c r="C170" s="62"/>
      <c r="D170" s="62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62"/>
      <c r="C171" s="62"/>
      <c r="D171" s="62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62"/>
      <c r="C172" s="62"/>
      <c r="D172" s="62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62"/>
      <c r="C173" s="62"/>
      <c r="D173" s="62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62"/>
      <c r="C174" s="62"/>
      <c r="D174" s="62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62"/>
      <c r="C175" s="62"/>
      <c r="D175" s="62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62"/>
      <c r="C176" s="62"/>
      <c r="D176" s="62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62"/>
      <c r="C177" s="62"/>
      <c r="D177" s="62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62"/>
      <c r="C178" s="62"/>
      <c r="D178" s="62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62"/>
      <c r="C179" s="62"/>
      <c r="D179" s="62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62"/>
      <c r="C180" s="62"/>
      <c r="D180" s="62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62"/>
      <c r="C181" s="62"/>
      <c r="D181" s="62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62"/>
      <c r="C182" s="62"/>
      <c r="D182" s="62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62"/>
      <c r="C183" s="62"/>
      <c r="D183" s="62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62"/>
      <c r="C184" s="62"/>
      <c r="D184" s="62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62"/>
      <c r="C185" s="62"/>
      <c r="D185" s="62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62"/>
      <c r="C186" s="62"/>
      <c r="D186" s="62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62"/>
      <c r="C187" s="62"/>
      <c r="D187" s="62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62"/>
      <c r="C188" s="62"/>
      <c r="D188" s="62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62"/>
      <c r="C189" s="62"/>
      <c r="D189" s="62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62"/>
      <c r="C190" s="62"/>
      <c r="D190" s="62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62"/>
      <c r="C191" s="62"/>
      <c r="D191" s="62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62"/>
      <c r="C192" s="62"/>
      <c r="D192" s="62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62"/>
      <c r="C193" s="62"/>
      <c r="D193" s="62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62"/>
      <c r="C194" s="62"/>
      <c r="D194" s="62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62"/>
      <c r="C195" s="62"/>
      <c r="D195" s="62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62"/>
      <c r="C196" s="62"/>
      <c r="D196" s="62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62"/>
      <c r="C197" s="62"/>
      <c r="D197" s="62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62"/>
      <c r="C198" s="62"/>
      <c r="D198" s="62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62"/>
      <c r="C199" s="62"/>
      <c r="D199" s="62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62"/>
      <c r="C200" s="62"/>
      <c r="D200" s="62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62"/>
      <c r="C201" s="62"/>
      <c r="D201" s="62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62"/>
      <c r="C202" s="62"/>
      <c r="D202" s="62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62"/>
      <c r="C203" s="62"/>
      <c r="D203" s="62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62"/>
      <c r="C204" s="62"/>
      <c r="D204" s="62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62"/>
      <c r="C205" s="62"/>
      <c r="D205" s="62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62"/>
      <c r="C206" s="62"/>
      <c r="D206" s="62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62"/>
      <c r="C207" s="62"/>
      <c r="D207" s="62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62"/>
      <c r="C208" s="62"/>
      <c r="D208" s="62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62"/>
      <c r="C209" s="62"/>
      <c r="D209" s="62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62"/>
      <c r="C210" s="62"/>
      <c r="D210" s="62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62"/>
      <c r="C211" s="62"/>
      <c r="D211" s="62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62"/>
      <c r="C212" s="62"/>
      <c r="D212" s="62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62"/>
      <c r="C213" s="62"/>
      <c r="D213" s="62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62"/>
      <c r="C214" s="62"/>
      <c r="D214" s="62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62"/>
      <c r="C215" s="62"/>
      <c r="D215" s="62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62"/>
      <c r="C216" s="62"/>
      <c r="D216" s="62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62"/>
      <c r="C217" s="62"/>
      <c r="D217" s="62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62"/>
      <c r="C218" s="62"/>
      <c r="D218" s="62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62"/>
      <c r="C219" s="62"/>
      <c r="D219" s="62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62"/>
      <c r="C220" s="62"/>
      <c r="D220" s="62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62"/>
      <c r="C221" s="62"/>
      <c r="D221" s="62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62"/>
      <c r="C222" s="62"/>
      <c r="D222" s="62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62"/>
      <c r="C223" s="62"/>
      <c r="D223" s="62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62"/>
      <c r="C224" s="62"/>
      <c r="D224" s="62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62"/>
      <c r="C225" s="62"/>
      <c r="D225" s="62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62"/>
      <c r="C226" s="62"/>
      <c r="D226" s="62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62"/>
      <c r="C227" s="62"/>
      <c r="D227" s="62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62"/>
      <c r="C228" s="62"/>
      <c r="D228" s="62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62"/>
      <c r="C229" s="62"/>
      <c r="D229" s="62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62"/>
      <c r="C230" s="62"/>
      <c r="D230" s="62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62"/>
      <c r="C231" s="62"/>
      <c r="D231" s="62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62"/>
      <c r="C232" s="62"/>
      <c r="D232" s="62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62"/>
      <c r="C233" s="62"/>
      <c r="D233" s="62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62"/>
      <c r="C234" s="62"/>
      <c r="D234" s="62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62"/>
      <c r="C235" s="62"/>
      <c r="D235" s="62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62"/>
      <c r="C236" s="62"/>
      <c r="D236" s="62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62"/>
      <c r="C237" s="62"/>
      <c r="D237" s="62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62"/>
      <c r="C238" s="62"/>
      <c r="D238" s="62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62"/>
      <c r="C239" s="62"/>
      <c r="D239" s="62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62"/>
      <c r="C240" s="62"/>
      <c r="D240" s="62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62"/>
      <c r="C241" s="62"/>
      <c r="D241" s="62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62"/>
      <c r="C242" s="62"/>
      <c r="D242" s="62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62"/>
      <c r="C243" s="62"/>
      <c r="D243" s="62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62"/>
      <c r="C244" s="62"/>
      <c r="D244" s="62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62"/>
      <c r="C245" s="62"/>
      <c r="D245" s="62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62"/>
      <c r="C246" s="62"/>
      <c r="D246" s="62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62"/>
      <c r="C247" s="62"/>
      <c r="D247" s="62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62"/>
      <c r="C248" s="62"/>
      <c r="D248" s="62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62"/>
      <c r="C249" s="62"/>
      <c r="D249" s="62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62"/>
      <c r="C250" s="62"/>
      <c r="D250" s="62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62"/>
      <c r="C251" s="62"/>
      <c r="D251" s="62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62"/>
      <c r="C252" s="62"/>
      <c r="D252" s="62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62"/>
      <c r="C253" s="62"/>
      <c r="D253" s="62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62"/>
      <c r="C254" s="62"/>
      <c r="D254" s="62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62"/>
      <c r="C255" s="62"/>
      <c r="D255" s="62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62"/>
      <c r="C256" s="62"/>
      <c r="D256" s="62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62"/>
      <c r="C257" s="62"/>
      <c r="D257" s="62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62"/>
      <c r="C258" s="62"/>
      <c r="D258" s="62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62"/>
      <c r="C259" s="62"/>
      <c r="D259" s="62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62"/>
      <c r="C260" s="62"/>
      <c r="D260" s="62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62"/>
      <c r="C261" s="62"/>
      <c r="D261" s="62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62"/>
      <c r="C262" s="62"/>
      <c r="D262" s="62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62"/>
      <c r="C263" s="62"/>
      <c r="D263" s="62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62"/>
      <c r="C264" s="62"/>
      <c r="D264" s="62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62"/>
      <c r="C265" s="62"/>
      <c r="D265" s="62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62"/>
      <c r="C266" s="62"/>
      <c r="D266" s="62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62"/>
      <c r="C267" s="62"/>
      <c r="D267" s="62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62"/>
      <c r="C268" s="62"/>
      <c r="D268" s="62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62"/>
      <c r="C269" s="62"/>
      <c r="D269" s="62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62"/>
      <c r="C270" s="62"/>
      <c r="D270" s="62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62"/>
      <c r="C271" s="62"/>
      <c r="D271" s="62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62"/>
      <c r="C272" s="62"/>
      <c r="D272" s="62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62"/>
      <c r="C273" s="62"/>
      <c r="D273" s="62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62"/>
      <c r="C274" s="62"/>
      <c r="D274" s="62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62"/>
      <c r="C275" s="62"/>
      <c r="D275" s="62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62"/>
      <c r="C276" s="62"/>
      <c r="D276" s="62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62"/>
      <c r="C277" s="62"/>
      <c r="D277" s="62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</sheetData>
  <mergeCells count="45">
    <mergeCell ref="X4:X5"/>
    <mergeCell ref="B5:E5"/>
    <mergeCell ref="F5:G5"/>
    <mergeCell ref="B3:E4"/>
    <mergeCell ref="L3:P3"/>
    <mergeCell ref="T4:T5"/>
    <mergeCell ref="V4:V5"/>
    <mergeCell ref="W4:W5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B24:B26"/>
    <mergeCell ref="D24:E24"/>
    <mergeCell ref="F24:G24"/>
    <mergeCell ref="H24:P24"/>
    <mergeCell ref="D25:E25"/>
    <mergeCell ref="F25:G25"/>
    <mergeCell ref="H25:P25"/>
    <mergeCell ref="D26:E26"/>
    <mergeCell ref="F26:G26"/>
    <mergeCell ref="H26:P26"/>
    <mergeCell ref="B21:D21"/>
    <mergeCell ref="B22:X22"/>
    <mergeCell ref="D23:E23"/>
    <mergeCell ref="F23:G23"/>
    <mergeCell ref="H23:P23"/>
    <mergeCell ref="B27:B29"/>
    <mergeCell ref="D27:E27"/>
    <mergeCell ref="F27:G27"/>
    <mergeCell ref="H27:P27"/>
    <mergeCell ref="D28:E28"/>
    <mergeCell ref="F28:G28"/>
    <mergeCell ref="H28:P28"/>
    <mergeCell ref="D29:E29"/>
    <mergeCell ref="F29:G29"/>
    <mergeCell ref="H29:P29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7"/>
  <sheetViews>
    <sheetView topLeftCell="A4" workbookViewId="0">
      <selection activeCell="Z27" sqref="Z27"/>
    </sheetView>
  </sheetViews>
  <sheetFormatPr defaultRowHeight="13.5" x14ac:dyDescent="0.3"/>
  <cols>
    <col min="1" max="1" width="1.625" style="85" customWidth="1"/>
    <col min="2" max="2" width="4.625" style="85" bestFit="1" customWidth="1"/>
    <col min="3" max="3" width="7.625" style="85" bestFit="1" customWidth="1"/>
    <col min="4" max="4" width="8" style="85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85" customWidth="1"/>
    <col min="26" max="26" width="8.375" style="85" customWidth="1"/>
    <col min="27" max="27" width="7.25" style="85" customWidth="1"/>
    <col min="28" max="28" width="3.875" style="85" customWidth="1"/>
    <col min="29" max="29" width="0.5" style="85" customWidth="1"/>
    <col min="30" max="257" width="9" style="85"/>
    <col min="258" max="258" width="4.625" style="85" bestFit="1" customWidth="1"/>
    <col min="259" max="259" width="7.5" style="85" bestFit="1" customWidth="1"/>
    <col min="260" max="260" width="6.25" style="85" customWidth="1"/>
    <col min="261" max="261" width="11" style="85" bestFit="1" customWidth="1"/>
    <col min="262" max="263" width="9.625" style="85" bestFit="1" customWidth="1"/>
    <col min="264" max="264" width="8.25" style="85" bestFit="1" customWidth="1"/>
    <col min="265" max="266" width="9.625" style="85" bestFit="1" customWidth="1"/>
    <col min="267" max="267" width="8.25" style="85" bestFit="1" customWidth="1"/>
    <col min="268" max="269" width="9.625" style="85" bestFit="1" customWidth="1"/>
    <col min="270" max="271" width="8.25" style="85" bestFit="1" customWidth="1"/>
    <col min="272" max="272" width="11" style="85" bestFit="1" customWidth="1"/>
    <col min="273" max="273" width="8" style="85" bestFit="1" customWidth="1"/>
    <col min="274" max="274" width="7.75" style="85" bestFit="1" customWidth="1"/>
    <col min="275" max="276" width="9.625" style="85" bestFit="1" customWidth="1"/>
    <col min="277" max="278" width="9.625" style="85" customWidth="1"/>
    <col min="279" max="279" width="9.25" style="85" bestFit="1" customWidth="1"/>
    <col min="280" max="280" width="11" style="85" bestFit="1" customWidth="1"/>
    <col min="281" max="513" width="9" style="85"/>
    <col min="514" max="514" width="4.625" style="85" bestFit="1" customWidth="1"/>
    <col min="515" max="515" width="7.5" style="85" bestFit="1" customWidth="1"/>
    <col min="516" max="516" width="6.25" style="85" customWidth="1"/>
    <col min="517" max="517" width="11" style="85" bestFit="1" customWidth="1"/>
    <col min="518" max="519" width="9.625" style="85" bestFit="1" customWidth="1"/>
    <col min="520" max="520" width="8.25" style="85" bestFit="1" customWidth="1"/>
    <col min="521" max="522" width="9.625" style="85" bestFit="1" customWidth="1"/>
    <col min="523" max="523" width="8.25" style="85" bestFit="1" customWidth="1"/>
    <col min="524" max="525" width="9.625" style="85" bestFit="1" customWidth="1"/>
    <col min="526" max="527" width="8.25" style="85" bestFit="1" customWidth="1"/>
    <col min="528" max="528" width="11" style="85" bestFit="1" customWidth="1"/>
    <col min="529" max="529" width="8" style="85" bestFit="1" customWidth="1"/>
    <col min="530" max="530" width="7.75" style="85" bestFit="1" customWidth="1"/>
    <col min="531" max="532" width="9.625" style="85" bestFit="1" customWidth="1"/>
    <col min="533" max="534" width="9.625" style="85" customWidth="1"/>
    <col min="535" max="535" width="9.25" style="85" bestFit="1" customWidth="1"/>
    <col min="536" max="536" width="11" style="85" bestFit="1" customWidth="1"/>
    <col min="537" max="769" width="9" style="85"/>
    <col min="770" max="770" width="4.625" style="85" bestFit="1" customWidth="1"/>
    <col min="771" max="771" width="7.5" style="85" bestFit="1" customWidth="1"/>
    <col min="772" max="772" width="6.25" style="85" customWidth="1"/>
    <col min="773" max="773" width="11" style="85" bestFit="1" customWidth="1"/>
    <col min="774" max="775" width="9.625" style="85" bestFit="1" customWidth="1"/>
    <col min="776" max="776" width="8.25" style="85" bestFit="1" customWidth="1"/>
    <col min="777" max="778" width="9.625" style="85" bestFit="1" customWidth="1"/>
    <col min="779" max="779" width="8.25" style="85" bestFit="1" customWidth="1"/>
    <col min="780" max="781" width="9.625" style="85" bestFit="1" customWidth="1"/>
    <col min="782" max="783" width="8.25" style="85" bestFit="1" customWidth="1"/>
    <col min="784" max="784" width="11" style="85" bestFit="1" customWidth="1"/>
    <col min="785" max="785" width="8" style="85" bestFit="1" customWidth="1"/>
    <col min="786" max="786" width="7.75" style="85" bestFit="1" customWidth="1"/>
    <col min="787" max="788" width="9.625" style="85" bestFit="1" customWidth="1"/>
    <col min="789" max="790" width="9.625" style="85" customWidth="1"/>
    <col min="791" max="791" width="9.25" style="85" bestFit="1" customWidth="1"/>
    <col min="792" max="792" width="11" style="85" bestFit="1" customWidth="1"/>
    <col min="793" max="1025" width="9" style="85"/>
    <col min="1026" max="1026" width="4.625" style="85" bestFit="1" customWidth="1"/>
    <col min="1027" max="1027" width="7.5" style="85" bestFit="1" customWidth="1"/>
    <col min="1028" max="1028" width="6.25" style="85" customWidth="1"/>
    <col min="1029" max="1029" width="11" style="85" bestFit="1" customWidth="1"/>
    <col min="1030" max="1031" width="9.625" style="85" bestFit="1" customWidth="1"/>
    <col min="1032" max="1032" width="8.25" style="85" bestFit="1" customWidth="1"/>
    <col min="1033" max="1034" width="9.625" style="85" bestFit="1" customWidth="1"/>
    <col min="1035" max="1035" width="8.25" style="85" bestFit="1" customWidth="1"/>
    <col min="1036" max="1037" width="9.625" style="85" bestFit="1" customWidth="1"/>
    <col min="1038" max="1039" width="8.25" style="85" bestFit="1" customWidth="1"/>
    <col min="1040" max="1040" width="11" style="85" bestFit="1" customWidth="1"/>
    <col min="1041" max="1041" width="8" style="85" bestFit="1" customWidth="1"/>
    <col min="1042" max="1042" width="7.75" style="85" bestFit="1" customWidth="1"/>
    <col min="1043" max="1044" width="9.625" style="85" bestFit="1" customWidth="1"/>
    <col min="1045" max="1046" width="9.625" style="85" customWidth="1"/>
    <col min="1047" max="1047" width="9.25" style="85" bestFit="1" customWidth="1"/>
    <col min="1048" max="1048" width="11" style="85" bestFit="1" customWidth="1"/>
    <col min="1049" max="1281" width="9" style="85"/>
    <col min="1282" max="1282" width="4.625" style="85" bestFit="1" customWidth="1"/>
    <col min="1283" max="1283" width="7.5" style="85" bestFit="1" customWidth="1"/>
    <col min="1284" max="1284" width="6.25" style="85" customWidth="1"/>
    <col min="1285" max="1285" width="11" style="85" bestFit="1" customWidth="1"/>
    <col min="1286" max="1287" width="9.625" style="85" bestFit="1" customWidth="1"/>
    <col min="1288" max="1288" width="8.25" style="85" bestFit="1" customWidth="1"/>
    <col min="1289" max="1290" width="9.625" style="85" bestFit="1" customWidth="1"/>
    <col min="1291" max="1291" width="8.25" style="85" bestFit="1" customWidth="1"/>
    <col min="1292" max="1293" width="9.625" style="85" bestFit="1" customWidth="1"/>
    <col min="1294" max="1295" width="8.25" style="85" bestFit="1" customWidth="1"/>
    <col min="1296" max="1296" width="11" style="85" bestFit="1" customWidth="1"/>
    <col min="1297" max="1297" width="8" style="85" bestFit="1" customWidth="1"/>
    <col min="1298" max="1298" width="7.75" style="85" bestFit="1" customWidth="1"/>
    <col min="1299" max="1300" width="9.625" style="85" bestFit="1" customWidth="1"/>
    <col min="1301" max="1302" width="9.625" style="85" customWidth="1"/>
    <col min="1303" max="1303" width="9.25" style="85" bestFit="1" customWidth="1"/>
    <col min="1304" max="1304" width="11" style="85" bestFit="1" customWidth="1"/>
    <col min="1305" max="1537" width="9" style="85"/>
    <col min="1538" max="1538" width="4.625" style="85" bestFit="1" customWidth="1"/>
    <col min="1539" max="1539" width="7.5" style="85" bestFit="1" customWidth="1"/>
    <col min="1540" max="1540" width="6.25" style="85" customWidth="1"/>
    <col min="1541" max="1541" width="11" style="85" bestFit="1" customWidth="1"/>
    <col min="1542" max="1543" width="9.625" style="85" bestFit="1" customWidth="1"/>
    <col min="1544" max="1544" width="8.25" style="85" bestFit="1" customWidth="1"/>
    <col min="1545" max="1546" width="9.625" style="85" bestFit="1" customWidth="1"/>
    <col min="1547" max="1547" width="8.25" style="85" bestFit="1" customWidth="1"/>
    <col min="1548" max="1549" width="9.625" style="85" bestFit="1" customWidth="1"/>
    <col min="1550" max="1551" width="8.25" style="85" bestFit="1" customWidth="1"/>
    <col min="1552" max="1552" width="11" style="85" bestFit="1" customWidth="1"/>
    <col min="1553" max="1553" width="8" style="85" bestFit="1" customWidth="1"/>
    <col min="1554" max="1554" width="7.75" style="85" bestFit="1" customWidth="1"/>
    <col min="1555" max="1556" width="9.625" style="85" bestFit="1" customWidth="1"/>
    <col min="1557" max="1558" width="9.625" style="85" customWidth="1"/>
    <col min="1559" max="1559" width="9.25" style="85" bestFit="1" customWidth="1"/>
    <col min="1560" max="1560" width="11" style="85" bestFit="1" customWidth="1"/>
    <col min="1561" max="1793" width="9" style="85"/>
    <col min="1794" max="1794" width="4.625" style="85" bestFit="1" customWidth="1"/>
    <col min="1795" max="1795" width="7.5" style="85" bestFit="1" customWidth="1"/>
    <col min="1796" max="1796" width="6.25" style="85" customWidth="1"/>
    <col min="1797" max="1797" width="11" style="85" bestFit="1" customWidth="1"/>
    <col min="1798" max="1799" width="9.625" style="85" bestFit="1" customWidth="1"/>
    <col min="1800" max="1800" width="8.25" style="85" bestFit="1" customWidth="1"/>
    <col min="1801" max="1802" width="9.625" style="85" bestFit="1" customWidth="1"/>
    <col min="1803" max="1803" width="8.25" style="85" bestFit="1" customWidth="1"/>
    <col min="1804" max="1805" width="9.625" style="85" bestFit="1" customWidth="1"/>
    <col min="1806" max="1807" width="8.25" style="85" bestFit="1" customWidth="1"/>
    <col min="1808" max="1808" width="11" style="85" bestFit="1" customWidth="1"/>
    <col min="1809" max="1809" width="8" style="85" bestFit="1" customWidth="1"/>
    <col min="1810" max="1810" width="7.75" style="85" bestFit="1" customWidth="1"/>
    <col min="1811" max="1812" width="9.625" style="85" bestFit="1" customWidth="1"/>
    <col min="1813" max="1814" width="9.625" style="85" customWidth="1"/>
    <col min="1815" max="1815" width="9.25" style="85" bestFit="1" customWidth="1"/>
    <col min="1816" max="1816" width="11" style="85" bestFit="1" customWidth="1"/>
    <col min="1817" max="2049" width="9" style="85"/>
    <col min="2050" max="2050" width="4.625" style="85" bestFit="1" customWidth="1"/>
    <col min="2051" max="2051" width="7.5" style="85" bestFit="1" customWidth="1"/>
    <col min="2052" max="2052" width="6.25" style="85" customWidth="1"/>
    <col min="2053" max="2053" width="11" style="85" bestFit="1" customWidth="1"/>
    <col min="2054" max="2055" width="9.625" style="85" bestFit="1" customWidth="1"/>
    <col min="2056" max="2056" width="8.25" style="85" bestFit="1" customWidth="1"/>
    <col min="2057" max="2058" width="9.625" style="85" bestFit="1" customWidth="1"/>
    <col min="2059" max="2059" width="8.25" style="85" bestFit="1" customWidth="1"/>
    <col min="2060" max="2061" width="9.625" style="85" bestFit="1" customWidth="1"/>
    <col min="2062" max="2063" width="8.25" style="85" bestFit="1" customWidth="1"/>
    <col min="2064" max="2064" width="11" style="85" bestFit="1" customWidth="1"/>
    <col min="2065" max="2065" width="8" style="85" bestFit="1" customWidth="1"/>
    <col min="2066" max="2066" width="7.75" style="85" bestFit="1" customWidth="1"/>
    <col min="2067" max="2068" width="9.625" style="85" bestFit="1" customWidth="1"/>
    <col min="2069" max="2070" width="9.625" style="85" customWidth="1"/>
    <col min="2071" max="2071" width="9.25" style="85" bestFit="1" customWidth="1"/>
    <col min="2072" max="2072" width="11" style="85" bestFit="1" customWidth="1"/>
    <col min="2073" max="2305" width="9" style="85"/>
    <col min="2306" max="2306" width="4.625" style="85" bestFit="1" customWidth="1"/>
    <col min="2307" max="2307" width="7.5" style="85" bestFit="1" customWidth="1"/>
    <col min="2308" max="2308" width="6.25" style="85" customWidth="1"/>
    <col min="2309" max="2309" width="11" style="85" bestFit="1" customWidth="1"/>
    <col min="2310" max="2311" width="9.625" style="85" bestFit="1" customWidth="1"/>
    <col min="2312" max="2312" width="8.25" style="85" bestFit="1" customWidth="1"/>
    <col min="2313" max="2314" width="9.625" style="85" bestFit="1" customWidth="1"/>
    <col min="2315" max="2315" width="8.25" style="85" bestFit="1" customWidth="1"/>
    <col min="2316" max="2317" width="9.625" style="85" bestFit="1" customWidth="1"/>
    <col min="2318" max="2319" width="8.25" style="85" bestFit="1" customWidth="1"/>
    <col min="2320" max="2320" width="11" style="85" bestFit="1" customWidth="1"/>
    <col min="2321" max="2321" width="8" style="85" bestFit="1" customWidth="1"/>
    <col min="2322" max="2322" width="7.75" style="85" bestFit="1" customWidth="1"/>
    <col min="2323" max="2324" width="9.625" style="85" bestFit="1" customWidth="1"/>
    <col min="2325" max="2326" width="9.625" style="85" customWidth="1"/>
    <col min="2327" max="2327" width="9.25" style="85" bestFit="1" customWidth="1"/>
    <col min="2328" max="2328" width="11" style="85" bestFit="1" customWidth="1"/>
    <col min="2329" max="2561" width="9" style="85"/>
    <col min="2562" max="2562" width="4.625" style="85" bestFit="1" customWidth="1"/>
    <col min="2563" max="2563" width="7.5" style="85" bestFit="1" customWidth="1"/>
    <col min="2564" max="2564" width="6.25" style="85" customWidth="1"/>
    <col min="2565" max="2565" width="11" style="85" bestFit="1" customWidth="1"/>
    <col min="2566" max="2567" width="9.625" style="85" bestFit="1" customWidth="1"/>
    <col min="2568" max="2568" width="8.25" style="85" bestFit="1" customWidth="1"/>
    <col min="2569" max="2570" width="9.625" style="85" bestFit="1" customWidth="1"/>
    <col min="2571" max="2571" width="8.25" style="85" bestFit="1" customWidth="1"/>
    <col min="2572" max="2573" width="9.625" style="85" bestFit="1" customWidth="1"/>
    <col min="2574" max="2575" width="8.25" style="85" bestFit="1" customWidth="1"/>
    <col min="2576" max="2576" width="11" style="85" bestFit="1" customWidth="1"/>
    <col min="2577" max="2577" width="8" style="85" bestFit="1" customWidth="1"/>
    <col min="2578" max="2578" width="7.75" style="85" bestFit="1" customWidth="1"/>
    <col min="2579" max="2580" width="9.625" style="85" bestFit="1" customWidth="1"/>
    <col min="2581" max="2582" width="9.625" style="85" customWidth="1"/>
    <col min="2583" max="2583" width="9.25" style="85" bestFit="1" customWidth="1"/>
    <col min="2584" max="2584" width="11" style="85" bestFit="1" customWidth="1"/>
    <col min="2585" max="2817" width="9" style="85"/>
    <col min="2818" max="2818" width="4.625" style="85" bestFit="1" customWidth="1"/>
    <col min="2819" max="2819" width="7.5" style="85" bestFit="1" customWidth="1"/>
    <col min="2820" max="2820" width="6.25" style="85" customWidth="1"/>
    <col min="2821" max="2821" width="11" style="85" bestFit="1" customWidth="1"/>
    <col min="2822" max="2823" width="9.625" style="85" bestFit="1" customWidth="1"/>
    <col min="2824" max="2824" width="8.25" style="85" bestFit="1" customWidth="1"/>
    <col min="2825" max="2826" width="9.625" style="85" bestFit="1" customWidth="1"/>
    <col min="2827" max="2827" width="8.25" style="85" bestFit="1" customWidth="1"/>
    <col min="2828" max="2829" width="9.625" style="85" bestFit="1" customWidth="1"/>
    <col min="2830" max="2831" width="8.25" style="85" bestFit="1" customWidth="1"/>
    <col min="2832" max="2832" width="11" style="85" bestFit="1" customWidth="1"/>
    <col min="2833" max="2833" width="8" style="85" bestFit="1" customWidth="1"/>
    <col min="2834" max="2834" width="7.75" style="85" bestFit="1" customWidth="1"/>
    <col min="2835" max="2836" width="9.625" style="85" bestFit="1" customWidth="1"/>
    <col min="2837" max="2838" width="9.625" style="85" customWidth="1"/>
    <col min="2839" max="2839" width="9.25" style="85" bestFit="1" customWidth="1"/>
    <col min="2840" max="2840" width="11" style="85" bestFit="1" customWidth="1"/>
    <col min="2841" max="3073" width="9" style="85"/>
    <col min="3074" max="3074" width="4.625" style="85" bestFit="1" customWidth="1"/>
    <col min="3075" max="3075" width="7.5" style="85" bestFit="1" customWidth="1"/>
    <col min="3076" max="3076" width="6.25" style="85" customWidth="1"/>
    <col min="3077" max="3077" width="11" style="85" bestFit="1" customWidth="1"/>
    <col min="3078" max="3079" width="9.625" style="85" bestFit="1" customWidth="1"/>
    <col min="3080" max="3080" width="8.25" style="85" bestFit="1" customWidth="1"/>
    <col min="3081" max="3082" width="9.625" style="85" bestFit="1" customWidth="1"/>
    <col min="3083" max="3083" width="8.25" style="85" bestFit="1" customWidth="1"/>
    <col min="3084" max="3085" width="9.625" style="85" bestFit="1" customWidth="1"/>
    <col min="3086" max="3087" width="8.25" style="85" bestFit="1" customWidth="1"/>
    <col min="3088" max="3088" width="11" style="85" bestFit="1" customWidth="1"/>
    <col min="3089" max="3089" width="8" style="85" bestFit="1" customWidth="1"/>
    <col min="3090" max="3090" width="7.75" style="85" bestFit="1" customWidth="1"/>
    <col min="3091" max="3092" width="9.625" style="85" bestFit="1" customWidth="1"/>
    <col min="3093" max="3094" width="9.625" style="85" customWidth="1"/>
    <col min="3095" max="3095" width="9.25" style="85" bestFit="1" customWidth="1"/>
    <col min="3096" max="3096" width="11" style="85" bestFit="1" customWidth="1"/>
    <col min="3097" max="3329" width="9" style="85"/>
    <col min="3330" max="3330" width="4.625" style="85" bestFit="1" customWidth="1"/>
    <col min="3331" max="3331" width="7.5" style="85" bestFit="1" customWidth="1"/>
    <col min="3332" max="3332" width="6.25" style="85" customWidth="1"/>
    <col min="3333" max="3333" width="11" style="85" bestFit="1" customWidth="1"/>
    <col min="3334" max="3335" width="9.625" style="85" bestFit="1" customWidth="1"/>
    <col min="3336" max="3336" width="8.25" style="85" bestFit="1" customWidth="1"/>
    <col min="3337" max="3338" width="9.625" style="85" bestFit="1" customWidth="1"/>
    <col min="3339" max="3339" width="8.25" style="85" bestFit="1" customWidth="1"/>
    <col min="3340" max="3341" width="9.625" style="85" bestFit="1" customWidth="1"/>
    <col min="3342" max="3343" width="8.25" style="85" bestFit="1" customWidth="1"/>
    <col min="3344" max="3344" width="11" style="85" bestFit="1" customWidth="1"/>
    <col min="3345" max="3345" width="8" style="85" bestFit="1" customWidth="1"/>
    <col min="3346" max="3346" width="7.75" style="85" bestFit="1" customWidth="1"/>
    <col min="3347" max="3348" width="9.625" style="85" bestFit="1" customWidth="1"/>
    <col min="3349" max="3350" width="9.625" style="85" customWidth="1"/>
    <col min="3351" max="3351" width="9.25" style="85" bestFit="1" customWidth="1"/>
    <col min="3352" max="3352" width="11" style="85" bestFit="1" customWidth="1"/>
    <col min="3353" max="3585" width="9" style="85"/>
    <col min="3586" max="3586" width="4.625" style="85" bestFit="1" customWidth="1"/>
    <col min="3587" max="3587" width="7.5" style="85" bestFit="1" customWidth="1"/>
    <col min="3588" max="3588" width="6.25" style="85" customWidth="1"/>
    <col min="3589" max="3589" width="11" style="85" bestFit="1" customWidth="1"/>
    <col min="3590" max="3591" width="9.625" style="85" bestFit="1" customWidth="1"/>
    <col min="3592" max="3592" width="8.25" style="85" bestFit="1" customWidth="1"/>
    <col min="3593" max="3594" width="9.625" style="85" bestFit="1" customWidth="1"/>
    <col min="3595" max="3595" width="8.25" style="85" bestFit="1" customWidth="1"/>
    <col min="3596" max="3597" width="9.625" style="85" bestFit="1" customWidth="1"/>
    <col min="3598" max="3599" width="8.25" style="85" bestFit="1" customWidth="1"/>
    <col min="3600" max="3600" width="11" style="85" bestFit="1" customWidth="1"/>
    <col min="3601" max="3601" width="8" style="85" bestFit="1" customWidth="1"/>
    <col min="3602" max="3602" width="7.75" style="85" bestFit="1" customWidth="1"/>
    <col min="3603" max="3604" width="9.625" style="85" bestFit="1" customWidth="1"/>
    <col min="3605" max="3606" width="9.625" style="85" customWidth="1"/>
    <col min="3607" max="3607" width="9.25" style="85" bestFit="1" customWidth="1"/>
    <col min="3608" max="3608" width="11" style="85" bestFit="1" customWidth="1"/>
    <col min="3609" max="3841" width="9" style="85"/>
    <col min="3842" max="3842" width="4.625" style="85" bestFit="1" customWidth="1"/>
    <col min="3843" max="3843" width="7.5" style="85" bestFit="1" customWidth="1"/>
    <col min="3844" max="3844" width="6.25" style="85" customWidth="1"/>
    <col min="3845" max="3845" width="11" style="85" bestFit="1" customWidth="1"/>
    <col min="3846" max="3847" width="9.625" style="85" bestFit="1" customWidth="1"/>
    <col min="3848" max="3848" width="8.25" style="85" bestFit="1" customWidth="1"/>
    <col min="3849" max="3850" width="9.625" style="85" bestFit="1" customWidth="1"/>
    <col min="3851" max="3851" width="8.25" style="85" bestFit="1" customWidth="1"/>
    <col min="3852" max="3853" width="9.625" style="85" bestFit="1" customWidth="1"/>
    <col min="3854" max="3855" width="8.25" style="85" bestFit="1" customWidth="1"/>
    <col min="3856" max="3856" width="11" style="85" bestFit="1" customWidth="1"/>
    <col min="3857" max="3857" width="8" style="85" bestFit="1" customWidth="1"/>
    <col min="3858" max="3858" width="7.75" style="85" bestFit="1" customWidth="1"/>
    <col min="3859" max="3860" width="9.625" style="85" bestFit="1" customWidth="1"/>
    <col min="3861" max="3862" width="9.625" style="85" customWidth="1"/>
    <col min="3863" max="3863" width="9.25" style="85" bestFit="1" customWidth="1"/>
    <col min="3864" max="3864" width="11" style="85" bestFit="1" customWidth="1"/>
    <col min="3865" max="4097" width="9" style="85"/>
    <col min="4098" max="4098" width="4.625" style="85" bestFit="1" customWidth="1"/>
    <col min="4099" max="4099" width="7.5" style="85" bestFit="1" customWidth="1"/>
    <col min="4100" max="4100" width="6.25" style="85" customWidth="1"/>
    <col min="4101" max="4101" width="11" style="85" bestFit="1" customWidth="1"/>
    <col min="4102" max="4103" width="9.625" style="85" bestFit="1" customWidth="1"/>
    <col min="4104" max="4104" width="8.25" style="85" bestFit="1" customWidth="1"/>
    <col min="4105" max="4106" width="9.625" style="85" bestFit="1" customWidth="1"/>
    <col min="4107" max="4107" width="8.25" style="85" bestFit="1" customWidth="1"/>
    <col min="4108" max="4109" width="9.625" style="85" bestFit="1" customWidth="1"/>
    <col min="4110" max="4111" width="8.25" style="85" bestFit="1" customWidth="1"/>
    <col min="4112" max="4112" width="11" style="85" bestFit="1" customWidth="1"/>
    <col min="4113" max="4113" width="8" style="85" bestFit="1" customWidth="1"/>
    <col min="4114" max="4114" width="7.75" style="85" bestFit="1" customWidth="1"/>
    <col min="4115" max="4116" width="9.625" style="85" bestFit="1" customWidth="1"/>
    <col min="4117" max="4118" width="9.625" style="85" customWidth="1"/>
    <col min="4119" max="4119" width="9.25" style="85" bestFit="1" customWidth="1"/>
    <col min="4120" max="4120" width="11" style="85" bestFit="1" customWidth="1"/>
    <col min="4121" max="4353" width="9" style="85"/>
    <col min="4354" max="4354" width="4.625" style="85" bestFit="1" customWidth="1"/>
    <col min="4355" max="4355" width="7.5" style="85" bestFit="1" customWidth="1"/>
    <col min="4356" max="4356" width="6.25" style="85" customWidth="1"/>
    <col min="4357" max="4357" width="11" style="85" bestFit="1" customWidth="1"/>
    <col min="4358" max="4359" width="9.625" style="85" bestFit="1" customWidth="1"/>
    <col min="4360" max="4360" width="8.25" style="85" bestFit="1" customWidth="1"/>
    <col min="4361" max="4362" width="9.625" style="85" bestFit="1" customWidth="1"/>
    <col min="4363" max="4363" width="8.25" style="85" bestFit="1" customWidth="1"/>
    <col min="4364" max="4365" width="9.625" style="85" bestFit="1" customWidth="1"/>
    <col min="4366" max="4367" width="8.25" style="85" bestFit="1" customWidth="1"/>
    <col min="4368" max="4368" width="11" style="85" bestFit="1" customWidth="1"/>
    <col min="4369" max="4369" width="8" style="85" bestFit="1" customWidth="1"/>
    <col min="4370" max="4370" width="7.75" style="85" bestFit="1" customWidth="1"/>
    <col min="4371" max="4372" width="9.625" style="85" bestFit="1" customWidth="1"/>
    <col min="4373" max="4374" width="9.625" style="85" customWidth="1"/>
    <col min="4375" max="4375" width="9.25" style="85" bestFit="1" customWidth="1"/>
    <col min="4376" max="4376" width="11" style="85" bestFit="1" customWidth="1"/>
    <col min="4377" max="4609" width="9" style="85"/>
    <col min="4610" max="4610" width="4.625" style="85" bestFit="1" customWidth="1"/>
    <col min="4611" max="4611" width="7.5" style="85" bestFit="1" customWidth="1"/>
    <col min="4612" max="4612" width="6.25" style="85" customWidth="1"/>
    <col min="4613" max="4613" width="11" style="85" bestFit="1" customWidth="1"/>
    <col min="4614" max="4615" width="9.625" style="85" bestFit="1" customWidth="1"/>
    <col min="4616" max="4616" width="8.25" style="85" bestFit="1" customWidth="1"/>
    <col min="4617" max="4618" width="9.625" style="85" bestFit="1" customWidth="1"/>
    <col min="4619" max="4619" width="8.25" style="85" bestFit="1" customWidth="1"/>
    <col min="4620" max="4621" width="9.625" style="85" bestFit="1" customWidth="1"/>
    <col min="4622" max="4623" width="8.25" style="85" bestFit="1" customWidth="1"/>
    <col min="4624" max="4624" width="11" style="85" bestFit="1" customWidth="1"/>
    <col min="4625" max="4625" width="8" style="85" bestFit="1" customWidth="1"/>
    <col min="4626" max="4626" width="7.75" style="85" bestFit="1" customWidth="1"/>
    <col min="4627" max="4628" width="9.625" style="85" bestFit="1" customWidth="1"/>
    <col min="4629" max="4630" width="9.625" style="85" customWidth="1"/>
    <col min="4631" max="4631" width="9.25" style="85" bestFit="1" customWidth="1"/>
    <col min="4632" max="4632" width="11" style="85" bestFit="1" customWidth="1"/>
    <col min="4633" max="4865" width="9" style="85"/>
    <col min="4866" max="4866" width="4.625" style="85" bestFit="1" customWidth="1"/>
    <col min="4867" max="4867" width="7.5" style="85" bestFit="1" customWidth="1"/>
    <col min="4868" max="4868" width="6.25" style="85" customWidth="1"/>
    <col min="4869" max="4869" width="11" style="85" bestFit="1" customWidth="1"/>
    <col min="4870" max="4871" width="9.625" style="85" bestFit="1" customWidth="1"/>
    <col min="4872" max="4872" width="8.25" style="85" bestFit="1" customWidth="1"/>
    <col min="4873" max="4874" width="9.625" style="85" bestFit="1" customWidth="1"/>
    <col min="4875" max="4875" width="8.25" style="85" bestFit="1" customWidth="1"/>
    <col min="4876" max="4877" width="9.625" style="85" bestFit="1" customWidth="1"/>
    <col min="4878" max="4879" width="8.25" style="85" bestFit="1" customWidth="1"/>
    <col min="4880" max="4880" width="11" style="85" bestFit="1" customWidth="1"/>
    <col min="4881" max="4881" width="8" style="85" bestFit="1" customWidth="1"/>
    <col min="4882" max="4882" width="7.75" style="85" bestFit="1" customWidth="1"/>
    <col min="4883" max="4884" width="9.625" style="85" bestFit="1" customWidth="1"/>
    <col min="4885" max="4886" width="9.625" style="85" customWidth="1"/>
    <col min="4887" max="4887" width="9.25" style="85" bestFit="1" customWidth="1"/>
    <col min="4888" max="4888" width="11" style="85" bestFit="1" customWidth="1"/>
    <col min="4889" max="5121" width="9" style="85"/>
    <col min="5122" max="5122" width="4.625" style="85" bestFit="1" customWidth="1"/>
    <col min="5123" max="5123" width="7.5" style="85" bestFit="1" customWidth="1"/>
    <col min="5124" max="5124" width="6.25" style="85" customWidth="1"/>
    <col min="5125" max="5125" width="11" style="85" bestFit="1" customWidth="1"/>
    <col min="5126" max="5127" width="9.625" style="85" bestFit="1" customWidth="1"/>
    <col min="5128" max="5128" width="8.25" style="85" bestFit="1" customWidth="1"/>
    <col min="5129" max="5130" width="9.625" style="85" bestFit="1" customWidth="1"/>
    <col min="5131" max="5131" width="8.25" style="85" bestFit="1" customWidth="1"/>
    <col min="5132" max="5133" width="9.625" style="85" bestFit="1" customWidth="1"/>
    <col min="5134" max="5135" width="8.25" style="85" bestFit="1" customWidth="1"/>
    <col min="5136" max="5136" width="11" style="85" bestFit="1" customWidth="1"/>
    <col min="5137" max="5137" width="8" style="85" bestFit="1" customWidth="1"/>
    <col min="5138" max="5138" width="7.75" style="85" bestFit="1" customWidth="1"/>
    <col min="5139" max="5140" width="9.625" style="85" bestFit="1" customWidth="1"/>
    <col min="5141" max="5142" width="9.625" style="85" customWidth="1"/>
    <col min="5143" max="5143" width="9.25" style="85" bestFit="1" customWidth="1"/>
    <col min="5144" max="5144" width="11" style="85" bestFit="1" customWidth="1"/>
    <col min="5145" max="5377" width="9" style="85"/>
    <col min="5378" max="5378" width="4.625" style="85" bestFit="1" customWidth="1"/>
    <col min="5379" max="5379" width="7.5" style="85" bestFit="1" customWidth="1"/>
    <col min="5380" max="5380" width="6.25" style="85" customWidth="1"/>
    <col min="5381" max="5381" width="11" style="85" bestFit="1" customWidth="1"/>
    <col min="5382" max="5383" width="9.625" style="85" bestFit="1" customWidth="1"/>
    <col min="5384" max="5384" width="8.25" style="85" bestFit="1" customWidth="1"/>
    <col min="5385" max="5386" width="9.625" style="85" bestFit="1" customWidth="1"/>
    <col min="5387" max="5387" width="8.25" style="85" bestFit="1" customWidth="1"/>
    <col min="5388" max="5389" width="9.625" style="85" bestFit="1" customWidth="1"/>
    <col min="5390" max="5391" width="8.25" style="85" bestFit="1" customWidth="1"/>
    <col min="5392" max="5392" width="11" style="85" bestFit="1" customWidth="1"/>
    <col min="5393" max="5393" width="8" style="85" bestFit="1" customWidth="1"/>
    <col min="5394" max="5394" width="7.75" style="85" bestFit="1" customWidth="1"/>
    <col min="5395" max="5396" width="9.625" style="85" bestFit="1" customWidth="1"/>
    <col min="5397" max="5398" width="9.625" style="85" customWidth="1"/>
    <col min="5399" max="5399" width="9.25" style="85" bestFit="1" customWidth="1"/>
    <col min="5400" max="5400" width="11" style="85" bestFit="1" customWidth="1"/>
    <col min="5401" max="5633" width="9" style="85"/>
    <col min="5634" max="5634" width="4.625" style="85" bestFit="1" customWidth="1"/>
    <col min="5635" max="5635" width="7.5" style="85" bestFit="1" customWidth="1"/>
    <col min="5636" max="5636" width="6.25" style="85" customWidth="1"/>
    <col min="5637" max="5637" width="11" style="85" bestFit="1" customWidth="1"/>
    <col min="5638" max="5639" width="9.625" style="85" bestFit="1" customWidth="1"/>
    <col min="5640" max="5640" width="8.25" style="85" bestFit="1" customWidth="1"/>
    <col min="5641" max="5642" width="9.625" style="85" bestFit="1" customWidth="1"/>
    <col min="5643" max="5643" width="8.25" style="85" bestFit="1" customWidth="1"/>
    <col min="5644" max="5645" width="9.625" style="85" bestFit="1" customWidth="1"/>
    <col min="5646" max="5647" width="8.25" style="85" bestFit="1" customWidth="1"/>
    <col min="5648" max="5648" width="11" style="85" bestFit="1" customWidth="1"/>
    <col min="5649" max="5649" width="8" style="85" bestFit="1" customWidth="1"/>
    <col min="5650" max="5650" width="7.75" style="85" bestFit="1" customWidth="1"/>
    <col min="5651" max="5652" width="9.625" style="85" bestFit="1" customWidth="1"/>
    <col min="5653" max="5654" width="9.625" style="85" customWidth="1"/>
    <col min="5655" max="5655" width="9.25" style="85" bestFit="1" customWidth="1"/>
    <col min="5656" max="5656" width="11" style="85" bestFit="1" customWidth="1"/>
    <col min="5657" max="5889" width="9" style="85"/>
    <col min="5890" max="5890" width="4.625" style="85" bestFit="1" customWidth="1"/>
    <col min="5891" max="5891" width="7.5" style="85" bestFit="1" customWidth="1"/>
    <col min="5892" max="5892" width="6.25" style="85" customWidth="1"/>
    <col min="5893" max="5893" width="11" style="85" bestFit="1" customWidth="1"/>
    <col min="5894" max="5895" width="9.625" style="85" bestFit="1" customWidth="1"/>
    <col min="5896" max="5896" width="8.25" style="85" bestFit="1" customWidth="1"/>
    <col min="5897" max="5898" width="9.625" style="85" bestFit="1" customWidth="1"/>
    <col min="5899" max="5899" width="8.25" style="85" bestFit="1" customWidth="1"/>
    <col min="5900" max="5901" width="9.625" style="85" bestFit="1" customWidth="1"/>
    <col min="5902" max="5903" width="8.25" style="85" bestFit="1" customWidth="1"/>
    <col min="5904" max="5904" width="11" style="85" bestFit="1" customWidth="1"/>
    <col min="5905" max="5905" width="8" style="85" bestFit="1" customWidth="1"/>
    <col min="5906" max="5906" width="7.75" style="85" bestFit="1" customWidth="1"/>
    <col min="5907" max="5908" width="9.625" style="85" bestFit="1" customWidth="1"/>
    <col min="5909" max="5910" width="9.625" style="85" customWidth="1"/>
    <col min="5911" max="5911" width="9.25" style="85" bestFit="1" customWidth="1"/>
    <col min="5912" max="5912" width="11" style="85" bestFit="1" customWidth="1"/>
    <col min="5913" max="6145" width="9" style="85"/>
    <col min="6146" max="6146" width="4.625" style="85" bestFit="1" customWidth="1"/>
    <col min="6147" max="6147" width="7.5" style="85" bestFit="1" customWidth="1"/>
    <col min="6148" max="6148" width="6.25" style="85" customWidth="1"/>
    <col min="6149" max="6149" width="11" style="85" bestFit="1" customWidth="1"/>
    <col min="6150" max="6151" width="9.625" style="85" bestFit="1" customWidth="1"/>
    <col min="6152" max="6152" width="8.25" style="85" bestFit="1" customWidth="1"/>
    <col min="6153" max="6154" width="9.625" style="85" bestFit="1" customWidth="1"/>
    <col min="6155" max="6155" width="8.25" style="85" bestFit="1" customWidth="1"/>
    <col min="6156" max="6157" width="9.625" style="85" bestFit="1" customWidth="1"/>
    <col min="6158" max="6159" width="8.25" style="85" bestFit="1" customWidth="1"/>
    <col min="6160" max="6160" width="11" style="85" bestFit="1" customWidth="1"/>
    <col min="6161" max="6161" width="8" style="85" bestFit="1" customWidth="1"/>
    <col min="6162" max="6162" width="7.75" style="85" bestFit="1" customWidth="1"/>
    <col min="6163" max="6164" width="9.625" style="85" bestFit="1" customWidth="1"/>
    <col min="6165" max="6166" width="9.625" style="85" customWidth="1"/>
    <col min="6167" max="6167" width="9.25" style="85" bestFit="1" customWidth="1"/>
    <col min="6168" max="6168" width="11" style="85" bestFit="1" customWidth="1"/>
    <col min="6169" max="6401" width="9" style="85"/>
    <col min="6402" max="6402" width="4.625" style="85" bestFit="1" customWidth="1"/>
    <col min="6403" max="6403" width="7.5" style="85" bestFit="1" customWidth="1"/>
    <col min="6404" max="6404" width="6.25" style="85" customWidth="1"/>
    <col min="6405" max="6405" width="11" style="85" bestFit="1" customWidth="1"/>
    <col min="6406" max="6407" width="9.625" style="85" bestFit="1" customWidth="1"/>
    <col min="6408" max="6408" width="8.25" style="85" bestFit="1" customWidth="1"/>
    <col min="6409" max="6410" width="9.625" style="85" bestFit="1" customWidth="1"/>
    <col min="6411" max="6411" width="8.25" style="85" bestFit="1" customWidth="1"/>
    <col min="6412" max="6413" width="9.625" style="85" bestFit="1" customWidth="1"/>
    <col min="6414" max="6415" width="8.25" style="85" bestFit="1" customWidth="1"/>
    <col min="6416" max="6416" width="11" style="85" bestFit="1" customWidth="1"/>
    <col min="6417" max="6417" width="8" style="85" bestFit="1" customWidth="1"/>
    <col min="6418" max="6418" width="7.75" style="85" bestFit="1" customWidth="1"/>
    <col min="6419" max="6420" width="9.625" style="85" bestFit="1" customWidth="1"/>
    <col min="6421" max="6422" width="9.625" style="85" customWidth="1"/>
    <col min="6423" max="6423" width="9.25" style="85" bestFit="1" customWidth="1"/>
    <col min="6424" max="6424" width="11" style="85" bestFit="1" customWidth="1"/>
    <col min="6425" max="6657" width="9" style="85"/>
    <col min="6658" max="6658" width="4.625" style="85" bestFit="1" customWidth="1"/>
    <col min="6659" max="6659" width="7.5" style="85" bestFit="1" customWidth="1"/>
    <col min="6660" max="6660" width="6.25" style="85" customWidth="1"/>
    <col min="6661" max="6661" width="11" style="85" bestFit="1" customWidth="1"/>
    <col min="6662" max="6663" width="9.625" style="85" bestFit="1" customWidth="1"/>
    <col min="6664" max="6664" width="8.25" style="85" bestFit="1" customWidth="1"/>
    <col min="6665" max="6666" width="9.625" style="85" bestFit="1" customWidth="1"/>
    <col min="6667" max="6667" width="8.25" style="85" bestFit="1" customWidth="1"/>
    <col min="6668" max="6669" width="9.625" style="85" bestFit="1" customWidth="1"/>
    <col min="6670" max="6671" width="8.25" style="85" bestFit="1" customWidth="1"/>
    <col min="6672" max="6672" width="11" style="85" bestFit="1" customWidth="1"/>
    <col min="6673" max="6673" width="8" style="85" bestFit="1" customWidth="1"/>
    <col min="6674" max="6674" width="7.75" style="85" bestFit="1" customWidth="1"/>
    <col min="6675" max="6676" width="9.625" style="85" bestFit="1" customWidth="1"/>
    <col min="6677" max="6678" width="9.625" style="85" customWidth="1"/>
    <col min="6679" max="6679" width="9.25" style="85" bestFit="1" customWidth="1"/>
    <col min="6680" max="6680" width="11" style="85" bestFit="1" customWidth="1"/>
    <col min="6681" max="6913" width="9" style="85"/>
    <col min="6914" max="6914" width="4.625" style="85" bestFit="1" customWidth="1"/>
    <col min="6915" max="6915" width="7.5" style="85" bestFit="1" customWidth="1"/>
    <col min="6916" max="6916" width="6.25" style="85" customWidth="1"/>
    <col min="6917" max="6917" width="11" style="85" bestFit="1" customWidth="1"/>
    <col min="6918" max="6919" width="9.625" style="85" bestFit="1" customWidth="1"/>
    <col min="6920" max="6920" width="8.25" style="85" bestFit="1" customWidth="1"/>
    <col min="6921" max="6922" width="9.625" style="85" bestFit="1" customWidth="1"/>
    <col min="6923" max="6923" width="8.25" style="85" bestFit="1" customWidth="1"/>
    <col min="6924" max="6925" width="9.625" style="85" bestFit="1" customWidth="1"/>
    <col min="6926" max="6927" width="8.25" style="85" bestFit="1" customWidth="1"/>
    <col min="6928" max="6928" width="11" style="85" bestFit="1" customWidth="1"/>
    <col min="6929" max="6929" width="8" style="85" bestFit="1" customWidth="1"/>
    <col min="6930" max="6930" width="7.75" style="85" bestFit="1" customWidth="1"/>
    <col min="6931" max="6932" width="9.625" style="85" bestFit="1" customWidth="1"/>
    <col min="6933" max="6934" width="9.625" style="85" customWidth="1"/>
    <col min="6935" max="6935" width="9.25" style="85" bestFit="1" customWidth="1"/>
    <col min="6936" max="6936" width="11" style="85" bestFit="1" customWidth="1"/>
    <col min="6937" max="7169" width="9" style="85"/>
    <col min="7170" max="7170" width="4.625" style="85" bestFit="1" customWidth="1"/>
    <col min="7171" max="7171" width="7.5" style="85" bestFit="1" customWidth="1"/>
    <col min="7172" max="7172" width="6.25" style="85" customWidth="1"/>
    <col min="7173" max="7173" width="11" style="85" bestFit="1" customWidth="1"/>
    <col min="7174" max="7175" width="9.625" style="85" bestFit="1" customWidth="1"/>
    <col min="7176" max="7176" width="8.25" style="85" bestFit="1" customWidth="1"/>
    <col min="7177" max="7178" width="9.625" style="85" bestFit="1" customWidth="1"/>
    <col min="7179" max="7179" width="8.25" style="85" bestFit="1" customWidth="1"/>
    <col min="7180" max="7181" width="9.625" style="85" bestFit="1" customWidth="1"/>
    <col min="7182" max="7183" width="8.25" style="85" bestFit="1" customWidth="1"/>
    <col min="7184" max="7184" width="11" style="85" bestFit="1" customWidth="1"/>
    <col min="7185" max="7185" width="8" style="85" bestFit="1" customWidth="1"/>
    <col min="7186" max="7186" width="7.75" style="85" bestFit="1" customWidth="1"/>
    <col min="7187" max="7188" width="9.625" style="85" bestFit="1" customWidth="1"/>
    <col min="7189" max="7190" width="9.625" style="85" customWidth="1"/>
    <col min="7191" max="7191" width="9.25" style="85" bestFit="1" customWidth="1"/>
    <col min="7192" max="7192" width="11" style="85" bestFit="1" customWidth="1"/>
    <col min="7193" max="7425" width="9" style="85"/>
    <col min="7426" max="7426" width="4.625" style="85" bestFit="1" customWidth="1"/>
    <col min="7427" max="7427" width="7.5" style="85" bestFit="1" customWidth="1"/>
    <col min="7428" max="7428" width="6.25" style="85" customWidth="1"/>
    <col min="7429" max="7429" width="11" style="85" bestFit="1" customWidth="1"/>
    <col min="7430" max="7431" width="9.625" style="85" bestFit="1" customWidth="1"/>
    <col min="7432" max="7432" width="8.25" style="85" bestFit="1" customWidth="1"/>
    <col min="7433" max="7434" width="9.625" style="85" bestFit="1" customWidth="1"/>
    <col min="7435" max="7435" width="8.25" style="85" bestFit="1" customWidth="1"/>
    <col min="7436" max="7437" width="9.625" style="85" bestFit="1" customWidth="1"/>
    <col min="7438" max="7439" width="8.25" style="85" bestFit="1" customWidth="1"/>
    <col min="7440" max="7440" width="11" style="85" bestFit="1" customWidth="1"/>
    <col min="7441" max="7441" width="8" style="85" bestFit="1" customWidth="1"/>
    <col min="7442" max="7442" width="7.75" style="85" bestFit="1" customWidth="1"/>
    <col min="7443" max="7444" width="9.625" style="85" bestFit="1" customWidth="1"/>
    <col min="7445" max="7446" width="9.625" style="85" customWidth="1"/>
    <col min="7447" max="7447" width="9.25" style="85" bestFit="1" customWidth="1"/>
    <col min="7448" max="7448" width="11" style="85" bestFit="1" customWidth="1"/>
    <col min="7449" max="7681" width="9" style="85"/>
    <col min="7682" max="7682" width="4.625" style="85" bestFit="1" customWidth="1"/>
    <col min="7683" max="7683" width="7.5" style="85" bestFit="1" customWidth="1"/>
    <col min="7684" max="7684" width="6.25" style="85" customWidth="1"/>
    <col min="7685" max="7685" width="11" style="85" bestFit="1" customWidth="1"/>
    <col min="7686" max="7687" width="9.625" style="85" bestFit="1" customWidth="1"/>
    <col min="7688" max="7688" width="8.25" style="85" bestFit="1" customWidth="1"/>
    <col min="7689" max="7690" width="9.625" style="85" bestFit="1" customWidth="1"/>
    <col min="7691" max="7691" width="8.25" style="85" bestFit="1" customWidth="1"/>
    <col min="7692" max="7693" width="9.625" style="85" bestFit="1" customWidth="1"/>
    <col min="7694" max="7695" width="8.25" style="85" bestFit="1" customWidth="1"/>
    <col min="7696" max="7696" width="11" style="85" bestFit="1" customWidth="1"/>
    <col min="7697" max="7697" width="8" style="85" bestFit="1" customWidth="1"/>
    <col min="7698" max="7698" width="7.75" style="85" bestFit="1" customWidth="1"/>
    <col min="7699" max="7700" width="9.625" style="85" bestFit="1" customWidth="1"/>
    <col min="7701" max="7702" width="9.625" style="85" customWidth="1"/>
    <col min="7703" max="7703" width="9.25" style="85" bestFit="1" customWidth="1"/>
    <col min="7704" max="7704" width="11" style="85" bestFit="1" customWidth="1"/>
    <col min="7705" max="7937" width="9" style="85"/>
    <col min="7938" max="7938" width="4.625" style="85" bestFit="1" customWidth="1"/>
    <col min="7939" max="7939" width="7.5" style="85" bestFit="1" customWidth="1"/>
    <col min="7940" max="7940" width="6.25" style="85" customWidth="1"/>
    <col min="7941" max="7941" width="11" style="85" bestFit="1" customWidth="1"/>
    <col min="7942" max="7943" width="9.625" style="85" bestFit="1" customWidth="1"/>
    <col min="7944" max="7944" width="8.25" style="85" bestFit="1" customWidth="1"/>
    <col min="7945" max="7946" width="9.625" style="85" bestFit="1" customWidth="1"/>
    <col min="7947" max="7947" width="8.25" style="85" bestFit="1" customWidth="1"/>
    <col min="7948" max="7949" width="9.625" style="85" bestFit="1" customWidth="1"/>
    <col min="7950" max="7951" width="8.25" style="85" bestFit="1" customWidth="1"/>
    <col min="7952" max="7952" width="11" style="85" bestFit="1" customWidth="1"/>
    <col min="7953" max="7953" width="8" style="85" bestFit="1" customWidth="1"/>
    <col min="7954" max="7954" width="7.75" style="85" bestFit="1" customWidth="1"/>
    <col min="7955" max="7956" width="9.625" style="85" bestFit="1" customWidth="1"/>
    <col min="7957" max="7958" width="9.625" style="85" customWidth="1"/>
    <col min="7959" max="7959" width="9.25" style="85" bestFit="1" customWidth="1"/>
    <col min="7960" max="7960" width="11" style="85" bestFit="1" customWidth="1"/>
    <col min="7961" max="8193" width="9" style="85"/>
    <col min="8194" max="8194" width="4.625" style="85" bestFit="1" customWidth="1"/>
    <col min="8195" max="8195" width="7.5" style="85" bestFit="1" customWidth="1"/>
    <col min="8196" max="8196" width="6.25" style="85" customWidth="1"/>
    <col min="8197" max="8197" width="11" style="85" bestFit="1" customWidth="1"/>
    <col min="8198" max="8199" width="9.625" style="85" bestFit="1" customWidth="1"/>
    <col min="8200" max="8200" width="8.25" style="85" bestFit="1" customWidth="1"/>
    <col min="8201" max="8202" width="9.625" style="85" bestFit="1" customWidth="1"/>
    <col min="8203" max="8203" width="8.25" style="85" bestFit="1" customWidth="1"/>
    <col min="8204" max="8205" width="9.625" style="85" bestFit="1" customWidth="1"/>
    <col min="8206" max="8207" width="8.25" style="85" bestFit="1" customWidth="1"/>
    <col min="8208" max="8208" width="11" style="85" bestFit="1" customWidth="1"/>
    <col min="8209" max="8209" width="8" style="85" bestFit="1" customWidth="1"/>
    <col min="8210" max="8210" width="7.75" style="85" bestFit="1" customWidth="1"/>
    <col min="8211" max="8212" width="9.625" style="85" bestFit="1" customWidth="1"/>
    <col min="8213" max="8214" width="9.625" style="85" customWidth="1"/>
    <col min="8215" max="8215" width="9.25" style="85" bestFit="1" customWidth="1"/>
    <col min="8216" max="8216" width="11" style="85" bestFit="1" customWidth="1"/>
    <col min="8217" max="8449" width="9" style="85"/>
    <col min="8450" max="8450" width="4.625" style="85" bestFit="1" customWidth="1"/>
    <col min="8451" max="8451" width="7.5" style="85" bestFit="1" customWidth="1"/>
    <col min="8452" max="8452" width="6.25" style="85" customWidth="1"/>
    <col min="8453" max="8453" width="11" style="85" bestFit="1" customWidth="1"/>
    <col min="8454" max="8455" width="9.625" style="85" bestFit="1" customWidth="1"/>
    <col min="8456" max="8456" width="8.25" style="85" bestFit="1" customWidth="1"/>
    <col min="8457" max="8458" width="9.625" style="85" bestFit="1" customWidth="1"/>
    <col min="8459" max="8459" width="8.25" style="85" bestFit="1" customWidth="1"/>
    <col min="8460" max="8461" width="9.625" style="85" bestFit="1" customWidth="1"/>
    <col min="8462" max="8463" width="8.25" style="85" bestFit="1" customWidth="1"/>
    <col min="8464" max="8464" width="11" style="85" bestFit="1" customWidth="1"/>
    <col min="8465" max="8465" width="8" style="85" bestFit="1" customWidth="1"/>
    <col min="8466" max="8466" width="7.75" style="85" bestFit="1" customWidth="1"/>
    <col min="8467" max="8468" width="9.625" style="85" bestFit="1" customWidth="1"/>
    <col min="8469" max="8470" width="9.625" style="85" customWidth="1"/>
    <col min="8471" max="8471" width="9.25" style="85" bestFit="1" customWidth="1"/>
    <col min="8472" max="8472" width="11" style="85" bestFit="1" customWidth="1"/>
    <col min="8473" max="8705" width="9" style="85"/>
    <col min="8706" max="8706" width="4.625" style="85" bestFit="1" customWidth="1"/>
    <col min="8707" max="8707" width="7.5" style="85" bestFit="1" customWidth="1"/>
    <col min="8708" max="8708" width="6.25" style="85" customWidth="1"/>
    <col min="8709" max="8709" width="11" style="85" bestFit="1" customWidth="1"/>
    <col min="8710" max="8711" width="9.625" style="85" bestFit="1" customWidth="1"/>
    <col min="8712" max="8712" width="8.25" style="85" bestFit="1" customWidth="1"/>
    <col min="8713" max="8714" width="9.625" style="85" bestFit="1" customWidth="1"/>
    <col min="8715" max="8715" width="8.25" style="85" bestFit="1" customWidth="1"/>
    <col min="8716" max="8717" width="9.625" style="85" bestFit="1" customWidth="1"/>
    <col min="8718" max="8719" width="8.25" style="85" bestFit="1" customWidth="1"/>
    <col min="8720" max="8720" width="11" style="85" bestFit="1" customWidth="1"/>
    <col min="8721" max="8721" width="8" style="85" bestFit="1" customWidth="1"/>
    <col min="8722" max="8722" width="7.75" style="85" bestFit="1" customWidth="1"/>
    <col min="8723" max="8724" width="9.625" style="85" bestFit="1" customWidth="1"/>
    <col min="8725" max="8726" width="9.625" style="85" customWidth="1"/>
    <col min="8727" max="8727" width="9.25" style="85" bestFit="1" customWidth="1"/>
    <col min="8728" max="8728" width="11" style="85" bestFit="1" customWidth="1"/>
    <col min="8729" max="8961" width="9" style="85"/>
    <col min="8962" max="8962" width="4.625" style="85" bestFit="1" customWidth="1"/>
    <col min="8963" max="8963" width="7.5" style="85" bestFit="1" customWidth="1"/>
    <col min="8964" max="8964" width="6.25" style="85" customWidth="1"/>
    <col min="8965" max="8965" width="11" style="85" bestFit="1" customWidth="1"/>
    <col min="8966" max="8967" width="9.625" style="85" bestFit="1" customWidth="1"/>
    <col min="8968" max="8968" width="8.25" style="85" bestFit="1" customWidth="1"/>
    <col min="8969" max="8970" width="9.625" style="85" bestFit="1" customWidth="1"/>
    <col min="8971" max="8971" width="8.25" style="85" bestFit="1" customWidth="1"/>
    <col min="8972" max="8973" width="9.625" style="85" bestFit="1" customWidth="1"/>
    <col min="8974" max="8975" width="8.25" style="85" bestFit="1" customWidth="1"/>
    <col min="8976" max="8976" width="11" style="85" bestFit="1" customWidth="1"/>
    <col min="8977" max="8977" width="8" style="85" bestFit="1" customWidth="1"/>
    <col min="8978" max="8978" width="7.75" style="85" bestFit="1" customWidth="1"/>
    <col min="8979" max="8980" width="9.625" style="85" bestFit="1" customWidth="1"/>
    <col min="8981" max="8982" width="9.625" style="85" customWidth="1"/>
    <col min="8983" max="8983" width="9.25" style="85" bestFit="1" customWidth="1"/>
    <col min="8984" max="8984" width="11" style="85" bestFit="1" customWidth="1"/>
    <col min="8985" max="9217" width="9" style="85"/>
    <col min="9218" max="9218" width="4.625" style="85" bestFit="1" customWidth="1"/>
    <col min="9219" max="9219" width="7.5" style="85" bestFit="1" customWidth="1"/>
    <col min="9220" max="9220" width="6.25" style="85" customWidth="1"/>
    <col min="9221" max="9221" width="11" style="85" bestFit="1" customWidth="1"/>
    <col min="9222" max="9223" width="9.625" style="85" bestFit="1" customWidth="1"/>
    <col min="9224" max="9224" width="8.25" style="85" bestFit="1" customWidth="1"/>
    <col min="9225" max="9226" width="9.625" style="85" bestFit="1" customWidth="1"/>
    <col min="9227" max="9227" width="8.25" style="85" bestFit="1" customWidth="1"/>
    <col min="9228" max="9229" width="9.625" style="85" bestFit="1" customWidth="1"/>
    <col min="9230" max="9231" width="8.25" style="85" bestFit="1" customWidth="1"/>
    <col min="9232" max="9232" width="11" style="85" bestFit="1" customWidth="1"/>
    <col min="9233" max="9233" width="8" style="85" bestFit="1" customWidth="1"/>
    <col min="9234" max="9234" width="7.75" style="85" bestFit="1" customWidth="1"/>
    <col min="9235" max="9236" width="9.625" style="85" bestFit="1" customWidth="1"/>
    <col min="9237" max="9238" width="9.625" style="85" customWidth="1"/>
    <col min="9239" max="9239" width="9.25" style="85" bestFit="1" customWidth="1"/>
    <col min="9240" max="9240" width="11" style="85" bestFit="1" customWidth="1"/>
    <col min="9241" max="9473" width="9" style="85"/>
    <col min="9474" max="9474" width="4.625" style="85" bestFit="1" customWidth="1"/>
    <col min="9475" max="9475" width="7.5" style="85" bestFit="1" customWidth="1"/>
    <col min="9476" max="9476" width="6.25" style="85" customWidth="1"/>
    <col min="9477" max="9477" width="11" style="85" bestFit="1" customWidth="1"/>
    <col min="9478" max="9479" width="9.625" style="85" bestFit="1" customWidth="1"/>
    <col min="9480" max="9480" width="8.25" style="85" bestFit="1" customWidth="1"/>
    <col min="9481" max="9482" width="9.625" style="85" bestFit="1" customWidth="1"/>
    <col min="9483" max="9483" width="8.25" style="85" bestFit="1" customWidth="1"/>
    <col min="9484" max="9485" width="9.625" style="85" bestFit="1" customWidth="1"/>
    <col min="9486" max="9487" width="8.25" style="85" bestFit="1" customWidth="1"/>
    <col min="9488" max="9488" width="11" style="85" bestFit="1" customWidth="1"/>
    <col min="9489" max="9489" width="8" style="85" bestFit="1" customWidth="1"/>
    <col min="9490" max="9490" width="7.75" style="85" bestFit="1" customWidth="1"/>
    <col min="9491" max="9492" width="9.625" style="85" bestFit="1" customWidth="1"/>
    <col min="9493" max="9494" width="9.625" style="85" customWidth="1"/>
    <col min="9495" max="9495" width="9.25" style="85" bestFit="1" customWidth="1"/>
    <col min="9496" max="9496" width="11" style="85" bestFit="1" customWidth="1"/>
    <col min="9497" max="9729" width="9" style="85"/>
    <col min="9730" max="9730" width="4.625" style="85" bestFit="1" customWidth="1"/>
    <col min="9731" max="9731" width="7.5" style="85" bestFit="1" customWidth="1"/>
    <col min="9732" max="9732" width="6.25" style="85" customWidth="1"/>
    <col min="9733" max="9733" width="11" style="85" bestFit="1" customWidth="1"/>
    <col min="9734" max="9735" width="9.625" style="85" bestFit="1" customWidth="1"/>
    <col min="9736" max="9736" width="8.25" style="85" bestFit="1" customWidth="1"/>
    <col min="9737" max="9738" width="9.625" style="85" bestFit="1" customWidth="1"/>
    <col min="9739" max="9739" width="8.25" style="85" bestFit="1" customWidth="1"/>
    <col min="9740" max="9741" width="9.625" style="85" bestFit="1" customWidth="1"/>
    <col min="9742" max="9743" width="8.25" style="85" bestFit="1" customWidth="1"/>
    <col min="9744" max="9744" width="11" style="85" bestFit="1" customWidth="1"/>
    <col min="9745" max="9745" width="8" style="85" bestFit="1" customWidth="1"/>
    <col min="9746" max="9746" width="7.75" style="85" bestFit="1" customWidth="1"/>
    <col min="9747" max="9748" width="9.625" style="85" bestFit="1" customWidth="1"/>
    <col min="9749" max="9750" width="9.625" style="85" customWidth="1"/>
    <col min="9751" max="9751" width="9.25" style="85" bestFit="1" customWidth="1"/>
    <col min="9752" max="9752" width="11" style="85" bestFit="1" customWidth="1"/>
    <col min="9753" max="9985" width="9" style="85"/>
    <col min="9986" max="9986" width="4.625" style="85" bestFit="1" customWidth="1"/>
    <col min="9987" max="9987" width="7.5" style="85" bestFit="1" customWidth="1"/>
    <col min="9988" max="9988" width="6.25" style="85" customWidth="1"/>
    <col min="9989" max="9989" width="11" style="85" bestFit="1" customWidth="1"/>
    <col min="9990" max="9991" width="9.625" style="85" bestFit="1" customWidth="1"/>
    <col min="9992" max="9992" width="8.25" style="85" bestFit="1" customWidth="1"/>
    <col min="9993" max="9994" width="9.625" style="85" bestFit="1" customWidth="1"/>
    <col min="9995" max="9995" width="8.25" style="85" bestFit="1" customWidth="1"/>
    <col min="9996" max="9997" width="9.625" style="85" bestFit="1" customWidth="1"/>
    <col min="9998" max="9999" width="8.25" style="85" bestFit="1" customWidth="1"/>
    <col min="10000" max="10000" width="11" style="85" bestFit="1" customWidth="1"/>
    <col min="10001" max="10001" width="8" style="85" bestFit="1" customWidth="1"/>
    <col min="10002" max="10002" width="7.75" style="85" bestFit="1" customWidth="1"/>
    <col min="10003" max="10004" width="9.625" style="85" bestFit="1" customWidth="1"/>
    <col min="10005" max="10006" width="9.625" style="85" customWidth="1"/>
    <col min="10007" max="10007" width="9.25" style="85" bestFit="1" customWidth="1"/>
    <col min="10008" max="10008" width="11" style="85" bestFit="1" customWidth="1"/>
    <col min="10009" max="10241" width="9" style="85"/>
    <col min="10242" max="10242" width="4.625" style="85" bestFit="1" customWidth="1"/>
    <col min="10243" max="10243" width="7.5" style="85" bestFit="1" customWidth="1"/>
    <col min="10244" max="10244" width="6.25" style="85" customWidth="1"/>
    <col min="10245" max="10245" width="11" style="85" bestFit="1" customWidth="1"/>
    <col min="10246" max="10247" width="9.625" style="85" bestFit="1" customWidth="1"/>
    <col min="10248" max="10248" width="8.25" style="85" bestFit="1" customWidth="1"/>
    <col min="10249" max="10250" width="9.625" style="85" bestFit="1" customWidth="1"/>
    <col min="10251" max="10251" width="8.25" style="85" bestFit="1" customWidth="1"/>
    <col min="10252" max="10253" width="9.625" style="85" bestFit="1" customWidth="1"/>
    <col min="10254" max="10255" width="8.25" style="85" bestFit="1" customWidth="1"/>
    <col min="10256" max="10256" width="11" style="85" bestFit="1" customWidth="1"/>
    <col min="10257" max="10257" width="8" style="85" bestFit="1" customWidth="1"/>
    <col min="10258" max="10258" width="7.75" style="85" bestFit="1" customWidth="1"/>
    <col min="10259" max="10260" width="9.625" style="85" bestFit="1" customWidth="1"/>
    <col min="10261" max="10262" width="9.625" style="85" customWidth="1"/>
    <col min="10263" max="10263" width="9.25" style="85" bestFit="1" customWidth="1"/>
    <col min="10264" max="10264" width="11" style="85" bestFit="1" customWidth="1"/>
    <col min="10265" max="10497" width="9" style="85"/>
    <col min="10498" max="10498" width="4.625" style="85" bestFit="1" customWidth="1"/>
    <col min="10499" max="10499" width="7.5" style="85" bestFit="1" customWidth="1"/>
    <col min="10500" max="10500" width="6.25" style="85" customWidth="1"/>
    <col min="10501" max="10501" width="11" style="85" bestFit="1" customWidth="1"/>
    <col min="10502" max="10503" width="9.625" style="85" bestFit="1" customWidth="1"/>
    <col min="10504" max="10504" width="8.25" style="85" bestFit="1" customWidth="1"/>
    <col min="10505" max="10506" width="9.625" style="85" bestFit="1" customWidth="1"/>
    <col min="10507" max="10507" width="8.25" style="85" bestFit="1" customWidth="1"/>
    <col min="10508" max="10509" width="9.625" style="85" bestFit="1" customWidth="1"/>
    <col min="10510" max="10511" width="8.25" style="85" bestFit="1" customWidth="1"/>
    <col min="10512" max="10512" width="11" style="85" bestFit="1" customWidth="1"/>
    <col min="10513" max="10513" width="8" style="85" bestFit="1" customWidth="1"/>
    <col min="10514" max="10514" width="7.75" style="85" bestFit="1" customWidth="1"/>
    <col min="10515" max="10516" width="9.625" style="85" bestFit="1" customWidth="1"/>
    <col min="10517" max="10518" width="9.625" style="85" customWidth="1"/>
    <col min="10519" max="10519" width="9.25" style="85" bestFit="1" customWidth="1"/>
    <col min="10520" max="10520" width="11" style="85" bestFit="1" customWidth="1"/>
    <col min="10521" max="10753" width="9" style="85"/>
    <col min="10754" max="10754" width="4.625" style="85" bestFit="1" customWidth="1"/>
    <col min="10755" max="10755" width="7.5" style="85" bestFit="1" customWidth="1"/>
    <col min="10756" max="10756" width="6.25" style="85" customWidth="1"/>
    <col min="10757" max="10757" width="11" style="85" bestFit="1" customWidth="1"/>
    <col min="10758" max="10759" width="9.625" style="85" bestFit="1" customWidth="1"/>
    <col min="10760" max="10760" width="8.25" style="85" bestFit="1" customWidth="1"/>
    <col min="10761" max="10762" width="9.625" style="85" bestFit="1" customWidth="1"/>
    <col min="10763" max="10763" width="8.25" style="85" bestFit="1" customWidth="1"/>
    <col min="10764" max="10765" width="9.625" style="85" bestFit="1" customWidth="1"/>
    <col min="10766" max="10767" width="8.25" style="85" bestFit="1" customWidth="1"/>
    <col min="10768" max="10768" width="11" style="85" bestFit="1" customWidth="1"/>
    <col min="10769" max="10769" width="8" style="85" bestFit="1" customWidth="1"/>
    <col min="10770" max="10770" width="7.75" style="85" bestFit="1" customWidth="1"/>
    <col min="10771" max="10772" width="9.625" style="85" bestFit="1" customWidth="1"/>
    <col min="10773" max="10774" width="9.625" style="85" customWidth="1"/>
    <col min="10775" max="10775" width="9.25" style="85" bestFit="1" customWidth="1"/>
    <col min="10776" max="10776" width="11" style="85" bestFit="1" customWidth="1"/>
    <col min="10777" max="11009" width="9" style="85"/>
    <col min="11010" max="11010" width="4.625" style="85" bestFit="1" customWidth="1"/>
    <col min="11011" max="11011" width="7.5" style="85" bestFit="1" customWidth="1"/>
    <col min="11012" max="11012" width="6.25" style="85" customWidth="1"/>
    <col min="11013" max="11013" width="11" style="85" bestFit="1" customWidth="1"/>
    <col min="11014" max="11015" width="9.625" style="85" bestFit="1" customWidth="1"/>
    <col min="11016" max="11016" width="8.25" style="85" bestFit="1" customWidth="1"/>
    <col min="11017" max="11018" width="9.625" style="85" bestFit="1" customWidth="1"/>
    <col min="11019" max="11019" width="8.25" style="85" bestFit="1" customWidth="1"/>
    <col min="11020" max="11021" width="9.625" style="85" bestFit="1" customWidth="1"/>
    <col min="11022" max="11023" width="8.25" style="85" bestFit="1" customWidth="1"/>
    <col min="11024" max="11024" width="11" style="85" bestFit="1" customWidth="1"/>
    <col min="11025" max="11025" width="8" style="85" bestFit="1" customWidth="1"/>
    <col min="11026" max="11026" width="7.75" style="85" bestFit="1" customWidth="1"/>
    <col min="11027" max="11028" width="9.625" style="85" bestFit="1" customWidth="1"/>
    <col min="11029" max="11030" width="9.625" style="85" customWidth="1"/>
    <col min="11031" max="11031" width="9.25" style="85" bestFit="1" customWidth="1"/>
    <col min="11032" max="11032" width="11" style="85" bestFit="1" customWidth="1"/>
    <col min="11033" max="11265" width="9" style="85"/>
    <col min="11266" max="11266" width="4.625" style="85" bestFit="1" customWidth="1"/>
    <col min="11267" max="11267" width="7.5" style="85" bestFit="1" customWidth="1"/>
    <col min="11268" max="11268" width="6.25" style="85" customWidth="1"/>
    <col min="11269" max="11269" width="11" style="85" bestFit="1" customWidth="1"/>
    <col min="11270" max="11271" width="9.625" style="85" bestFit="1" customWidth="1"/>
    <col min="11272" max="11272" width="8.25" style="85" bestFit="1" customWidth="1"/>
    <col min="11273" max="11274" width="9.625" style="85" bestFit="1" customWidth="1"/>
    <col min="11275" max="11275" width="8.25" style="85" bestFit="1" customWidth="1"/>
    <col min="11276" max="11277" width="9.625" style="85" bestFit="1" customWidth="1"/>
    <col min="11278" max="11279" width="8.25" style="85" bestFit="1" customWidth="1"/>
    <col min="11280" max="11280" width="11" style="85" bestFit="1" customWidth="1"/>
    <col min="11281" max="11281" width="8" style="85" bestFit="1" customWidth="1"/>
    <col min="11282" max="11282" width="7.75" style="85" bestFit="1" customWidth="1"/>
    <col min="11283" max="11284" width="9.625" style="85" bestFit="1" customWidth="1"/>
    <col min="11285" max="11286" width="9.625" style="85" customWidth="1"/>
    <col min="11287" max="11287" width="9.25" style="85" bestFit="1" customWidth="1"/>
    <col min="11288" max="11288" width="11" style="85" bestFit="1" customWidth="1"/>
    <col min="11289" max="11521" width="9" style="85"/>
    <col min="11522" max="11522" width="4.625" style="85" bestFit="1" customWidth="1"/>
    <col min="11523" max="11523" width="7.5" style="85" bestFit="1" customWidth="1"/>
    <col min="11524" max="11524" width="6.25" style="85" customWidth="1"/>
    <col min="11525" max="11525" width="11" style="85" bestFit="1" customWidth="1"/>
    <col min="11526" max="11527" width="9.625" style="85" bestFit="1" customWidth="1"/>
    <col min="11528" max="11528" width="8.25" style="85" bestFit="1" customWidth="1"/>
    <col min="11529" max="11530" width="9.625" style="85" bestFit="1" customWidth="1"/>
    <col min="11531" max="11531" width="8.25" style="85" bestFit="1" customWidth="1"/>
    <col min="11532" max="11533" width="9.625" style="85" bestFit="1" customWidth="1"/>
    <col min="11534" max="11535" width="8.25" style="85" bestFit="1" customWidth="1"/>
    <col min="11536" max="11536" width="11" style="85" bestFit="1" customWidth="1"/>
    <col min="11537" max="11537" width="8" style="85" bestFit="1" customWidth="1"/>
    <col min="11538" max="11538" width="7.75" style="85" bestFit="1" customWidth="1"/>
    <col min="11539" max="11540" width="9.625" style="85" bestFit="1" customWidth="1"/>
    <col min="11541" max="11542" width="9.625" style="85" customWidth="1"/>
    <col min="11543" max="11543" width="9.25" style="85" bestFit="1" customWidth="1"/>
    <col min="11544" max="11544" width="11" style="85" bestFit="1" customWidth="1"/>
    <col min="11545" max="11777" width="9" style="85"/>
    <col min="11778" max="11778" width="4.625" style="85" bestFit="1" customWidth="1"/>
    <col min="11779" max="11779" width="7.5" style="85" bestFit="1" customWidth="1"/>
    <col min="11780" max="11780" width="6.25" style="85" customWidth="1"/>
    <col min="11781" max="11781" width="11" style="85" bestFit="1" customWidth="1"/>
    <col min="11782" max="11783" width="9.625" style="85" bestFit="1" customWidth="1"/>
    <col min="11784" max="11784" width="8.25" style="85" bestFit="1" customWidth="1"/>
    <col min="11785" max="11786" width="9.625" style="85" bestFit="1" customWidth="1"/>
    <col min="11787" max="11787" width="8.25" style="85" bestFit="1" customWidth="1"/>
    <col min="11788" max="11789" width="9.625" style="85" bestFit="1" customWidth="1"/>
    <col min="11790" max="11791" width="8.25" style="85" bestFit="1" customWidth="1"/>
    <col min="11792" max="11792" width="11" style="85" bestFit="1" customWidth="1"/>
    <col min="11793" max="11793" width="8" style="85" bestFit="1" customWidth="1"/>
    <col min="11794" max="11794" width="7.75" style="85" bestFit="1" customWidth="1"/>
    <col min="11795" max="11796" width="9.625" style="85" bestFit="1" customWidth="1"/>
    <col min="11797" max="11798" width="9.625" style="85" customWidth="1"/>
    <col min="11799" max="11799" width="9.25" style="85" bestFit="1" customWidth="1"/>
    <col min="11800" max="11800" width="11" style="85" bestFit="1" customWidth="1"/>
    <col min="11801" max="12033" width="9" style="85"/>
    <col min="12034" max="12034" width="4.625" style="85" bestFit="1" customWidth="1"/>
    <col min="12035" max="12035" width="7.5" style="85" bestFit="1" customWidth="1"/>
    <col min="12036" max="12036" width="6.25" style="85" customWidth="1"/>
    <col min="12037" max="12037" width="11" style="85" bestFit="1" customWidth="1"/>
    <col min="12038" max="12039" width="9.625" style="85" bestFit="1" customWidth="1"/>
    <col min="12040" max="12040" width="8.25" style="85" bestFit="1" customWidth="1"/>
    <col min="12041" max="12042" width="9.625" style="85" bestFit="1" customWidth="1"/>
    <col min="12043" max="12043" width="8.25" style="85" bestFit="1" customWidth="1"/>
    <col min="12044" max="12045" width="9.625" style="85" bestFit="1" customWidth="1"/>
    <col min="12046" max="12047" width="8.25" style="85" bestFit="1" customWidth="1"/>
    <col min="12048" max="12048" width="11" style="85" bestFit="1" customWidth="1"/>
    <col min="12049" max="12049" width="8" style="85" bestFit="1" customWidth="1"/>
    <col min="12050" max="12050" width="7.75" style="85" bestFit="1" customWidth="1"/>
    <col min="12051" max="12052" width="9.625" style="85" bestFit="1" customWidth="1"/>
    <col min="12053" max="12054" width="9.625" style="85" customWidth="1"/>
    <col min="12055" max="12055" width="9.25" style="85" bestFit="1" customWidth="1"/>
    <col min="12056" max="12056" width="11" style="85" bestFit="1" customWidth="1"/>
    <col min="12057" max="12289" width="9" style="85"/>
    <col min="12290" max="12290" width="4.625" style="85" bestFit="1" customWidth="1"/>
    <col min="12291" max="12291" width="7.5" style="85" bestFit="1" customWidth="1"/>
    <col min="12292" max="12292" width="6.25" style="85" customWidth="1"/>
    <col min="12293" max="12293" width="11" style="85" bestFit="1" customWidth="1"/>
    <col min="12294" max="12295" width="9.625" style="85" bestFit="1" customWidth="1"/>
    <col min="12296" max="12296" width="8.25" style="85" bestFit="1" customWidth="1"/>
    <col min="12297" max="12298" width="9.625" style="85" bestFit="1" customWidth="1"/>
    <col min="12299" max="12299" width="8.25" style="85" bestFit="1" customWidth="1"/>
    <col min="12300" max="12301" width="9.625" style="85" bestFit="1" customWidth="1"/>
    <col min="12302" max="12303" width="8.25" style="85" bestFit="1" customWidth="1"/>
    <col min="12304" max="12304" width="11" style="85" bestFit="1" customWidth="1"/>
    <col min="12305" max="12305" width="8" style="85" bestFit="1" customWidth="1"/>
    <col min="12306" max="12306" width="7.75" style="85" bestFit="1" customWidth="1"/>
    <col min="12307" max="12308" width="9.625" style="85" bestFit="1" customWidth="1"/>
    <col min="12309" max="12310" width="9.625" style="85" customWidth="1"/>
    <col min="12311" max="12311" width="9.25" style="85" bestFit="1" customWidth="1"/>
    <col min="12312" max="12312" width="11" style="85" bestFit="1" customWidth="1"/>
    <col min="12313" max="12545" width="9" style="85"/>
    <col min="12546" max="12546" width="4.625" style="85" bestFit="1" customWidth="1"/>
    <col min="12547" max="12547" width="7.5" style="85" bestFit="1" customWidth="1"/>
    <col min="12548" max="12548" width="6.25" style="85" customWidth="1"/>
    <col min="12549" max="12549" width="11" style="85" bestFit="1" customWidth="1"/>
    <col min="12550" max="12551" width="9.625" style="85" bestFit="1" customWidth="1"/>
    <col min="12552" max="12552" width="8.25" style="85" bestFit="1" customWidth="1"/>
    <col min="12553" max="12554" width="9.625" style="85" bestFit="1" customWidth="1"/>
    <col min="12555" max="12555" width="8.25" style="85" bestFit="1" customWidth="1"/>
    <col min="12556" max="12557" width="9.625" style="85" bestFit="1" customWidth="1"/>
    <col min="12558" max="12559" width="8.25" style="85" bestFit="1" customWidth="1"/>
    <col min="12560" max="12560" width="11" style="85" bestFit="1" customWidth="1"/>
    <col min="12561" max="12561" width="8" style="85" bestFit="1" customWidth="1"/>
    <col min="12562" max="12562" width="7.75" style="85" bestFit="1" customWidth="1"/>
    <col min="12563" max="12564" width="9.625" style="85" bestFit="1" customWidth="1"/>
    <col min="12565" max="12566" width="9.625" style="85" customWidth="1"/>
    <col min="12567" max="12567" width="9.25" style="85" bestFit="1" customWidth="1"/>
    <col min="12568" max="12568" width="11" style="85" bestFit="1" customWidth="1"/>
    <col min="12569" max="12801" width="9" style="85"/>
    <col min="12802" max="12802" width="4.625" style="85" bestFit="1" customWidth="1"/>
    <col min="12803" max="12803" width="7.5" style="85" bestFit="1" customWidth="1"/>
    <col min="12804" max="12804" width="6.25" style="85" customWidth="1"/>
    <col min="12805" max="12805" width="11" style="85" bestFit="1" customWidth="1"/>
    <col min="12806" max="12807" width="9.625" style="85" bestFit="1" customWidth="1"/>
    <col min="12808" max="12808" width="8.25" style="85" bestFit="1" customWidth="1"/>
    <col min="12809" max="12810" width="9.625" style="85" bestFit="1" customWidth="1"/>
    <col min="12811" max="12811" width="8.25" style="85" bestFit="1" customWidth="1"/>
    <col min="12812" max="12813" width="9.625" style="85" bestFit="1" customWidth="1"/>
    <col min="12814" max="12815" width="8.25" style="85" bestFit="1" customWidth="1"/>
    <col min="12816" max="12816" width="11" style="85" bestFit="1" customWidth="1"/>
    <col min="12817" max="12817" width="8" style="85" bestFit="1" customWidth="1"/>
    <col min="12818" max="12818" width="7.75" style="85" bestFit="1" customWidth="1"/>
    <col min="12819" max="12820" width="9.625" style="85" bestFit="1" customWidth="1"/>
    <col min="12821" max="12822" width="9.625" style="85" customWidth="1"/>
    <col min="12823" max="12823" width="9.25" style="85" bestFit="1" customWidth="1"/>
    <col min="12824" max="12824" width="11" style="85" bestFit="1" customWidth="1"/>
    <col min="12825" max="13057" width="9" style="85"/>
    <col min="13058" max="13058" width="4.625" style="85" bestFit="1" customWidth="1"/>
    <col min="13059" max="13059" width="7.5" style="85" bestFit="1" customWidth="1"/>
    <col min="13060" max="13060" width="6.25" style="85" customWidth="1"/>
    <col min="13061" max="13061" width="11" style="85" bestFit="1" customWidth="1"/>
    <col min="13062" max="13063" width="9.625" style="85" bestFit="1" customWidth="1"/>
    <col min="13064" max="13064" width="8.25" style="85" bestFit="1" customWidth="1"/>
    <col min="13065" max="13066" width="9.625" style="85" bestFit="1" customWidth="1"/>
    <col min="13067" max="13067" width="8.25" style="85" bestFit="1" customWidth="1"/>
    <col min="13068" max="13069" width="9.625" style="85" bestFit="1" customWidth="1"/>
    <col min="13070" max="13071" width="8.25" style="85" bestFit="1" customWidth="1"/>
    <col min="13072" max="13072" width="11" style="85" bestFit="1" customWidth="1"/>
    <col min="13073" max="13073" width="8" style="85" bestFit="1" customWidth="1"/>
    <col min="13074" max="13074" width="7.75" style="85" bestFit="1" customWidth="1"/>
    <col min="13075" max="13076" width="9.625" style="85" bestFit="1" customWidth="1"/>
    <col min="13077" max="13078" width="9.625" style="85" customWidth="1"/>
    <col min="13079" max="13079" width="9.25" style="85" bestFit="1" customWidth="1"/>
    <col min="13080" max="13080" width="11" style="85" bestFit="1" customWidth="1"/>
    <col min="13081" max="13313" width="9" style="85"/>
    <col min="13314" max="13314" width="4.625" style="85" bestFit="1" customWidth="1"/>
    <col min="13315" max="13315" width="7.5" style="85" bestFit="1" customWidth="1"/>
    <col min="13316" max="13316" width="6.25" style="85" customWidth="1"/>
    <col min="13317" max="13317" width="11" style="85" bestFit="1" customWidth="1"/>
    <col min="13318" max="13319" width="9.625" style="85" bestFit="1" customWidth="1"/>
    <col min="13320" max="13320" width="8.25" style="85" bestFit="1" customWidth="1"/>
    <col min="13321" max="13322" width="9.625" style="85" bestFit="1" customWidth="1"/>
    <col min="13323" max="13323" width="8.25" style="85" bestFit="1" customWidth="1"/>
    <col min="13324" max="13325" width="9.625" style="85" bestFit="1" customWidth="1"/>
    <col min="13326" max="13327" width="8.25" style="85" bestFit="1" customWidth="1"/>
    <col min="13328" max="13328" width="11" style="85" bestFit="1" customWidth="1"/>
    <col min="13329" max="13329" width="8" style="85" bestFit="1" customWidth="1"/>
    <col min="13330" max="13330" width="7.75" style="85" bestFit="1" customWidth="1"/>
    <col min="13331" max="13332" width="9.625" style="85" bestFit="1" customWidth="1"/>
    <col min="13333" max="13334" width="9.625" style="85" customWidth="1"/>
    <col min="13335" max="13335" width="9.25" style="85" bestFit="1" customWidth="1"/>
    <col min="13336" max="13336" width="11" style="85" bestFit="1" customWidth="1"/>
    <col min="13337" max="13569" width="9" style="85"/>
    <col min="13570" max="13570" width="4.625" style="85" bestFit="1" customWidth="1"/>
    <col min="13571" max="13571" width="7.5" style="85" bestFit="1" customWidth="1"/>
    <col min="13572" max="13572" width="6.25" style="85" customWidth="1"/>
    <col min="13573" max="13573" width="11" style="85" bestFit="1" customWidth="1"/>
    <col min="13574" max="13575" width="9.625" style="85" bestFit="1" customWidth="1"/>
    <col min="13576" max="13576" width="8.25" style="85" bestFit="1" customWidth="1"/>
    <col min="13577" max="13578" width="9.625" style="85" bestFit="1" customWidth="1"/>
    <col min="13579" max="13579" width="8.25" style="85" bestFit="1" customWidth="1"/>
    <col min="13580" max="13581" width="9.625" style="85" bestFit="1" customWidth="1"/>
    <col min="13582" max="13583" width="8.25" style="85" bestFit="1" customWidth="1"/>
    <col min="13584" max="13584" width="11" style="85" bestFit="1" customWidth="1"/>
    <col min="13585" max="13585" width="8" style="85" bestFit="1" customWidth="1"/>
    <col min="13586" max="13586" width="7.75" style="85" bestFit="1" customWidth="1"/>
    <col min="13587" max="13588" width="9.625" style="85" bestFit="1" customWidth="1"/>
    <col min="13589" max="13590" width="9.625" style="85" customWidth="1"/>
    <col min="13591" max="13591" width="9.25" style="85" bestFit="1" customWidth="1"/>
    <col min="13592" max="13592" width="11" style="85" bestFit="1" customWidth="1"/>
    <col min="13593" max="13825" width="9" style="85"/>
    <col min="13826" max="13826" width="4.625" style="85" bestFit="1" customWidth="1"/>
    <col min="13827" max="13827" width="7.5" style="85" bestFit="1" customWidth="1"/>
    <col min="13828" max="13828" width="6.25" style="85" customWidth="1"/>
    <col min="13829" max="13829" width="11" style="85" bestFit="1" customWidth="1"/>
    <col min="13830" max="13831" width="9.625" style="85" bestFit="1" customWidth="1"/>
    <col min="13832" max="13832" width="8.25" style="85" bestFit="1" customWidth="1"/>
    <col min="13833" max="13834" width="9.625" style="85" bestFit="1" customWidth="1"/>
    <col min="13835" max="13835" width="8.25" style="85" bestFit="1" customWidth="1"/>
    <col min="13836" max="13837" width="9.625" style="85" bestFit="1" customWidth="1"/>
    <col min="13838" max="13839" width="8.25" style="85" bestFit="1" customWidth="1"/>
    <col min="13840" max="13840" width="11" style="85" bestFit="1" customWidth="1"/>
    <col min="13841" max="13841" width="8" style="85" bestFit="1" customWidth="1"/>
    <col min="13842" max="13842" width="7.75" style="85" bestFit="1" customWidth="1"/>
    <col min="13843" max="13844" width="9.625" style="85" bestFit="1" customWidth="1"/>
    <col min="13845" max="13846" width="9.625" style="85" customWidth="1"/>
    <col min="13847" max="13847" width="9.25" style="85" bestFit="1" customWidth="1"/>
    <col min="13848" max="13848" width="11" style="85" bestFit="1" customWidth="1"/>
    <col min="13849" max="14081" width="9" style="85"/>
    <col min="14082" max="14082" width="4.625" style="85" bestFit="1" customWidth="1"/>
    <col min="14083" max="14083" width="7.5" style="85" bestFit="1" customWidth="1"/>
    <col min="14084" max="14084" width="6.25" style="85" customWidth="1"/>
    <col min="14085" max="14085" width="11" style="85" bestFit="1" customWidth="1"/>
    <col min="14086" max="14087" width="9.625" style="85" bestFit="1" customWidth="1"/>
    <col min="14088" max="14088" width="8.25" style="85" bestFit="1" customWidth="1"/>
    <col min="14089" max="14090" width="9.625" style="85" bestFit="1" customWidth="1"/>
    <col min="14091" max="14091" width="8.25" style="85" bestFit="1" customWidth="1"/>
    <col min="14092" max="14093" width="9.625" style="85" bestFit="1" customWidth="1"/>
    <col min="14094" max="14095" width="8.25" style="85" bestFit="1" customWidth="1"/>
    <col min="14096" max="14096" width="11" style="85" bestFit="1" customWidth="1"/>
    <col min="14097" max="14097" width="8" style="85" bestFit="1" customWidth="1"/>
    <col min="14098" max="14098" width="7.75" style="85" bestFit="1" customWidth="1"/>
    <col min="14099" max="14100" width="9.625" style="85" bestFit="1" customWidth="1"/>
    <col min="14101" max="14102" width="9.625" style="85" customWidth="1"/>
    <col min="14103" max="14103" width="9.25" style="85" bestFit="1" customWidth="1"/>
    <col min="14104" max="14104" width="11" style="85" bestFit="1" customWidth="1"/>
    <col min="14105" max="14337" width="9" style="85"/>
    <col min="14338" max="14338" width="4.625" style="85" bestFit="1" customWidth="1"/>
    <col min="14339" max="14339" width="7.5" style="85" bestFit="1" customWidth="1"/>
    <col min="14340" max="14340" width="6.25" style="85" customWidth="1"/>
    <col min="14341" max="14341" width="11" style="85" bestFit="1" customWidth="1"/>
    <col min="14342" max="14343" width="9.625" style="85" bestFit="1" customWidth="1"/>
    <col min="14344" max="14344" width="8.25" style="85" bestFit="1" customWidth="1"/>
    <col min="14345" max="14346" width="9.625" style="85" bestFit="1" customWidth="1"/>
    <col min="14347" max="14347" width="8.25" style="85" bestFit="1" customWidth="1"/>
    <col min="14348" max="14349" width="9.625" style="85" bestFit="1" customWidth="1"/>
    <col min="14350" max="14351" width="8.25" style="85" bestFit="1" customWidth="1"/>
    <col min="14352" max="14352" width="11" style="85" bestFit="1" customWidth="1"/>
    <col min="14353" max="14353" width="8" style="85" bestFit="1" customWidth="1"/>
    <col min="14354" max="14354" width="7.75" style="85" bestFit="1" customWidth="1"/>
    <col min="14355" max="14356" width="9.625" style="85" bestFit="1" customWidth="1"/>
    <col min="14357" max="14358" width="9.625" style="85" customWidth="1"/>
    <col min="14359" max="14359" width="9.25" style="85" bestFit="1" customWidth="1"/>
    <col min="14360" max="14360" width="11" style="85" bestFit="1" customWidth="1"/>
    <col min="14361" max="14593" width="9" style="85"/>
    <col min="14594" max="14594" width="4.625" style="85" bestFit="1" customWidth="1"/>
    <col min="14595" max="14595" width="7.5" style="85" bestFit="1" customWidth="1"/>
    <col min="14596" max="14596" width="6.25" style="85" customWidth="1"/>
    <col min="14597" max="14597" width="11" style="85" bestFit="1" customWidth="1"/>
    <col min="14598" max="14599" width="9.625" style="85" bestFit="1" customWidth="1"/>
    <col min="14600" max="14600" width="8.25" style="85" bestFit="1" customWidth="1"/>
    <col min="14601" max="14602" width="9.625" style="85" bestFit="1" customWidth="1"/>
    <col min="14603" max="14603" width="8.25" style="85" bestFit="1" customWidth="1"/>
    <col min="14604" max="14605" width="9.625" style="85" bestFit="1" customWidth="1"/>
    <col min="14606" max="14607" width="8.25" style="85" bestFit="1" customWidth="1"/>
    <col min="14608" max="14608" width="11" style="85" bestFit="1" customWidth="1"/>
    <col min="14609" max="14609" width="8" style="85" bestFit="1" customWidth="1"/>
    <col min="14610" max="14610" width="7.75" style="85" bestFit="1" customWidth="1"/>
    <col min="14611" max="14612" width="9.625" style="85" bestFit="1" customWidth="1"/>
    <col min="14613" max="14614" width="9.625" style="85" customWidth="1"/>
    <col min="14615" max="14615" width="9.25" style="85" bestFit="1" customWidth="1"/>
    <col min="14616" max="14616" width="11" style="85" bestFit="1" customWidth="1"/>
    <col min="14617" max="14849" width="9" style="85"/>
    <col min="14850" max="14850" width="4.625" style="85" bestFit="1" customWidth="1"/>
    <col min="14851" max="14851" width="7.5" style="85" bestFit="1" customWidth="1"/>
    <col min="14852" max="14852" width="6.25" style="85" customWidth="1"/>
    <col min="14853" max="14853" width="11" style="85" bestFit="1" customWidth="1"/>
    <col min="14854" max="14855" width="9.625" style="85" bestFit="1" customWidth="1"/>
    <col min="14856" max="14856" width="8.25" style="85" bestFit="1" customWidth="1"/>
    <col min="14857" max="14858" width="9.625" style="85" bestFit="1" customWidth="1"/>
    <col min="14859" max="14859" width="8.25" style="85" bestFit="1" customWidth="1"/>
    <col min="14860" max="14861" width="9.625" style="85" bestFit="1" customWidth="1"/>
    <col min="14862" max="14863" width="8.25" style="85" bestFit="1" customWidth="1"/>
    <col min="14864" max="14864" width="11" style="85" bestFit="1" customWidth="1"/>
    <col min="14865" max="14865" width="8" style="85" bestFit="1" customWidth="1"/>
    <col min="14866" max="14866" width="7.75" style="85" bestFit="1" customWidth="1"/>
    <col min="14867" max="14868" width="9.625" style="85" bestFit="1" customWidth="1"/>
    <col min="14869" max="14870" width="9.625" style="85" customWidth="1"/>
    <col min="14871" max="14871" width="9.25" style="85" bestFit="1" customWidth="1"/>
    <col min="14872" max="14872" width="11" style="85" bestFit="1" customWidth="1"/>
    <col min="14873" max="15105" width="9" style="85"/>
    <col min="15106" max="15106" width="4.625" style="85" bestFit="1" customWidth="1"/>
    <col min="15107" max="15107" width="7.5" style="85" bestFit="1" customWidth="1"/>
    <col min="15108" max="15108" width="6.25" style="85" customWidth="1"/>
    <col min="15109" max="15109" width="11" style="85" bestFit="1" customWidth="1"/>
    <col min="15110" max="15111" width="9.625" style="85" bestFit="1" customWidth="1"/>
    <col min="15112" max="15112" width="8.25" style="85" bestFit="1" customWidth="1"/>
    <col min="15113" max="15114" width="9.625" style="85" bestFit="1" customWidth="1"/>
    <col min="15115" max="15115" width="8.25" style="85" bestFit="1" customWidth="1"/>
    <col min="15116" max="15117" width="9.625" style="85" bestFit="1" customWidth="1"/>
    <col min="15118" max="15119" width="8.25" style="85" bestFit="1" customWidth="1"/>
    <col min="15120" max="15120" width="11" style="85" bestFit="1" customWidth="1"/>
    <col min="15121" max="15121" width="8" style="85" bestFit="1" customWidth="1"/>
    <col min="15122" max="15122" width="7.75" style="85" bestFit="1" customWidth="1"/>
    <col min="15123" max="15124" width="9.625" style="85" bestFit="1" customWidth="1"/>
    <col min="15125" max="15126" width="9.625" style="85" customWidth="1"/>
    <col min="15127" max="15127" width="9.25" style="85" bestFit="1" customWidth="1"/>
    <col min="15128" max="15128" width="11" style="85" bestFit="1" customWidth="1"/>
    <col min="15129" max="15361" width="9" style="85"/>
    <col min="15362" max="15362" width="4.625" style="85" bestFit="1" customWidth="1"/>
    <col min="15363" max="15363" width="7.5" style="85" bestFit="1" customWidth="1"/>
    <col min="15364" max="15364" width="6.25" style="85" customWidth="1"/>
    <col min="15365" max="15365" width="11" style="85" bestFit="1" customWidth="1"/>
    <col min="15366" max="15367" width="9.625" style="85" bestFit="1" customWidth="1"/>
    <col min="15368" max="15368" width="8.25" style="85" bestFit="1" customWidth="1"/>
    <col min="15369" max="15370" width="9.625" style="85" bestFit="1" customWidth="1"/>
    <col min="15371" max="15371" width="8.25" style="85" bestFit="1" customWidth="1"/>
    <col min="15372" max="15373" width="9.625" style="85" bestFit="1" customWidth="1"/>
    <col min="15374" max="15375" width="8.25" style="85" bestFit="1" customWidth="1"/>
    <col min="15376" max="15376" width="11" style="85" bestFit="1" customWidth="1"/>
    <col min="15377" max="15377" width="8" style="85" bestFit="1" customWidth="1"/>
    <col min="15378" max="15378" width="7.75" style="85" bestFit="1" customWidth="1"/>
    <col min="15379" max="15380" width="9.625" style="85" bestFit="1" customWidth="1"/>
    <col min="15381" max="15382" width="9.625" style="85" customWidth="1"/>
    <col min="15383" max="15383" width="9.25" style="85" bestFit="1" customWidth="1"/>
    <col min="15384" max="15384" width="11" style="85" bestFit="1" customWidth="1"/>
    <col min="15385" max="15617" width="9" style="85"/>
    <col min="15618" max="15618" width="4.625" style="85" bestFit="1" customWidth="1"/>
    <col min="15619" max="15619" width="7.5" style="85" bestFit="1" customWidth="1"/>
    <col min="15620" max="15620" width="6.25" style="85" customWidth="1"/>
    <col min="15621" max="15621" width="11" style="85" bestFit="1" customWidth="1"/>
    <col min="15622" max="15623" width="9.625" style="85" bestFit="1" customWidth="1"/>
    <col min="15624" max="15624" width="8.25" style="85" bestFit="1" customWidth="1"/>
    <col min="15625" max="15626" width="9.625" style="85" bestFit="1" customWidth="1"/>
    <col min="15627" max="15627" width="8.25" style="85" bestFit="1" customWidth="1"/>
    <col min="15628" max="15629" width="9.625" style="85" bestFit="1" customWidth="1"/>
    <col min="15630" max="15631" width="8.25" style="85" bestFit="1" customWidth="1"/>
    <col min="15632" max="15632" width="11" style="85" bestFit="1" customWidth="1"/>
    <col min="15633" max="15633" width="8" style="85" bestFit="1" customWidth="1"/>
    <col min="15634" max="15634" width="7.75" style="85" bestFit="1" customWidth="1"/>
    <col min="15635" max="15636" width="9.625" style="85" bestFit="1" customWidth="1"/>
    <col min="15637" max="15638" width="9.625" style="85" customWidth="1"/>
    <col min="15639" max="15639" width="9.25" style="85" bestFit="1" customWidth="1"/>
    <col min="15640" max="15640" width="11" style="85" bestFit="1" customWidth="1"/>
    <col min="15641" max="15873" width="9" style="85"/>
    <col min="15874" max="15874" width="4.625" style="85" bestFit="1" customWidth="1"/>
    <col min="15875" max="15875" width="7.5" style="85" bestFit="1" customWidth="1"/>
    <col min="15876" max="15876" width="6.25" style="85" customWidth="1"/>
    <col min="15877" max="15877" width="11" style="85" bestFit="1" customWidth="1"/>
    <col min="15878" max="15879" width="9.625" style="85" bestFit="1" customWidth="1"/>
    <col min="15880" max="15880" width="8.25" style="85" bestFit="1" customWidth="1"/>
    <col min="15881" max="15882" width="9.625" style="85" bestFit="1" customWidth="1"/>
    <col min="15883" max="15883" width="8.25" style="85" bestFit="1" customWidth="1"/>
    <col min="15884" max="15885" width="9.625" style="85" bestFit="1" customWidth="1"/>
    <col min="15886" max="15887" width="8.25" style="85" bestFit="1" customWidth="1"/>
    <col min="15888" max="15888" width="11" style="85" bestFit="1" customWidth="1"/>
    <col min="15889" max="15889" width="8" style="85" bestFit="1" customWidth="1"/>
    <col min="15890" max="15890" width="7.75" style="85" bestFit="1" customWidth="1"/>
    <col min="15891" max="15892" width="9.625" style="85" bestFit="1" customWidth="1"/>
    <col min="15893" max="15894" width="9.625" style="85" customWidth="1"/>
    <col min="15895" max="15895" width="9.25" style="85" bestFit="1" customWidth="1"/>
    <col min="15896" max="15896" width="11" style="85" bestFit="1" customWidth="1"/>
    <col min="15897" max="16129" width="9" style="85"/>
    <col min="16130" max="16130" width="4.625" style="85" bestFit="1" customWidth="1"/>
    <col min="16131" max="16131" width="7.5" style="85" bestFit="1" customWidth="1"/>
    <col min="16132" max="16132" width="6.25" style="85" customWidth="1"/>
    <col min="16133" max="16133" width="11" style="85" bestFit="1" customWidth="1"/>
    <col min="16134" max="16135" width="9.625" style="85" bestFit="1" customWidth="1"/>
    <col min="16136" max="16136" width="8.25" style="85" bestFit="1" customWidth="1"/>
    <col min="16137" max="16138" width="9.625" style="85" bestFit="1" customWidth="1"/>
    <col min="16139" max="16139" width="8.25" style="85" bestFit="1" customWidth="1"/>
    <col min="16140" max="16141" width="9.625" style="85" bestFit="1" customWidth="1"/>
    <col min="16142" max="16143" width="8.25" style="85" bestFit="1" customWidth="1"/>
    <col min="16144" max="16144" width="11" style="85" bestFit="1" customWidth="1"/>
    <col min="16145" max="16145" width="8" style="85" bestFit="1" customWidth="1"/>
    <col min="16146" max="16146" width="7.75" style="85" bestFit="1" customWidth="1"/>
    <col min="16147" max="16148" width="9.625" style="85" bestFit="1" customWidth="1"/>
    <col min="16149" max="16150" width="9.625" style="85" customWidth="1"/>
    <col min="16151" max="16151" width="9.25" style="85" bestFit="1" customWidth="1"/>
    <col min="16152" max="16152" width="11" style="85" bestFit="1" customWidth="1"/>
    <col min="16153" max="16384" width="9" style="85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134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68"/>
      <c r="V4" s="252"/>
      <c r="W4" s="252"/>
      <c r="X4" s="252"/>
    </row>
    <row r="5" spans="2:29" ht="20.25" customHeight="1" x14ac:dyDescent="0.3">
      <c r="B5" s="253" t="s">
        <v>150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73"/>
      <c r="Q5" s="69"/>
      <c r="R5" s="69"/>
      <c r="S5" s="69"/>
      <c r="T5" s="252"/>
      <c r="U5" s="6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99</v>
      </c>
      <c r="F7" s="243"/>
      <c r="G7" s="243"/>
      <c r="H7" s="243"/>
      <c r="I7" s="243"/>
      <c r="J7" s="243"/>
      <c r="K7" s="243"/>
      <c r="L7" s="243"/>
      <c r="M7" s="243"/>
      <c r="N7" s="242" t="s">
        <v>100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101</v>
      </c>
      <c r="AA7" s="250" t="s">
        <v>102</v>
      </c>
      <c r="AC7" s="234" t="s">
        <v>103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104</v>
      </c>
      <c r="G8" s="81" t="s">
        <v>105</v>
      </c>
      <c r="H8" s="81" t="s">
        <v>106</v>
      </c>
      <c r="I8" s="81" t="s">
        <v>77</v>
      </c>
      <c r="J8" s="82" t="s">
        <v>107</v>
      </c>
      <c r="K8" s="82" t="s">
        <v>108</v>
      </c>
      <c r="L8" s="82" t="s">
        <v>109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s="140" customFormat="1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5" si="0">SUM(E9:O9)</f>
        <v>2500000</v>
      </c>
      <c r="Q9" s="94">
        <f t="shared" ref="Q9:Q15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15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15" si="3">IFERROR(ROUNDDOWN((P9-AC9)*3.43%,-1),)</f>
        <v>75460</v>
      </c>
      <c r="U9" s="96">
        <f t="shared" ref="U9:U15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15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s="140" customFormat="1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4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s="140" customFormat="1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>
        <f t="shared" si="8"/>
        <v>99000</v>
      </c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229290</v>
      </c>
      <c r="X11" s="128">
        <f t="shared" si="7"/>
        <v>2270710</v>
      </c>
      <c r="Z11" s="98">
        <v>1</v>
      </c>
      <c r="AA11" s="99"/>
      <c r="AC11" s="100">
        <f t="shared" si="9"/>
        <v>300000</v>
      </c>
    </row>
    <row r="12" spans="2:29" s="140" customFormat="1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>
        <f>[1]직원인적급여카드!M5</f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f t="shared" si="0"/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s="140" customFormat="1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s="140" customFormat="1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>
        <f t="shared" si="8"/>
        <v>99000</v>
      </c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229290</v>
      </c>
      <c r="X14" s="128">
        <f t="shared" si="7"/>
        <v>2270710</v>
      </c>
      <c r="Z14" s="98">
        <v>1</v>
      </c>
      <c r="AA14" s="99"/>
      <c r="AC14" s="100">
        <f>IF(N15&gt;=100000,100000,N15)+IF(O14&gt;=200000,200000,O14)</f>
        <v>300000</v>
      </c>
    </row>
    <row r="15" spans="2:29" s="140" customFormat="1" ht="20.100000000000001" customHeight="1" x14ac:dyDescent="0.3">
      <c r="B15" s="101">
        <v>7</v>
      </c>
      <c r="C15" s="87" t="str">
        <f>[1]직원인적급여카드!B8</f>
        <v>이일복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95"/>
      <c r="T15" s="95">
        <f t="shared" si="3"/>
        <v>75460</v>
      </c>
      <c r="U15" s="96">
        <f t="shared" si="4"/>
        <v>8690</v>
      </c>
      <c r="V15" s="96">
        <f t="shared" ref="V15" si="10">IFERROR(IF(D15&lt;&gt;"대표이사",ROUNDDOWN((P15-AC15)*고용보험율,-1),0),)</f>
        <v>17600</v>
      </c>
      <c r="W15" s="93">
        <f t="shared" ref="W15" si="11">SUM(Q15:V15)</f>
        <v>130290</v>
      </c>
      <c r="X15" s="97">
        <f t="shared" si="7"/>
        <v>2369710</v>
      </c>
      <c r="Z15" s="98">
        <v>1</v>
      </c>
      <c r="AA15" s="99"/>
      <c r="AC15" s="100">
        <f t="shared" ref="AC15" si="12">IF(N15&gt;=100000,100000,N15)+IF(O15&gt;=200000,200000,O15)</f>
        <v>300000</v>
      </c>
    </row>
    <row r="16" spans="2:29" ht="20.100000000000001" customHeight="1" x14ac:dyDescent="0.3">
      <c r="B16" s="101"/>
      <c r="C16" s="87" t="s">
        <v>44</v>
      </c>
      <c r="D16" s="88" t="s">
        <v>45</v>
      </c>
      <c r="E16" s="89"/>
      <c r="F16" s="102"/>
      <c r="G16" s="102"/>
      <c r="H16" s="102"/>
      <c r="I16" s="102"/>
      <c r="J16" s="103"/>
      <c r="K16" s="103"/>
      <c r="L16" s="103"/>
      <c r="M16" s="103"/>
      <c r="N16" s="89"/>
      <c r="O16" s="129"/>
      <c r="P16" s="124"/>
      <c r="Q16" s="125">
        <f t="shared" ref="Q16:Q20" si="13">IFERROR(IF(P16-AC16&lt;=10000000,VLOOKUP((P16-AC16)/1000,간이세액표,IF(11&lt;Z16+AA16,13,2+Z16+AA16),TRUE),IF(P16-AC16&gt;14000000,VLOOKUP((P16-AC16)/1000,간이세액표,IF(11&lt;Z16+AA16,13,2+Z16+AA16),TRUE)+1372000+ROUNDDOWN(((P16-AC16-14000000)*98%)*38%,-1),VLOOKUP((P16-AC16)/1000,간이세액표,IF(11&lt;Z16+AA16,13,2+Z16+AA16),TRUE)+ROUNDDOWN(((P16-AC16-10000000)*98%)*35%,-1))),)</f>
        <v>0</v>
      </c>
      <c r="R16" s="126">
        <f t="shared" ref="R16:R20" si="14">ROUNDDOWN(Q16*10%,-1)</f>
        <v>0</v>
      </c>
      <c r="S16" s="126">
        <f t="shared" ref="S16:S18" si="15">IFERROR(IF(AND(P16-AC16&gt;=월액최저,P16-AC16&lt;=월액최고),ROUNDDOWN((P16-AC16)*국민연금,-1),IF(P16-AC16&gt;=월액최고,최고연금,IF(AND(P16-AC16&lt;=월액최저,P16-AC16&gt;=1),최저연금,))),)</f>
        <v>0</v>
      </c>
      <c r="T16" s="126">
        <f t="shared" ref="T16" si="16">IFERROR(ROUNDDOWN((P16-AC16)*건강보험율,-1),)</f>
        <v>0</v>
      </c>
      <c r="U16" s="127">
        <f>ROUNDDOWN(T16*요양보험율,-1)</f>
        <v>0</v>
      </c>
      <c r="V16" s="127">
        <f t="shared" ref="V16:V20" si="17">IFERROR(IF(D16&lt;&gt;"대표이사",ROUNDDOWN((P16-AC16)*고용보험율,-1),0),)</f>
        <v>0</v>
      </c>
      <c r="W16" s="124">
        <f t="shared" ref="W16:W20" si="18">SUM(Q16:V16)</f>
        <v>0</v>
      </c>
      <c r="X16" s="128">
        <f t="shared" ref="X16:X20" si="19">P16-W16</f>
        <v>0</v>
      </c>
      <c r="Z16" s="98"/>
      <c r="AA16" s="99"/>
      <c r="AC16" s="100">
        <f t="shared" ref="AC16:AC20" si="20">IF(N16&gt;=100000,100000,N16)+IF(O16&gt;=200000,200000,O16)</f>
        <v>0</v>
      </c>
    </row>
    <row r="17" spans="2:29" ht="20.100000000000001" customHeight="1" x14ac:dyDescent="0.3">
      <c r="B17" s="101">
        <v>8</v>
      </c>
      <c r="C17" s="87" t="s">
        <v>116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9">
        <v>200000</v>
      </c>
      <c r="P17" s="124">
        <f t="shared" ref="P17:P20" si="21">SUM(E17:O17)</f>
        <v>2500000</v>
      </c>
      <c r="Q17" s="125">
        <f t="shared" si="13"/>
        <v>25950</v>
      </c>
      <c r="R17" s="126">
        <f t="shared" si="14"/>
        <v>2590</v>
      </c>
      <c r="S17" s="126">
        <f t="shared" si="15"/>
        <v>99000</v>
      </c>
      <c r="T17" s="95">
        <f>IFERROR(ROUNDDOWN((P17-AC17)*3.43%,-1),)</f>
        <v>75460</v>
      </c>
      <c r="U17" s="96">
        <f>ROUNDDOWN(T17*11.52%,-1)</f>
        <v>8690</v>
      </c>
      <c r="V17" s="127">
        <f t="shared" si="17"/>
        <v>17600</v>
      </c>
      <c r="W17" s="124">
        <f t="shared" si="18"/>
        <v>229290</v>
      </c>
      <c r="X17" s="128">
        <f t="shared" si="19"/>
        <v>2270710</v>
      </c>
      <c r="Z17" s="98">
        <v>1</v>
      </c>
      <c r="AA17" s="99"/>
      <c r="AC17" s="100">
        <f t="shared" si="20"/>
        <v>300000</v>
      </c>
    </row>
    <row r="18" spans="2:29" ht="20.100000000000001" customHeight="1" x14ac:dyDescent="0.3">
      <c r="B18" s="101">
        <v>9</v>
      </c>
      <c r="C18" s="87" t="s">
        <v>117</v>
      </c>
      <c r="D18" s="88" t="s">
        <v>118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21"/>
        <v>2500000</v>
      </c>
      <c r="Q18" s="125">
        <f t="shared" si="13"/>
        <v>25950</v>
      </c>
      <c r="R18" s="126">
        <f t="shared" si="14"/>
        <v>2590</v>
      </c>
      <c r="S18" s="126">
        <f t="shared" si="15"/>
        <v>99000</v>
      </c>
      <c r="T18" s="95">
        <f>IFERROR(ROUNDDOWN((P18-AC18)*3.43%,-1),)</f>
        <v>75460</v>
      </c>
      <c r="U18" s="96">
        <f>ROUNDDOWN(T18*11.52%,-1)</f>
        <v>8690</v>
      </c>
      <c r="V18" s="127">
        <f t="shared" si="17"/>
        <v>17600</v>
      </c>
      <c r="W18" s="124">
        <f t="shared" si="18"/>
        <v>229290</v>
      </c>
      <c r="X18" s="128">
        <f t="shared" si="19"/>
        <v>2270710</v>
      </c>
      <c r="Z18" s="98">
        <v>1</v>
      </c>
      <c r="AA18" s="99"/>
      <c r="AC18" s="100">
        <f t="shared" si="20"/>
        <v>300000</v>
      </c>
    </row>
    <row r="19" spans="2:29" ht="20.100000000000001" customHeight="1" x14ac:dyDescent="0.3">
      <c r="B19" s="101">
        <v>10</v>
      </c>
      <c r="C19" s="87" t="s">
        <v>119</v>
      </c>
      <c r="D19" s="88" t="s">
        <v>50</v>
      </c>
      <c r="E19" s="89">
        <v>2100000</v>
      </c>
      <c r="F19" s="106"/>
      <c r="G19" s="106"/>
      <c r="H19" s="106"/>
      <c r="I19" s="106"/>
      <c r="J19" s="107"/>
      <c r="K19" s="107"/>
      <c r="L19" s="107"/>
      <c r="M19" s="107"/>
      <c r="N19" s="89">
        <v>200000</v>
      </c>
      <c r="O19" s="130">
        <v>200000</v>
      </c>
      <c r="P19" s="124">
        <f t="shared" si="21"/>
        <v>2500000</v>
      </c>
      <c r="Q19" s="125">
        <f t="shared" si="13"/>
        <v>25950</v>
      </c>
      <c r="R19" s="126">
        <f t="shared" si="14"/>
        <v>2590</v>
      </c>
      <c r="S19" s="126"/>
      <c r="T19" s="95">
        <f>IFERROR(ROUNDDOWN((P19-AC19)*3.43%,-1),)</f>
        <v>75460</v>
      </c>
      <c r="U19" s="96">
        <f>ROUNDDOWN(T19*11.52%,-1)</f>
        <v>8690</v>
      </c>
      <c r="V19" s="127">
        <f t="shared" si="17"/>
        <v>17600</v>
      </c>
      <c r="W19" s="124">
        <f t="shared" si="18"/>
        <v>130290</v>
      </c>
      <c r="X19" s="128">
        <f t="shared" si="19"/>
        <v>2369710</v>
      </c>
      <c r="Z19" s="98">
        <v>1</v>
      </c>
      <c r="AA19" s="99"/>
      <c r="AC19" s="100">
        <f t="shared" si="20"/>
        <v>300000</v>
      </c>
    </row>
    <row r="20" spans="2:29" ht="20.100000000000001" customHeight="1" x14ac:dyDescent="0.3">
      <c r="B20" s="101">
        <v>11</v>
      </c>
      <c r="C20" s="87" t="s">
        <v>132</v>
      </c>
      <c r="D20" s="88" t="s">
        <v>133</v>
      </c>
      <c r="E20" s="89">
        <v>2100000</v>
      </c>
      <c r="F20" s="106"/>
      <c r="G20" s="106"/>
      <c r="H20" s="106"/>
      <c r="I20" s="106"/>
      <c r="J20" s="107"/>
      <c r="K20" s="107"/>
      <c r="L20" s="107"/>
      <c r="M20" s="107"/>
      <c r="N20" s="89">
        <v>200000</v>
      </c>
      <c r="O20" s="130">
        <v>200000</v>
      </c>
      <c r="P20" s="124">
        <f t="shared" si="21"/>
        <v>2500000</v>
      </c>
      <c r="Q20" s="125">
        <f t="shared" si="13"/>
        <v>25950</v>
      </c>
      <c r="R20" s="126">
        <f t="shared" si="14"/>
        <v>2590</v>
      </c>
      <c r="S20" s="126">
        <f t="shared" ref="S20" si="22">IFERROR(IF(AND(P20-AC20&gt;=월액최저,P20-AC20&lt;=월액최고),ROUNDDOWN((P20-AC20)*국민연금,-1),IF(P20-AC20&gt;=월액최고,최고연금,IF(AND(P20-AC20&lt;=월액최저,P20-AC20&gt;=1),최저연금,))),)</f>
        <v>99000</v>
      </c>
      <c r="T20" s="95">
        <f>IFERROR(ROUNDDOWN((P20-AC20)*3.43%,-1),)</f>
        <v>75460</v>
      </c>
      <c r="U20" s="96">
        <f>ROUNDDOWN(T20*11.52%,-1)</f>
        <v>8690</v>
      </c>
      <c r="V20" s="127">
        <f t="shared" si="17"/>
        <v>17600</v>
      </c>
      <c r="W20" s="124">
        <f t="shared" si="18"/>
        <v>229290</v>
      </c>
      <c r="X20" s="128">
        <f t="shared" si="19"/>
        <v>2270710</v>
      </c>
      <c r="Z20" s="98">
        <v>1</v>
      </c>
      <c r="AA20" s="99"/>
      <c r="AC20" s="100">
        <f t="shared" si="20"/>
        <v>300000</v>
      </c>
    </row>
    <row r="21" spans="2:29" ht="20.100000000000001" customHeight="1" x14ac:dyDescent="0.3">
      <c r="B21" s="216" t="s">
        <v>120</v>
      </c>
      <c r="C21" s="217"/>
      <c r="D21" s="218"/>
      <c r="E21" s="131">
        <f t="shared" ref="E21:X21" si="23">SUM(E9:E20)</f>
        <v>23100000</v>
      </c>
      <c r="F21" s="132">
        <f t="shared" si="23"/>
        <v>0</v>
      </c>
      <c r="G21" s="132">
        <f t="shared" si="23"/>
        <v>0</v>
      </c>
      <c r="H21" s="132">
        <f t="shared" si="23"/>
        <v>0</v>
      </c>
      <c r="I21" s="132">
        <f t="shared" si="23"/>
        <v>0</v>
      </c>
      <c r="J21" s="132">
        <f t="shared" si="23"/>
        <v>0</v>
      </c>
      <c r="K21" s="132">
        <f t="shared" si="23"/>
        <v>0</v>
      </c>
      <c r="L21" s="132">
        <f t="shared" si="23"/>
        <v>0</v>
      </c>
      <c r="M21" s="133">
        <f t="shared" si="23"/>
        <v>0</v>
      </c>
      <c r="N21" s="131">
        <f t="shared" si="23"/>
        <v>2200000</v>
      </c>
      <c r="O21" s="134">
        <f t="shared" si="23"/>
        <v>2200000</v>
      </c>
      <c r="P21" s="135">
        <f t="shared" si="23"/>
        <v>27500000</v>
      </c>
      <c r="Q21" s="131">
        <f t="shared" si="23"/>
        <v>285450</v>
      </c>
      <c r="R21" s="132">
        <f t="shared" si="23"/>
        <v>28490</v>
      </c>
      <c r="S21" s="132">
        <f t="shared" si="23"/>
        <v>792000</v>
      </c>
      <c r="T21" s="132">
        <f t="shared" si="23"/>
        <v>830060</v>
      </c>
      <c r="U21" s="133">
        <f t="shared" si="23"/>
        <v>95590</v>
      </c>
      <c r="V21" s="133">
        <f t="shared" si="23"/>
        <v>193600</v>
      </c>
      <c r="W21" s="135">
        <f t="shared" si="23"/>
        <v>2225190</v>
      </c>
      <c r="X21" s="136">
        <f t="shared" si="23"/>
        <v>25274810</v>
      </c>
    </row>
    <row r="22" spans="2:29" ht="20.25" customHeight="1" thickBot="1" x14ac:dyDescent="0.35">
      <c r="B22" s="219" t="s">
        <v>121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</row>
    <row r="23" spans="2:29" ht="15" customHeight="1" x14ac:dyDescent="0.3">
      <c r="B23" s="118"/>
      <c r="C23" s="119" t="s">
        <v>122</v>
      </c>
      <c r="D23" s="220" t="s">
        <v>123</v>
      </c>
      <c r="E23" s="221"/>
      <c r="F23" s="220" t="s">
        <v>124</v>
      </c>
      <c r="G23" s="221"/>
      <c r="H23" s="222" t="s">
        <v>125</v>
      </c>
      <c r="I23" s="223"/>
      <c r="J23" s="223"/>
      <c r="K23" s="223"/>
      <c r="L23" s="223"/>
      <c r="M23" s="223"/>
      <c r="N23" s="223"/>
      <c r="O23" s="223"/>
      <c r="P23" s="224"/>
      <c r="Q23" s="64"/>
      <c r="R23" s="64"/>
      <c r="S23" s="64"/>
      <c r="T23" s="64"/>
      <c r="U23" s="64"/>
      <c r="V23" s="64"/>
    </row>
    <row r="24" spans="2:29" ht="15" customHeight="1" x14ac:dyDescent="0.3">
      <c r="B24" s="225" t="s">
        <v>126</v>
      </c>
      <c r="C24" s="120" t="s">
        <v>137</v>
      </c>
      <c r="D24" s="197" t="s">
        <v>138</v>
      </c>
      <c r="E24" s="198"/>
      <c r="F24" s="204" t="s">
        <v>139</v>
      </c>
      <c r="G24" s="205"/>
      <c r="H24" s="206"/>
      <c r="I24" s="207"/>
      <c r="J24" s="207"/>
      <c r="K24" s="207"/>
      <c r="L24" s="207"/>
      <c r="M24" s="207"/>
      <c r="N24" s="207"/>
      <c r="O24" s="207"/>
      <c r="P24" s="208"/>
      <c r="Q24" s="64"/>
      <c r="R24" s="64"/>
      <c r="S24" s="64"/>
      <c r="T24" s="64"/>
      <c r="U24" s="64"/>
      <c r="V24" s="64"/>
    </row>
    <row r="25" spans="2:29" ht="15" customHeight="1" x14ac:dyDescent="0.3">
      <c r="B25" s="195"/>
      <c r="C25" s="120"/>
      <c r="D25" s="197"/>
      <c r="E25" s="198"/>
      <c r="F25" s="204"/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thickBot="1" x14ac:dyDescent="0.35">
      <c r="B26" s="226"/>
      <c r="C26" s="121"/>
      <c r="D26" s="227"/>
      <c r="E26" s="228"/>
      <c r="F26" s="229"/>
      <c r="G26" s="230"/>
      <c r="H26" s="231"/>
      <c r="I26" s="232"/>
      <c r="J26" s="232"/>
      <c r="K26" s="232"/>
      <c r="L26" s="232"/>
      <c r="M26" s="232"/>
      <c r="N26" s="232"/>
      <c r="O26" s="232"/>
      <c r="P26" s="233"/>
      <c r="Q26" s="64"/>
      <c r="R26" s="64"/>
      <c r="S26" s="64"/>
      <c r="T26" s="64"/>
      <c r="U26" s="64"/>
      <c r="V26" s="64"/>
    </row>
    <row r="27" spans="2:29" ht="15" customHeight="1" thickTop="1" x14ac:dyDescent="0.3">
      <c r="B27" s="195" t="s">
        <v>127</v>
      </c>
      <c r="C27" s="120"/>
      <c r="D27" s="197"/>
      <c r="E27" s="198"/>
      <c r="F27" s="199"/>
      <c r="G27" s="200"/>
      <c r="H27" s="201"/>
      <c r="I27" s="202"/>
      <c r="J27" s="202"/>
      <c r="K27" s="202"/>
      <c r="L27" s="202"/>
      <c r="M27" s="202"/>
      <c r="N27" s="202"/>
      <c r="O27" s="202"/>
      <c r="P27" s="203"/>
      <c r="Q27" s="64"/>
      <c r="R27" s="64"/>
      <c r="S27" s="64"/>
      <c r="T27" s="64"/>
      <c r="U27" s="64"/>
      <c r="V27" s="64"/>
    </row>
    <row r="28" spans="2:29" ht="15" customHeight="1" x14ac:dyDescent="0.3">
      <c r="B28" s="195"/>
      <c r="C28" s="120"/>
      <c r="D28" s="197"/>
      <c r="E28" s="198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thickBot="1" x14ac:dyDescent="0.35">
      <c r="B29" s="196"/>
      <c r="C29" s="122"/>
      <c r="D29" s="209"/>
      <c r="E29" s="210"/>
      <c r="F29" s="211"/>
      <c r="G29" s="212"/>
      <c r="H29" s="213"/>
      <c r="I29" s="214"/>
      <c r="J29" s="214"/>
      <c r="K29" s="214"/>
      <c r="L29" s="214"/>
      <c r="M29" s="214"/>
      <c r="N29" s="214"/>
      <c r="O29" s="214"/>
      <c r="P29" s="215"/>
      <c r="Q29" s="64"/>
      <c r="R29" s="64"/>
      <c r="S29" s="64"/>
      <c r="T29" s="64"/>
      <c r="U29" s="64"/>
      <c r="V29" s="64"/>
    </row>
    <row r="30" spans="2:29" ht="20.100000000000001" customHeight="1" x14ac:dyDescent="0.3">
      <c r="Q30" s="64"/>
      <c r="R30" s="64"/>
      <c r="S30" s="64"/>
      <c r="T30" s="64"/>
      <c r="U30" s="64"/>
      <c r="V30" s="64"/>
    </row>
    <row r="31" spans="2:29" s="64" customFormat="1" ht="20.100000000000001" customHeight="1" x14ac:dyDescent="0.3">
      <c r="B31" s="85"/>
      <c r="C31" s="85"/>
      <c r="D31" s="85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2:29" s="64" customFormat="1" ht="20.100000000000001" customHeight="1" x14ac:dyDescent="0.3">
      <c r="B32" s="85"/>
      <c r="C32" s="85"/>
      <c r="D32" s="85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85"/>
      <c r="C33" s="85"/>
      <c r="D33" s="85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85"/>
      <c r="C34" s="85"/>
      <c r="D34" s="85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85"/>
      <c r="C35" s="85"/>
      <c r="D35" s="85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85"/>
      <c r="C36" s="85"/>
      <c r="D36" s="85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85"/>
      <c r="C37" s="85"/>
      <c r="D37" s="85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85"/>
      <c r="C38" s="85"/>
      <c r="D38" s="85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85"/>
      <c r="C39" s="85"/>
      <c r="D39" s="85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85"/>
      <c r="C40" s="85"/>
      <c r="D40" s="85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85"/>
      <c r="C41" s="85"/>
      <c r="D41" s="85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85"/>
      <c r="C42" s="85"/>
      <c r="D42" s="85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85"/>
      <c r="C43" s="85"/>
      <c r="D43" s="85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85"/>
      <c r="C44" s="85"/>
      <c r="D44" s="85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85"/>
      <c r="C45" s="85"/>
      <c r="D45" s="85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85"/>
      <c r="C46" s="85"/>
      <c r="D46" s="85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85"/>
      <c r="C47" s="85"/>
      <c r="D47" s="85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85"/>
      <c r="C48" s="85"/>
      <c r="D48" s="85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85"/>
      <c r="C49" s="85"/>
      <c r="D49" s="85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85"/>
      <c r="C50" s="85"/>
      <c r="D50" s="85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85"/>
      <c r="C51" s="85"/>
      <c r="D51" s="85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85"/>
      <c r="C52" s="85"/>
      <c r="D52" s="85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85"/>
      <c r="C53" s="85"/>
      <c r="D53" s="85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85"/>
      <c r="C54" s="85"/>
      <c r="D54" s="85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85"/>
      <c r="C55" s="85"/>
      <c r="D55" s="85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85"/>
      <c r="C56" s="85"/>
      <c r="D56" s="85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85"/>
      <c r="C57" s="85"/>
      <c r="D57" s="85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85"/>
      <c r="C58" s="85"/>
      <c r="D58" s="85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85"/>
      <c r="C59" s="85"/>
      <c r="D59" s="85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85"/>
      <c r="C60" s="85"/>
      <c r="D60" s="85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85"/>
      <c r="C61" s="85"/>
      <c r="D61" s="85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85"/>
      <c r="C62" s="85"/>
      <c r="D62" s="85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85"/>
      <c r="C63" s="85"/>
      <c r="D63" s="85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85"/>
      <c r="C64" s="85"/>
      <c r="D64" s="85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85"/>
      <c r="C65" s="85"/>
      <c r="D65" s="85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85"/>
      <c r="C66" s="85"/>
      <c r="D66" s="85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85"/>
      <c r="C67" s="85"/>
      <c r="D67" s="85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85"/>
      <c r="C68" s="85"/>
      <c r="D68" s="85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85"/>
      <c r="C69" s="85"/>
      <c r="D69" s="85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85"/>
      <c r="C70" s="85"/>
      <c r="D70" s="85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85"/>
      <c r="C71" s="85"/>
      <c r="D71" s="85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85"/>
      <c r="C72" s="85"/>
      <c r="D72" s="85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85"/>
      <c r="C73" s="85"/>
      <c r="D73" s="85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85"/>
      <c r="C74" s="85"/>
      <c r="D74" s="85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85"/>
      <c r="C75" s="85"/>
      <c r="D75" s="85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85"/>
      <c r="C76" s="85"/>
      <c r="D76" s="85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85"/>
      <c r="C77" s="85"/>
      <c r="D77" s="85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85"/>
      <c r="C78" s="85"/>
      <c r="D78" s="85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85"/>
      <c r="C79" s="85"/>
      <c r="D79" s="85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85"/>
      <c r="C80" s="85"/>
      <c r="D80" s="85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85"/>
      <c r="C81" s="85"/>
      <c r="D81" s="85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85"/>
      <c r="C82" s="85"/>
      <c r="D82" s="85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85"/>
      <c r="C83" s="85"/>
      <c r="D83" s="85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85"/>
      <c r="C84" s="85"/>
      <c r="D84" s="85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85"/>
      <c r="C85" s="85"/>
      <c r="D85" s="85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85"/>
      <c r="C86" s="85"/>
      <c r="D86" s="85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85"/>
      <c r="C87" s="85"/>
      <c r="D87" s="85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85"/>
      <c r="C88" s="85"/>
      <c r="D88" s="85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85"/>
      <c r="C89" s="85"/>
      <c r="D89" s="85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85"/>
      <c r="C90" s="85"/>
      <c r="D90" s="85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85"/>
      <c r="C91" s="85"/>
      <c r="D91" s="85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85"/>
      <c r="C92" s="85"/>
      <c r="D92" s="85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85"/>
      <c r="C93" s="85"/>
      <c r="D93" s="85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85"/>
      <c r="C94" s="85"/>
      <c r="D94" s="85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85"/>
      <c r="C95" s="85"/>
      <c r="D95" s="85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85"/>
      <c r="C96" s="85"/>
      <c r="D96" s="85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85"/>
      <c r="C97" s="85"/>
      <c r="D97" s="85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85"/>
      <c r="C98" s="85"/>
      <c r="D98" s="85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85"/>
      <c r="C99" s="85"/>
      <c r="D99" s="85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85"/>
      <c r="C100" s="85"/>
      <c r="D100" s="85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85"/>
      <c r="C101" s="85"/>
      <c r="D101" s="85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85"/>
      <c r="C102" s="85"/>
      <c r="D102" s="85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85"/>
      <c r="C103" s="85"/>
      <c r="D103" s="85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85"/>
      <c r="C104" s="85"/>
      <c r="D104" s="85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85"/>
      <c r="C105" s="85"/>
      <c r="D105" s="85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85"/>
      <c r="C106" s="85"/>
      <c r="D106" s="85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85"/>
      <c r="C107" s="85"/>
      <c r="D107" s="85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85"/>
      <c r="C108" s="85"/>
      <c r="D108" s="85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85"/>
      <c r="C109" s="85"/>
      <c r="D109" s="85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85"/>
      <c r="C110" s="85"/>
      <c r="D110" s="85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85"/>
      <c r="C111" s="85"/>
      <c r="D111" s="85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85"/>
      <c r="C112" s="85"/>
      <c r="D112" s="85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85"/>
      <c r="C113" s="85"/>
      <c r="D113" s="85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85"/>
      <c r="C114" s="85"/>
      <c r="D114" s="85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85"/>
      <c r="C115" s="85"/>
      <c r="D115" s="85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85"/>
      <c r="C116" s="85"/>
      <c r="D116" s="85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85"/>
      <c r="C117" s="85"/>
      <c r="D117" s="85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85"/>
      <c r="C118" s="85"/>
      <c r="D118" s="85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85"/>
      <c r="C119" s="85"/>
      <c r="D119" s="85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85"/>
      <c r="C120" s="85"/>
      <c r="D120" s="85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85"/>
      <c r="C121" s="85"/>
      <c r="D121" s="85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85"/>
      <c r="C122" s="85"/>
      <c r="D122" s="85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85"/>
      <c r="C123" s="85"/>
      <c r="D123" s="85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85"/>
      <c r="C124" s="85"/>
      <c r="D124" s="85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85"/>
      <c r="C125" s="85"/>
      <c r="D125" s="85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85"/>
      <c r="C126" s="85"/>
      <c r="D126" s="85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85"/>
      <c r="C127" s="85"/>
      <c r="D127" s="85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85"/>
      <c r="C128" s="85"/>
      <c r="D128" s="85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85"/>
      <c r="C129" s="85"/>
      <c r="D129" s="85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85"/>
      <c r="C130" s="85"/>
      <c r="D130" s="85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85"/>
      <c r="C131" s="85"/>
      <c r="D131" s="85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85"/>
      <c r="C132" s="85"/>
      <c r="D132" s="85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85"/>
      <c r="C133" s="85"/>
      <c r="D133" s="85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85"/>
      <c r="C134" s="85"/>
      <c r="D134" s="85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85"/>
      <c r="C135" s="85"/>
      <c r="D135" s="85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85"/>
      <c r="C136" s="85"/>
      <c r="D136" s="85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85"/>
      <c r="C137" s="85"/>
      <c r="D137" s="85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85"/>
      <c r="C138" s="85"/>
      <c r="D138" s="85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85"/>
      <c r="C139" s="85"/>
      <c r="D139" s="85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85"/>
      <c r="C140" s="85"/>
      <c r="D140" s="85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85"/>
      <c r="C141" s="85"/>
      <c r="D141" s="85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85"/>
      <c r="C142" s="85"/>
      <c r="D142" s="85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85"/>
      <c r="C143" s="85"/>
      <c r="D143" s="85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85"/>
      <c r="C144" s="85"/>
      <c r="D144" s="85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85"/>
      <c r="C145" s="85"/>
      <c r="D145" s="85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85"/>
      <c r="C146" s="85"/>
      <c r="D146" s="85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85"/>
      <c r="C147" s="85"/>
      <c r="D147" s="85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85"/>
      <c r="C148" s="85"/>
      <c r="D148" s="85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85"/>
      <c r="C149" s="85"/>
      <c r="D149" s="85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85"/>
      <c r="C150" s="85"/>
      <c r="D150" s="85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85"/>
      <c r="C151" s="85"/>
      <c r="D151" s="85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85"/>
      <c r="C152" s="85"/>
      <c r="D152" s="85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85"/>
      <c r="C153" s="85"/>
      <c r="D153" s="85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85"/>
      <c r="C154" s="85"/>
      <c r="D154" s="85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85"/>
      <c r="C155" s="85"/>
      <c r="D155" s="85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85"/>
      <c r="C156" s="85"/>
      <c r="D156" s="85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85"/>
      <c r="C157" s="85"/>
      <c r="D157" s="85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85"/>
      <c r="C158" s="85"/>
      <c r="D158" s="85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85"/>
      <c r="C159" s="85"/>
      <c r="D159" s="85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85"/>
      <c r="C160" s="85"/>
      <c r="D160" s="85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85"/>
      <c r="C161" s="85"/>
      <c r="D161" s="85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85"/>
      <c r="C162" s="85"/>
      <c r="D162" s="85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85"/>
      <c r="C163" s="85"/>
      <c r="D163" s="85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85"/>
      <c r="C164" s="85"/>
      <c r="D164" s="85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85"/>
      <c r="C165" s="85"/>
      <c r="D165" s="85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85"/>
      <c r="C166" s="85"/>
      <c r="D166" s="85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85"/>
      <c r="C167" s="85"/>
      <c r="D167" s="85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85"/>
      <c r="C168" s="85"/>
      <c r="D168" s="85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85"/>
      <c r="C169" s="85"/>
      <c r="D169" s="85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85"/>
      <c r="C170" s="85"/>
      <c r="D170" s="85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85"/>
      <c r="C171" s="85"/>
      <c r="D171" s="85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85"/>
      <c r="C172" s="85"/>
      <c r="D172" s="85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85"/>
      <c r="C173" s="85"/>
      <c r="D173" s="85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85"/>
      <c r="C174" s="85"/>
      <c r="D174" s="85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85"/>
      <c r="C175" s="85"/>
      <c r="D175" s="85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85"/>
      <c r="C176" s="85"/>
      <c r="D176" s="85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85"/>
      <c r="C177" s="85"/>
      <c r="D177" s="85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85"/>
      <c r="C178" s="85"/>
      <c r="D178" s="85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85"/>
      <c r="C179" s="85"/>
      <c r="D179" s="85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85"/>
      <c r="C180" s="85"/>
      <c r="D180" s="85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85"/>
      <c r="C181" s="85"/>
      <c r="D181" s="85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85"/>
      <c r="C182" s="85"/>
      <c r="D182" s="85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85"/>
      <c r="C183" s="85"/>
      <c r="D183" s="85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85"/>
      <c r="C184" s="85"/>
      <c r="D184" s="85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85"/>
      <c r="C185" s="85"/>
      <c r="D185" s="85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85"/>
      <c r="C186" s="85"/>
      <c r="D186" s="85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85"/>
      <c r="C187" s="85"/>
      <c r="D187" s="85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85"/>
      <c r="C188" s="85"/>
      <c r="D188" s="85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85"/>
      <c r="C189" s="85"/>
      <c r="D189" s="85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85"/>
      <c r="C190" s="85"/>
      <c r="D190" s="85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85"/>
      <c r="C191" s="85"/>
      <c r="D191" s="85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85"/>
      <c r="C192" s="85"/>
      <c r="D192" s="85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85"/>
      <c r="C193" s="85"/>
      <c r="D193" s="85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85"/>
      <c r="C194" s="85"/>
      <c r="D194" s="85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85"/>
      <c r="C195" s="85"/>
      <c r="D195" s="85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85"/>
      <c r="C196" s="85"/>
      <c r="D196" s="85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85"/>
      <c r="C197" s="85"/>
      <c r="D197" s="85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85"/>
      <c r="C198" s="85"/>
      <c r="D198" s="85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85"/>
      <c r="C199" s="85"/>
      <c r="D199" s="85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85"/>
      <c r="C200" s="85"/>
      <c r="D200" s="85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85"/>
      <c r="C201" s="85"/>
      <c r="D201" s="85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85"/>
      <c r="C202" s="85"/>
      <c r="D202" s="85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85"/>
      <c r="C203" s="85"/>
      <c r="D203" s="85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85"/>
      <c r="C204" s="85"/>
      <c r="D204" s="85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85"/>
      <c r="C205" s="85"/>
      <c r="D205" s="85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85"/>
      <c r="C206" s="85"/>
      <c r="D206" s="85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85"/>
      <c r="C207" s="85"/>
      <c r="D207" s="85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85"/>
      <c r="C208" s="85"/>
      <c r="D208" s="85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85"/>
      <c r="C209" s="85"/>
      <c r="D209" s="85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85"/>
      <c r="C210" s="85"/>
      <c r="D210" s="85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85"/>
      <c r="C211" s="85"/>
      <c r="D211" s="85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85"/>
      <c r="C212" s="85"/>
      <c r="D212" s="85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85"/>
      <c r="C213" s="85"/>
      <c r="D213" s="85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85"/>
      <c r="C214" s="85"/>
      <c r="D214" s="85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85"/>
      <c r="C215" s="85"/>
      <c r="D215" s="85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85"/>
      <c r="C216" s="85"/>
      <c r="D216" s="85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85"/>
      <c r="C217" s="85"/>
      <c r="D217" s="85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85"/>
      <c r="C218" s="85"/>
      <c r="D218" s="85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85"/>
      <c r="C219" s="85"/>
      <c r="D219" s="85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85"/>
      <c r="C220" s="85"/>
      <c r="D220" s="85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85"/>
      <c r="C221" s="85"/>
      <c r="D221" s="85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85"/>
      <c r="C222" s="85"/>
      <c r="D222" s="85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85"/>
      <c r="C223" s="85"/>
      <c r="D223" s="85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85"/>
      <c r="C224" s="85"/>
      <c r="D224" s="85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85"/>
      <c r="C225" s="85"/>
      <c r="D225" s="85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85"/>
      <c r="C226" s="85"/>
      <c r="D226" s="85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85"/>
      <c r="C227" s="85"/>
      <c r="D227" s="85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85"/>
      <c r="C228" s="85"/>
      <c r="D228" s="85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85"/>
      <c r="C229" s="85"/>
      <c r="D229" s="85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85"/>
      <c r="C230" s="85"/>
      <c r="D230" s="85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85"/>
      <c r="C231" s="85"/>
      <c r="D231" s="85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85"/>
      <c r="C232" s="85"/>
      <c r="D232" s="85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85"/>
      <c r="C233" s="85"/>
      <c r="D233" s="85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85"/>
      <c r="C234" s="85"/>
      <c r="D234" s="85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85"/>
      <c r="C235" s="85"/>
      <c r="D235" s="85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85"/>
      <c r="C236" s="85"/>
      <c r="D236" s="85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85"/>
      <c r="C237" s="85"/>
      <c r="D237" s="85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85"/>
      <c r="C238" s="85"/>
      <c r="D238" s="85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85"/>
      <c r="C239" s="85"/>
      <c r="D239" s="85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85"/>
      <c r="C240" s="85"/>
      <c r="D240" s="85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85"/>
      <c r="C241" s="85"/>
      <c r="D241" s="85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85"/>
      <c r="C242" s="85"/>
      <c r="D242" s="85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85"/>
      <c r="C243" s="85"/>
      <c r="D243" s="85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85"/>
      <c r="C244" s="85"/>
      <c r="D244" s="85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85"/>
      <c r="C245" s="85"/>
      <c r="D245" s="85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85"/>
      <c r="C246" s="85"/>
      <c r="D246" s="85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85"/>
      <c r="C247" s="85"/>
      <c r="D247" s="85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85"/>
      <c r="C248" s="85"/>
      <c r="D248" s="85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85"/>
      <c r="C249" s="85"/>
      <c r="D249" s="85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85"/>
      <c r="C250" s="85"/>
      <c r="D250" s="85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85"/>
      <c r="C251" s="85"/>
      <c r="D251" s="85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85"/>
      <c r="C252" s="85"/>
      <c r="D252" s="85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85"/>
      <c r="C253" s="85"/>
      <c r="D253" s="85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85"/>
      <c r="C254" s="85"/>
      <c r="D254" s="85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85"/>
      <c r="C255" s="85"/>
      <c r="D255" s="85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85"/>
      <c r="C256" s="85"/>
      <c r="D256" s="85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85"/>
      <c r="C257" s="85"/>
      <c r="D257" s="85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85"/>
      <c r="C258" s="85"/>
      <c r="D258" s="85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85"/>
      <c r="C259" s="85"/>
      <c r="D259" s="85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85"/>
      <c r="C260" s="85"/>
      <c r="D260" s="85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85"/>
      <c r="C261" s="85"/>
      <c r="D261" s="85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85"/>
      <c r="C262" s="85"/>
      <c r="D262" s="85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85"/>
      <c r="C263" s="85"/>
      <c r="D263" s="85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85"/>
      <c r="C264" s="85"/>
      <c r="D264" s="85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85"/>
      <c r="C265" s="85"/>
      <c r="D265" s="85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85"/>
      <c r="C266" s="85"/>
      <c r="D266" s="85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85"/>
      <c r="C267" s="85"/>
      <c r="D267" s="85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85"/>
      <c r="C268" s="85"/>
      <c r="D268" s="85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85"/>
      <c r="C269" s="85"/>
      <c r="D269" s="85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85"/>
      <c r="C270" s="85"/>
      <c r="D270" s="85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85"/>
      <c r="C271" s="85"/>
      <c r="D271" s="85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85"/>
      <c r="C272" s="85"/>
      <c r="D272" s="85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85"/>
      <c r="C273" s="85"/>
      <c r="D273" s="85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85"/>
      <c r="C274" s="85"/>
      <c r="D274" s="85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85"/>
      <c r="C275" s="85"/>
      <c r="D275" s="85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85"/>
      <c r="C276" s="85"/>
      <c r="D276" s="85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85"/>
      <c r="C277" s="85"/>
      <c r="D277" s="85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</sheetData>
  <mergeCells count="45">
    <mergeCell ref="B27:B29"/>
    <mergeCell ref="D27:E27"/>
    <mergeCell ref="F27:G27"/>
    <mergeCell ref="H27:P27"/>
    <mergeCell ref="D28:E28"/>
    <mergeCell ref="F28:G28"/>
    <mergeCell ref="H28:P28"/>
    <mergeCell ref="D29:E29"/>
    <mergeCell ref="F29:G29"/>
    <mergeCell ref="H29:P29"/>
    <mergeCell ref="B21:D21"/>
    <mergeCell ref="B22:X22"/>
    <mergeCell ref="D23:E23"/>
    <mergeCell ref="F23:G23"/>
    <mergeCell ref="H23:P23"/>
    <mergeCell ref="B24:B26"/>
    <mergeCell ref="D24:E24"/>
    <mergeCell ref="F24:G24"/>
    <mergeCell ref="H24:P24"/>
    <mergeCell ref="D25:E25"/>
    <mergeCell ref="F25:G25"/>
    <mergeCell ref="H25:P25"/>
    <mergeCell ref="D26:E26"/>
    <mergeCell ref="F26:G26"/>
    <mergeCell ref="H26:P26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7"/>
  <sheetViews>
    <sheetView workbookViewId="0">
      <selection activeCell="Z24" sqref="Z24"/>
    </sheetView>
  </sheetViews>
  <sheetFormatPr defaultRowHeight="13.5" x14ac:dyDescent="0.3"/>
  <cols>
    <col min="1" max="1" width="1.625" style="85" customWidth="1"/>
    <col min="2" max="2" width="4.625" style="85" bestFit="1" customWidth="1"/>
    <col min="3" max="3" width="7.625" style="85" bestFit="1" customWidth="1"/>
    <col min="4" max="4" width="8" style="85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85" customWidth="1"/>
    <col min="26" max="26" width="8.375" style="85" customWidth="1"/>
    <col min="27" max="27" width="7.25" style="85" customWidth="1"/>
    <col min="28" max="28" width="3.875" style="85" customWidth="1"/>
    <col min="29" max="29" width="0.5" style="85" customWidth="1"/>
    <col min="30" max="257" width="9" style="85"/>
    <col min="258" max="258" width="4.625" style="85" bestFit="1" customWidth="1"/>
    <col min="259" max="259" width="7.5" style="85" bestFit="1" customWidth="1"/>
    <col min="260" max="260" width="6.25" style="85" customWidth="1"/>
    <col min="261" max="261" width="11" style="85" bestFit="1" customWidth="1"/>
    <col min="262" max="263" width="9.625" style="85" bestFit="1" customWidth="1"/>
    <col min="264" max="264" width="8.25" style="85" bestFit="1" customWidth="1"/>
    <col min="265" max="266" width="9.625" style="85" bestFit="1" customWidth="1"/>
    <col min="267" max="267" width="8.25" style="85" bestFit="1" customWidth="1"/>
    <col min="268" max="269" width="9.625" style="85" bestFit="1" customWidth="1"/>
    <col min="270" max="271" width="8.25" style="85" bestFit="1" customWidth="1"/>
    <col min="272" max="272" width="11" style="85" bestFit="1" customWidth="1"/>
    <col min="273" max="273" width="8" style="85" bestFit="1" customWidth="1"/>
    <col min="274" max="274" width="7.75" style="85" bestFit="1" customWidth="1"/>
    <col min="275" max="276" width="9.625" style="85" bestFit="1" customWidth="1"/>
    <col min="277" max="278" width="9.625" style="85" customWidth="1"/>
    <col min="279" max="279" width="9.25" style="85" bestFit="1" customWidth="1"/>
    <col min="280" max="280" width="11" style="85" bestFit="1" customWidth="1"/>
    <col min="281" max="513" width="9" style="85"/>
    <col min="514" max="514" width="4.625" style="85" bestFit="1" customWidth="1"/>
    <col min="515" max="515" width="7.5" style="85" bestFit="1" customWidth="1"/>
    <col min="516" max="516" width="6.25" style="85" customWidth="1"/>
    <col min="517" max="517" width="11" style="85" bestFit="1" customWidth="1"/>
    <col min="518" max="519" width="9.625" style="85" bestFit="1" customWidth="1"/>
    <col min="520" max="520" width="8.25" style="85" bestFit="1" customWidth="1"/>
    <col min="521" max="522" width="9.625" style="85" bestFit="1" customWidth="1"/>
    <col min="523" max="523" width="8.25" style="85" bestFit="1" customWidth="1"/>
    <col min="524" max="525" width="9.625" style="85" bestFit="1" customWidth="1"/>
    <col min="526" max="527" width="8.25" style="85" bestFit="1" customWidth="1"/>
    <col min="528" max="528" width="11" style="85" bestFit="1" customWidth="1"/>
    <col min="529" max="529" width="8" style="85" bestFit="1" customWidth="1"/>
    <col min="530" max="530" width="7.75" style="85" bestFit="1" customWidth="1"/>
    <col min="531" max="532" width="9.625" style="85" bestFit="1" customWidth="1"/>
    <col min="533" max="534" width="9.625" style="85" customWidth="1"/>
    <col min="535" max="535" width="9.25" style="85" bestFit="1" customWidth="1"/>
    <col min="536" max="536" width="11" style="85" bestFit="1" customWidth="1"/>
    <col min="537" max="769" width="9" style="85"/>
    <col min="770" max="770" width="4.625" style="85" bestFit="1" customWidth="1"/>
    <col min="771" max="771" width="7.5" style="85" bestFit="1" customWidth="1"/>
    <col min="772" max="772" width="6.25" style="85" customWidth="1"/>
    <col min="773" max="773" width="11" style="85" bestFit="1" customWidth="1"/>
    <col min="774" max="775" width="9.625" style="85" bestFit="1" customWidth="1"/>
    <col min="776" max="776" width="8.25" style="85" bestFit="1" customWidth="1"/>
    <col min="777" max="778" width="9.625" style="85" bestFit="1" customWidth="1"/>
    <col min="779" max="779" width="8.25" style="85" bestFit="1" customWidth="1"/>
    <col min="780" max="781" width="9.625" style="85" bestFit="1" customWidth="1"/>
    <col min="782" max="783" width="8.25" style="85" bestFit="1" customWidth="1"/>
    <col min="784" max="784" width="11" style="85" bestFit="1" customWidth="1"/>
    <col min="785" max="785" width="8" style="85" bestFit="1" customWidth="1"/>
    <col min="786" max="786" width="7.75" style="85" bestFit="1" customWidth="1"/>
    <col min="787" max="788" width="9.625" style="85" bestFit="1" customWidth="1"/>
    <col min="789" max="790" width="9.625" style="85" customWidth="1"/>
    <col min="791" max="791" width="9.25" style="85" bestFit="1" customWidth="1"/>
    <col min="792" max="792" width="11" style="85" bestFit="1" customWidth="1"/>
    <col min="793" max="1025" width="9" style="85"/>
    <col min="1026" max="1026" width="4.625" style="85" bestFit="1" customWidth="1"/>
    <col min="1027" max="1027" width="7.5" style="85" bestFit="1" customWidth="1"/>
    <col min="1028" max="1028" width="6.25" style="85" customWidth="1"/>
    <col min="1029" max="1029" width="11" style="85" bestFit="1" customWidth="1"/>
    <col min="1030" max="1031" width="9.625" style="85" bestFit="1" customWidth="1"/>
    <col min="1032" max="1032" width="8.25" style="85" bestFit="1" customWidth="1"/>
    <col min="1033" max="1034" width="9.625" style="85" bestFit="1" customWidth="1"/>
    <col min="1035" max="1035" width="8.25" style="85" bestFit="1" customWidth="1"/>
    <col min="1036" max="1037" width="9.625" style="85" bestFit="1" customWidth="1"/>
    <col min="1038" max="1039" width="8.25" style="85" bestFit="1" customWidth="1"/>
    <col min="1040" max="1040" width="11" style="85" bestFit="1" customWidth="1"/>
    <col min="1041" max="1041" width="8" style="85" bestFit="1" customWidth="1"/>
    <col min="1042" max="1042" width="7.75" style="85" bestFit="1" customWidth="1"/>
    <col min="1043" max="1044" width="9.625" style="85" bestFit="1" customWidth="1"/>
    <col min="1045" max="1046" width="9.625" style="85" customWidth="1"/>
    <col min="1047" max="1047" width="9.25" style="85" bestFit="1" customWidth="1"/>
    <col min="1048" max="1048" width="11" style="85" bestFit="1" customWidth="1"/>
    <col min="1049" max="1281" width="9" style="85"/>
    <col min="1282" max="1282" width="4.625" style="85" bestFit="1" customWidth="1"/>
    <col min="1283" max="1283" width="7.5" style="85" bestFit="1" customWidth="1"/>
    <col min="1284" max="1284" width="6.25" style="85" customWidth="1"/>
    <col min="1285" max="1285" width="11" style="85" bestFit="1" customWidth="1"/>
    <col min="1286" max="1287" width="9.625" style="85" bestFit="1" customWidth="1"/>
    <col min="1288" max="1288" width="8.25" style="85" bestFit="1" customWidth="1"/>
    <col min="1289" max="1290" width="9.625" style="85" bestFit="1" customWidth="1"/>
    <col min="1291" max="1291" width="8.25" style="85" bestFit="1" customWidth="1"/>
    <col min="1292" max="1293" width="9.625" style="85" bestFit="1" customWidth="1"/>
    <col min="1294" max="1295" width="8.25" style="85" bestFit="1" customWidth="1"/>
    <col min="1296" max="1296" width="11" style="85" bestFit="1" customWidth="1"/>
    <col min="1297" max="1297" width="8" style="85" bestFit="1" customWidth="1"/>
    <col min="1298" max="1298" width="7.75" style="85" bestFit="1" customWidth="1"/>
    <col min="1299" max="1300" width="9.625" style="85" bestFit="1" customWidth="1"/>
    <col min="1301" max="1302" width="9.625" style="85" customWidth="1"/>
    <col min="1303" max="1303" width="9.25" style="85" bestFit="1" customWidth="1"/>
    <col min="1304" max="1304" width="11" style="85" bestFit="1" customWidth="1"/>
    <col min="1305" max="1537" width="9" style="85"/>
    <col min="1538" max="1538" width="4.625" style="85" bestFit="1" customWidth="1"/>
    <col min="1539" max="1539" width="7.5" style="85" bestFit="1" customWidth="1"/>
    <col min="1540" max="1540" width="6.25" style="85" customWidth="1"/>
    <col min="1541" max="1541" width="11" style="85" bestFit="1" customWidth="1"/>
    <col min="1542" max="1543" width="9.625" style="85" bestFit="1" customWidth="1"/>
    <col min="1544" max="1544" width="8.25" style="85" bestFit="1" customWidth="1"/>
    <col min="1545" max="1546" width="9.625" style="85" bestFit="1" customWidth="1"/>
    <col min="1547" max="1547" width="8.25" style="85" bestFit="1" customWidth="1"/>
    <col min="1548" max="1549" width="9.625" style="85" bestFit="1" customWidth="1"/>
    <col min="1550" max="1551" width="8.25" style="85" bestFit="1" customWidth="1"/>
    <col min="1552" max="1552" width="11" style="85" bestFit="1" customWidth="1"/>
    <col min="1553" max="1553" width="8" style="85" bestFit="1" customWidth="1"/>
    <col min="1554" max="1554" width="7.75" style="85" bestFit="1" customWidth="1"/>
    <col min="1555" max="1556" width="9.625" style="85" bestFit="1" customWidth="1"/>
    <col min="1557" max="1558" width="9.625" style="85" customWidth="1"/>
    <col min="1559" max="1559" width="9.25" style="85" bestFit="1" customWidth="1"/>
    <col min="1560" max="1560" width="11" style="85" bestFit="1" customWidth="1"/>
    <col min="1561" max="1793" width="9" style="85"/>
    <col min="1794" max="1794" width="4.625" style="85" bestFit="1" customWidth="1"/>
    <col min="1795" max="1795" width="7.5" style="85" bestFit="1" customWidth="1"/>
    <col min="1796" max="1796" width="6.25" style="85" customWidth="1"/>
    <col min="1797" max="1797" width="11" style="85" bestFit="1" customWidth="1"/>
    <col min="1798" max="1799" width="9.625" style="85" bestFit="1" customWidth="1"/>
    <col min="1800" max="1800" width="8.25" style="85" bestFit="1" customWidth="1"/>
    <col min="1801" max="1802" width="9.625" style="85" bestFit="1" customWidth="1"/>
    <col min="1803" max="1803" width="8.25" style="85" bestFit="1" customWidth="1"/>
    <col min="1804" max="1805" width="9.625" style="85" bestFit="1" customWidth="1"/>
    <col min="1806" max="1807" width="8.25" style="85" bestFit="1" customWidth="1"/>
    <col min="1808" max="1808" width="11" style="85" bestFit="1" customWidth="1"/>
    <col min="1809" max="1809" width="8" style="85" bestFit="1" customWidth="1"/>
    <col min="1810" max="1810" width="7.75" style="85" bestFit="1" customWidth="1"/>
    <col min="1811" max="1812" width="9.625" style="85" bestFit="1" customWidth="1"/>
    <col min="1813" max="1814" width="9.625" style="85" customWidth="1"/>
    <col min="1815" max="1815" width="9.25" style="85" bestFit="1" customWidth="1"/>
    <col min="1816" max="1816" width="11" style="85" bestFit="1" customWidth="1"/>
    <col min="1817" max="2049" width="9" style="85"/>
    <col min="2050" max="2050" width="4.625" style="85" bestFit="1" customWidth="1"/>
    <col min="2051" max="2051" width="7.5" style="85" bestFit="1" customWidth="1"/>
    <col min="2052" max="2052" width="6.25" style="85" customWidth="1"/>
    <col min="2053" max="2053" width="11" style="85" bestFit="1" customWidth="1"/>
    <col min="2054" max="2055" width="9.625" style="85" bestFit="1" customWidth="1"/>
    <col min="2056" max="2056" width="8.25" style="85" bestFit="1" customWidth="1"/>
    <col min="2057" max="2058" width="9.625" style="85" bestFit="1" customWidth="1"/>
    <col min="2059" max="2059" width="8.25" style="85" bestFit="1" customWidth="1"/>
    <col min="2060" max="2061" width="9.625" style="85" bestFit="1" customWidth="1"/>
    <col min="2062" max="2063" width="8.25" style="85" bestFit="1" customWidth="1"/>
    <col min="2064" max="2064" width="11" style="85" bestFit="1" customWidth="1"/>
    <col min="2065" max="2065" width="8" style="85" bestFit="1" customWidth="1"/>
    <col min="2066" max="2066" width="7.75" style="85" bestFit="1" customWidth="1"/>
    <col min="2067" max="2068" width="9.625" style="85" bestFit="1" customWidth="1"/>
    <col min="2069" max="2070" width="9.625" style="85" customWidth="1"/>
    <col min="2071" max="2071" width="9.25" style="85" bestFit="1" customWidth="1"/>
    <col min="2072" max="2072" width="11" style="85" bestFit="1" customWidth="1"/>
    <col min="2073" max="2305" width="9" style="85"/>
    <col min="2306" max="2306" width="4.625" style="85" bestFit="1" customWidth="1"/>
    <col min="2307" max="2307" width="7.5" style="85" bestFit="1" customWidth="1"/>
    <col min="2308" max="2308" width="6.25" style="85" customWidth="1"/>
    <col min="2309" max="2309" width="11" style="85" bestFit="1" customWidth="1"/>
    <col min="2310" max="2311" width="9.625" style="85" bestFit="1" customWidth="1"/>
    <col min="2312" max="2312" width="8.25" style="85" bestFit="1" customWidth="1"/>
    <col min="2313" max="2314" width="9.625" style="85" bestFit="1" customWidth="1"/>
    <col min="2315" max="2315" width="8.25" style="85" bestFit="1" customWidth="1"/>
    <col min="2316" max="2317" width="9.625" style="85" bestFit="1" customWidth="1"/>
    <col min="2318" max="2319" width="8.25" style="85" bestFit="1" customWidth="1"/>
    <col min="2320" max="2320" width="11" style="85" bestFit="1" customWidth="1"/>
    <col min="2321" max="2321" width="8" style="85" bestFit="1" customWidth="1"/>
    <col min="2322" max="2322" width="7.75" style="85" bestFit="1" customWidth="1"/>
    <col min="2323" max="2324" width="9.625" style="85" bestFit="1" customWidth="1"/>
    <col min="2325" max="2326" width="9.625" style="85" customWidth="1"/>
    <col min="2327" max="2327" width="9.25" style="85" bestFit="1" customWidth="1"/>
    <col min="2328" max="2328" width="11" style="85" bestFit="1" customWidth="1"/>
    <col min="2329" max="2561" width="9" style="85"/>
    <col min="2562" max="2562" width="4.625" style="85" bestFit="1" customWidth="1"/>
    <col min="2563" max="2563" width="7.5" style="85" bestFit="1" customWidth="1"/>
    <col min="2564" max="2564" width="6.25" style="85" customWidth="1"/>
    <col min="2565" max="2565" width="11" style="85" bestFit="1" customWidth="1"/>
    <col min="2566" max="2567" width="9.625" style="85" bestFit="1" customWidth="1"/>
    <col min="2568" max="2568" width="8.25" style="85" bestFit="1" customWidth="1"/>
    <col min="2569" max="2570" width="9.625" style="85" bestFit="1" customWidth="1"/>
    <col min="2571" max="2571" width="8.25" style="85" bestFit="1" customWidth="1"/>
    <col min="2572" max="2573" width="9.625" style="85" bestFit="1" customWidth="1"/>
    <col min="2574" max="2575" width="8.25" style="85" bestFit="1" customWidth="1"/>
    <col min="2576" max="2576" width="11" style="85" bestFit="1" customWidth="1"/>
    <col min="2577" max="2577" width="8" style="85" bestFit="1" customWidth="1"/>
    <col min="2578" max="2578" width="7.75" style="85" bestFit="1" customWidth="1"/>
    <col min="2579" max="2580" width="9.625" style="85" bestFit="1" customWidth="1"/>
    <col min="2581" max="2582" width="9.625" style="85" customWidth="1"/>
    <col min="2583" max="2583" width="9.25" style="85" bestFit="1" customWidth="1"/>
    <col min="2584" max="2584" width="11" style="85" bestFit="1" customWidth="1"/>
    <col min="2585" max="2817" width="9" style="85"/>
    <col min="2818" max="2818" width="4.625" style="85" bestFit="1" customWidth="1"/>
    <col min="2819" max="2819" width="7.5" style="85" bestFit="1" customWidth="1"/>
    <col min="2820" max="2820" width="6.25" style="85" customWidth="1"/>
    <col min="2821" max="2821" width="11" style="85" bestFit="1" customWidth="1"/>
    <col min="2822" max="2823" width="9.625" style="85" bestFit="1" customWidth="1"/>
    <col min="2824" max="2824" width="8.25" style="85" bestFit="1" customWidth="1"/>
    <col min="2825" max="2826" width="9.625" style="85" bestFit="1" customWidth="1"/>
    <col min="2827" max="2827" width="8.25" style="85" bestFit="1" customWidth="1"/>
    <col min="2828" max="2829" width="9.625" style="85" bestFit="1" customWidth="1"/>
    <col min="2830" max="2831" width="8.25" style="85" bestFit="1" customWidth="1"/>
    <col min="2832" max="2832" width="11" style="85" bestFit="1" customWidth="1"/>
    <col min="2833" max="2833" width="8" style="85" bestFit="1" customWidth="1"/>
    <col min="2834" max="2834" width="7.75" style="85" bestFit="1" customWidth="1"/>
    <col min="2835" max="2836" width="9.625" style="85" bestFit="1" customWidth="1"/>
    <col min="2837" max="2838" width="9.625" style="85" customWidth="1"/>
    <col min="2839" max="2839" width="9.25" style="85" bestFit="1" customWidth="1"/>
    <col min="2840" max="2840" width="11" style="85" bestFit="1" customWidth="1"/>
    <col min="2841" max="3073" width="9" style="85"/>
    <col min="3074" max="3074" width="4.625" style="85" bestFit="1" customWidth="1"/>
    <col min="3075" max="3075" width="7.5" style="85" bestFit="1" customWidth="1"/>
    <col min="3076" max="3076" width="6.25" style="85" customWidth="1"/>
    <col min="3077" max="3077" width="11" style="85" bestFit="1" customWidth="1"/>
    <col min="3078" max="3079" width="9.625" style="85" bestFit="1" customWidth="1"/>
    <col min="3080" max="3080" width="8.25" style="85" bestFit="1" customWidth="1"/>
    <col min="3081" max="3082" width="9.625" style="85" bestFit="1" customWidth="1"/>
    <col min="3083" max="3083" width="8.25" style="85" bestFit="1" customWidth="1"/>
    <col min="3084" max="3085" width="9.625" style="85" bestFit="1" customWidth="1"/>
    <col min="3086" max="3087" width="8.25" style="85" bestFit="1" customWidth="1"/>
    <col min="3088" max="3088" width="11" style="85" bestFit="1" customWidth="1"/>
    <col min="3089" max="3089" width="8" style="85" bestFit="1" customWidth="1"/>
    <col min="3090" max="3090" width="7.75" style="85" bestFit="1" customWidth="1"/>
    <col min="3091" max="3092" width="9.625" style="85" bestFit="1" customWidth="1"/>
    <col min="3093" max="3094" width="9.625" style="85" customWidth="1"/>
    <col min="3095" max="3095" width="9.25" style="85" bestFit="1" customWidth="1"/>
    <col min="3096" max="3096" width="11" style="85" bestFit="1" customWidth="1"/>
    <col min="3097" max="3329" width="9" style="85"/>
    <col min="3330" max="3330" width="4.625" style="85" bestFit="1" customWidth="1"/>
    <col min="3331" max="3331" width="7.5" style="85" bestFit="1" customWidth="1"/>
    <col min="3332" max="3332" width="6.25" style="85" customWidth="1"/>
    <col min="3333" max="3333" width="11" style="85" bestFit="1" customWidth="1"/>
    <col min="3334" max="3335" width="9.625" style="85" bestFit="1" customWidth="1"/>
    <col min="3336" max="3336" width="8.25" style="85" bestFit="1" customWidth="1"/>
    <col min="3337" max="3338" width="9.625" style="85" bestFit="1" customWidth="1"/>
    <col min="3339" max="3339" width="8.25" style="85" bestFit="1" customWidth="1"/>
    <col min="3340" max="3341" width="9.625" style="85" bestFit="1" customWidth="1"/>
    <col min="3342" max="3343" width="8.25" style="85" bestFit="1" customWidth="1"/>
    <col min="3344" max="3344" width="11" style="85" bestFit="1" customWidth="1"/>
    <col min="3345" max="3345" width="8" style="85" bestFit="1" customWidth="1"/>
    <col min="3346" max="3346" width="7.75" style="85" bestFit="1" customWidth="1"/>
    <col min="3347" max="3348" width="9.625" style="85" bestFit="1" customWidth="1"/>
    <col min="3349" max="3350" width="9.625" style="85" customWidth="1"/>
    <col min="3351" max="3351" width="9.25" style="85" bestFit="1" customWidth="1"/>
    <col min="3352" max="3352" width="11" style="85" bestFit="1" customWidth="1"/>
    <col min="3353" max="3585" width="9" style="85"/>
    <col min="3586" max="3586" width="4.625" style="85" bestFit="1" customWidth="1"/>
    <col min="3587" max="3587" width="7.5" style="85" bestFit="1" customWidth="1"/>
    <col min="3588" max="3588" width="6.25" style="85" customWidth="1"/>
    <col min="3589" max="3589" width="11" style="85" bestFit="1" customWidth="1"/>
    <col min="3590" max="3591" width="9.625" style="85" bestFit="1" customWidth="1"/>
    <col min="3592" max="3592" width="8.25" style="85" bestFit="1" customWidth="1"/>
    <col min="3593" max="3594" width="9.625" style="85" bestFit="1" customWidth="1"/>
    <col min="3595" max="3595" width="8.25" style="85" bestFit="1" customWidth="1"/>
    <col min="3596" max="3597" width="9.625" style="85" bestFit="1" customWidth="1"/>
    <col min="3598" max="3599" width="8.25" style="85" bestFit="1" customWidth="1"/>
    <col min="3600" max="3600" width="11" style="85" bestFit="1" customWidth="1"/>
    <col min="3601" max="3601" width="8" style="85" bestFit="1" customWidth="1"/>
    <col min="3602" max="3602" width="7.75" style="85" bestFit="1" customWidth="1"/>
    <col min="3603" max="3604" width="9.625" style="85" bestFit="1" customWidth="1"/>
    <col min="3605" max="3606" width="9.625" style="85" customWidth="1"/>
    <col min="3607" max="3607" width="9.25" style="85" bestFit="1" customWidth="1"/>
    <col min="3608" max="3608" width="11" style="85" bestFit="1" customWidth="1"/>
    <col min="3609" max="3841" width="9" style="85"/>
    <col min="3842" max="3842" width="4.625" style="85" bestFit="1" customWidth="1"/>
    <col min="3843" max="3843" width="7.5" style="85" bestFit="1" customWidth="1"/>
    <col min="3844" max="3844" width="6.25" style="85" customWidth="1"/>
    <col min="3845" max="3845" width="11" style="85" bestFit="1" customWidth="1"/>
    <col min="3846" max="3847" width="9.625" style="85" bestFit="1" customWidth="1"/>
    <col min="3848" max="3848" width="8.25" style="85" bestFit="1" customWidth="1"/>
    <col min="3849" max="3850" width="9.625" style="85" bestFit="1" customWidth="1"/>
    <col min="3851" max="3851" width="8.25" style="85" bestFit="1" customWidth="1"/>
    <col min="3852" max="3853" width="9.625" style="85" bestFit="1" customWidth="1"/>
    <col min="3854" max="3855" width="8.25" style="85" bestFit="1" customWidth="1"/>
    <col min="3856" max="3856" width="11" style="85" bestFit="1" customWidth="1"/>
    <col min="3857" max="3857" width="8" style="85" bestFit="1" customWidth="1"/>
    <col min="3858" max="3858" width="7.75" style="85" bestFit="1" customWidth="1"/>
    <col min="3859" max="3860" width="9.625" style="85" bestFit="1" customWidth="1"/>
    <col min="3861" max="3862" width="9.625" style="85" customWidth="1"/>
    <col min="3863" max="3863" width="9.25" style="85" bestFit="1" customWidth="1"/>
    <col min="3864" max="3864" width="11" style="85" bestFit="1" customWidth="1"/>
    <col min="3865" max="4097" width="9" style="85"/>
    <col min="4098" max="4098" width="4.625" style="85" bestFit="1" customWidth="1"/>
    <col min="4099" max="4099" width="7.5" style="85" bestFit="1" customWidth="1"/>
    <col min="4100" max="4100" width="6.25" style="85" customWidth="1"/>
    <col min="4101" max="4101" width="11" style="85" bestFit="1" customWidth="1"/>
    <col min="4102" max="4103" width="9.625" style="85" bestFit="1" customWidth="1"/>
    <col min="4104" max="4104" width="8.25" style="85" bestFit="1" customWidth="1"/>
    <col min="4105" max="4106" width="9.625" style="85" bestFit="1" customWidth="1"/>
    <col min="4107" max="4107" width="8.25" style="85" bestFit="1" customWidth="1"/>
    <col min="4108" max="4109" width="9.625" style="85" bestFit="1" customWidth="1"/>
    <col min="4110" max="4111" width="8.25" style="85" bestFit="1" customWidth="1"/>
    <col min="4112" max="4112" width="11" style="85" bestFit="1" customWidth="1"/>
    <col min="4113" max="4113" width="8" style="85" bestFit="1" customWidth="1"/>
    <col min="4114" max="4114" width="7.75" style="85" bestFit="1" customWidth="1"/>
    <col min="4115" max="4116" width="9.625" style="85" bestFit="1" customWidth="1"/>
    <col min="4117" max="4118" width="9.625" style="85" customWidth="1"/>
    <col min="4119" max="4119" width="9.25" style="85" bestFit="1" customWidth="1"/>
    <col min="4120" max="4120" width="11" style="85" bestFit="1" customWidth="1"/>
    <col min="4121" max="4353" width="9" style="85"/>
    <col min="4354" max="4354" width="4.625" style="85" bestFit="1" customWidth="1"/>
    <col min="4355" max="4355" width="7.5" style="85" bestFit="1" customWidth="1"/>
    <col min="4356" max="4356" width="6.25" style="85" customWidth="1"/>
    <col min="4357" max="4357" width="11" style="85" bestFit="1" customWidth="1"/>
    <col min="4358" max="4359" width="9.625" style="85" bestFit="1" customWidth="1"/>
    <col min="4360" max="4360" width="8.25" style="85" bestFit="1" customWidth="1"/>
    <col min="4361" max="4362" width="9.625" style="85" bestFit="1" customWidth="1"/>
    <col min="4363" max="4363" width="8.25" style="85" bestFit="1" customWidth="1"/>
    <col min="4364" max="4365" width="9.625" style="85" bestFit="1" customWidth="1"/>
    <col min="4366" max="4367" width="8.25" style="85" bestFit="1" customWidth="1"/>
    <col min="4368" max="4368" width="11" style="85" bestFit="1" customWidth="1"/>
    <col min="4369" max="4369" width="8" style="85" bestFit="1" customWidth="1"/>
    <col min="4370" max="4370" width="7.75" style="85" bestFit="1" customWidth="1"/>
    <col min="4371" max="4372" width="9.625" style="85" bestFit="1" customWidth="1"/>
    <col min="4373" max="4374" width="9.625" style="85" customWidth="1"/>
    <col min="4375" max="4375" width="9.25" style="85" bestFit="1" customWidth="1"/>
    <col min="4376" max="4376" width="11" style="85" bestFit="1" customWidth="1"/>
    <col min="4377" max="4609" width="9" style="85"/>
    <col min="4610" max="4610" width="4.625" style="85" bestFit="1" customWidth="1"/>
    <col min="4611" max="4611" width="7.5" style="85" bestFit="1" customWidth="1"/>
    <col min="4612" max="4612" width="6.25" style="85" customWidth="1"/>
    <col min="4613" max="4613" width="11" style="85" bestFit="1" customWidth="1"/>
    <col min="4614" max="4615" width="9.625" style="85" bestFit="1" customWidth="1"/>
    <col min="4616" max="4616" width="8.25" style="85" bestFit="1" customWidth="1"/>
    <col min="4617" max="4618" width="9.625" style="85" bestFit="1" customWidth="1"/>
    <col min="4619" max="4619" width="8.25" style="85" bestFit="1" customWidth="1"/>
    <col min="4620" max="4621" width="9.625" style="85" bestFit="1" customWidth="1"/>
    <col min="4622" max="4623" width="8.25" style="85" bestFit="1" customWidth="1"/>
    <col min="4624" max="4624" width="11" style="85" bestFit="1" customWidth="1"/>
    <col min="4625" max="4625" width="8" style="85" bestFit="1" customWidth="1"/>
    <col min="4626" max="4626" width="7.75" style="85" bestFit="1" customWidth="1"/>
    <col min="4627" max="4628" width="9.625" style="85" bestFit="1" customWidth="1"/>
    <col min="4629" max="4630" width="9.625" style="85" customWidth="1"/>
    <col min="4631" max="4631" width="9.25" style="85" bestFit="1" customWidth="1"/>
    <col min="4632" max="4632" width="11" style="85" bestFit="1" customWidth="1"/>
    <col min="4633" max="4865" width="9" style="85"/>
    <col min="4866" max="4866" width="4.625" style="85" bestFit="1" customWidth="1"/>
    <col min="4867" max="4867" width="7.5" style="85" bestFit="1" customWidth="1"/>
    <col min="4868" max="4868" width="6.25" style="85" customWidth="1"/>
    <col min="4869" max="4869" width="11" style="85" bestFit="1" customWidth="1"/>
    <col min="4870" max="4871" width="9.625" style="85" bestFit="1" customWidth="1"/>
    <col min="4872" max="4872" width="8.25" style="85" bestFit="1" customWidth="1"/>
    <col min="4873" max="4874" width="9.625" style="85" bestFit="1" customWidth="1"/>
    <col min="4875" max="4875" width="8.25" style="85" bestFit="1" customWidth="1"/>
    <col min="4876" max="4877" width="9.625" style="85" bestFit="1" customWidth="1"/>
    <col min="4878" max="4879" width="8.25" style="85" bestFit="1" customWidth="1"/>
    <col min="4880" max="4880" width="11" style="85" bestFit="1" customWidth="1"/>
    <col min="4881" max="4881" width="8" style="85" bestFit="1" customWidth="1"/>
    <col min="4882" max="4882" width="7.75" style="85" bestFit="1" customWidth="1"/>
    <col min="4883" max="4884" width="9.625" style="85" bestFit="1" customWidth="1"/>
    <col min="4885" max="4886" width="9.625" style="85" customWidth="1"/>
    <col min="4887" max="4887" width="9.25" style="85" bestFit="1" customWidth="1"/>
    <col min="4888" max="4888" width="11" style="85" bestFit="1" customWidth="1"/>
    <col min="4889" max="5121" width="9" style="85"/>
    <col min="5122" max="5122" width="4.625" style="85" bestFit="1" customWidth="1"/>
    <col min="5123" max="5123" width="7.5" style="85" bestFit="1" customWidth="1"/>
    <col min="5124" max="5124" width="6.25" style="85" customWidth="1"/>
    <col min="5125" max="5125" width="11" style="85" bestFit="1" customWidth="1"/>
    <col min="5126" max="5127" width="9.625" style="85" bestFit="1" customWidth="1"/>
    <col min="5128" max="5128" width="8.25" style="85" bestFit="1" customWidth="1"/>
    <col min="5129" max="5130" width="9.625" style="85" bestFit="1" customWidth="1"/>
    <col min="5131" max="5131" width="8.25" style="85" bestFit="1" customWidth="1"/>
    <col min="5132" max="5133" width="9.625" style="85" bestFit="1" customWidth="1"/>
    <col min="5134" max="5135" width="8.25" style="85" bestFit="1" customWidth="1"/>
    <col min="5136" max="5136" width="11" style="85" bestFit="1" customWidth="1"/>
    <col min="5137" max="5137" width="8" style="85" bestFit="1" customWidth="1"/>
    <col min="5138" max="5138" width="7.75" style="85" bestFit="1" customWidth="1"/>
    <col min="5139" max="5140" width="9.625" style="85" bestFit="1" customWidth="1"/>
    <col min="5141" max="5142" width="9.625" style="85" customWidth="1"/>
    <col min="5143" max="5143" width="9.25" style="85" bestFit="1" customWidth="1"/>
    <col min="5144" max="5144" width="11" style="85" bestFit="1" customWidth="1"/>
    <col min="5145" max="5377" width="9" style="85"/>
    <col min="5378" max="5378" width="4.625" style="85" bestFit="1" customWidth="1"/>
    <col min="5379" max="5379" width="7.5" style="85" bestFit="1" customWidth="1"/>
    <col min="5380" max="5380" width="6.25" style="85" customWidth="1"/>
    <col min="5381" max="5381" width="11" style="85" bestFit="1" customWidth="1"/>
    <col min="5382" max="5383" width="9.625" style="85" bestFit="1" customWidth="1"/>
    <col min="5384" max="5384" width="8.25" style="85" bestFit="1" customWidth="1"/>
    <col min="5385" max="5386" width="9.625" style="85" bestFit="1" customWidth="1"/>
    <col min="5387" max="5387" width="8.25" style="85" bestFit="1" customWidth="1"/>
    <col min="5388" max="5389" width="9.625" style="85" bestFit="1" customWidth="1"/>
    <col min="5390" max="5391" width="8.25" style="85" bestFit="1" customWidth="1"/>
    <col min="5392" max="5392" width="11" style="85" bestFit="1" customWidth="1"/>
    <col min="5393" max="5393" width="8" style="85" bestFit="1" customWidth="1"/>
    <col min="5394" max="5394" width="7.75" style="85" bestFit="1" customWidth="1"/>
    <col min="5395" max="5396" width="9.625" style="85" bestFit="1" customWidth="1"/>
    <col min="5397" max="5398" width="9.625" style="85" customWidth="1"/>
    <col min="5399" max="5399" width="9.25" style="85" bestFit="1" customWidth="1"/>
    <col min="5400" max="5400" width="11" style="85" bestFit="1" customWidth="1"/>
    <col min="5401" max="5633" width="9" style="85"/>
    <col min="5634" max="5634" width="4.625" style="85" bestFit="1" customWidth="1"/>
    <col min="5635" max="5635" width="7.5" style="85" bestFit="1" customWidth="1"/>
    <col min="5636" max="5636" width="6.25" style="85" customWidth="1"/>
    <col min="5637" max="5637" width="11" style="85" bestFit="1" customWidth="1"/>
    <col min="5638" max="5639" width="9.625" style="85" bestFit="1" customWidth="1"/>
    <col min="5640" max="5640" width="8.25" style="85" bestFit="1" customWidth="1"/>
    <col min="5641" max="5642" width="9.625" style="85" bestFit="1" customWidth="1"/>
    <col min="5643" max="5643" width="8.25" style="85" bestFit="1" customWidth="1"/>
    <col min="5644" max="5645" width="9.625" style="85" bestFit="1" customWidth="1"/>
    <col min="5646" max="5647" width="8.25" style="85" bestFit="1" customWidth="1"/>
    <col min="5648" max="5648" width="11" style="85" bestFit="1" customWidth="1"/>
    <col min="5649" max="5649" width="8" style="85" bestFit="1" customWidth="1"/>
    <col min="5650" max="5650" width="7.75" style="85" bestFit="1" customWidth="1"/>
    <col min="5651" max="5652" width="9.625" style="85" bestFit="1" customWidth="1"/>
    <col min="5653" max="5654" width="9.625" style="85" customWidth="1"/>
    <col min="5655" max="5655" width="9.25" style="85" bestFit="1" customWidth="1"/>
    <col min="5656" max="5656" width="11" style="85" bestFit="1" customWidth="1"/>
    <col min="5657" max="5889" width="9" style="85"/>
    <col min="5890" max="5890" width="4.625" style="85" bestFit="1" customWidth="1"/>
    <col min="5891" max="5891" width="7.5" style="85" bestFit="1" customWidth="1"/>
    <col min="5892" max="5892" width="6.25" style="85" customWidth="1"/>
    <col min="5893" max="5893" width="11" style="85" bestFit="1" customWidth="1"/>
    <col min="5894" max="5895" width="9.625" style="85" bestFit="1" customWidth="1"/>
    <col min="5896" max="5896" width="8.25" style="85" bestFit="1" customWidth="1"/>
    <col min="5897" max="5898" width="9.625" style="85" bestFit="1" customWidth="1"/>
    <col min="5899" max="5899" width="8.25" style="85" bestFit="1" customWidth="1"/>
    <col min="5900" max="5901" width="9.625" style="85" bestFit="1" customWidth="1"/>
    <col min="5902" max="5903" width="8.25" style="85" bestFit="1" customWidth="1"/>
    <col min="5904" max="5904" width="11" style="85" bestFit="1" customWidth="1"/>
    <col min="5905" max="5905" width="8" style="85" bestFit="1" customWidth="1"/>
    <col min="5906" max="5906" width="7.75" style="85" bestFit="1" customWidth="1"/>
    <col min="5907" max="5908" width="9.625" style="85" bestFit="1" customWidth="1"/>
    <col min="5909" max="5910" width="9.625" style="85" customWidth="1"/>
    <col min="5911" max="5911" width="9.25" style="85" bestFit="1" customWidth="1"/>
    <col min="5912" max="5912" width="11" style="85" bestFit="1" customWidth="1"/>
    <col min="5913" max="6145" width="9" style="85"/>
    <col min="6146" max="6146" width="4.625" style="85" bestFit="1" customWidth="1"/>
    <col min="6147" max="6147" width="7.5" style="85" bestFit="1" customWidth="1"/>
    <col min="6148" max="6148" width="6.25" style="85" customWidth="1"/>
    <col min="6149" max="6149" width="11" style="85" bestFit="1" customWidth="1"/>
    <col min="6150" max="6151" width="9.625" style="85" bestFit="1" customWidth="1"/>
    <col min="6152" max="6152" width="8.25" style="85" bestFit="1" customWidth="1"/>
    <col min="6153" max="6154" width="9.625" style="85" bestFit="1" customWidth="1"/>
    <col min="6155" max="6155" width="8.25" style="85" bestFit="1" customWidth="1"/>
    <col min="6156" max="6157" width="9.625" style="85" bestFit="1" customWidth="1"/>
    <col min="6158" max="6159" width="8.25" style="85" bestFit="1" customWidth="1"/>
    <col min="6160" max="6160" width="11" style="85" bestFit="1" customWidth="1"/>
    <col min="6161" max="6161" width="8" style="85" bestFit="1" customWidth="1"/>
    <col min="6162" max="6162" width="7.75" style="85" bestFit="1" customWidth="1"/>
    <col min="6163" max="6164" width="9.625" style="85" bestFit="1" customWidth="1"/>
    <col min="6165" max="6166" width="9.625" style="85" customWidth="1"/>
    <col min="6167" max="6167" width="9.25" style="85" bestFit="1" customWidth="1"/>
    <col min="6168" max="6168" width="11" style="85" bestFit="1" customWidth="1"/>
    <col min="6169" max="6401" width="9" style="85"/>
    <col min="6402" max="6402" width="4.625" style="85" bestFit="1" customWidth="1"/>
    <col min="6403" max="6403" width="7.5" style="85" bestFit="1" customWidth="1"/>
    <col min="6404" max="6404" width="6.25" style="85" customWidth="1"/>
    <col min="6405" max="6405" width="11" style="85" bestFit="1" customWidth="1"/>
    <col min="6406" max="6407" width="9.625" style="85" bestFit="1" customWidth="1"/>
    <col min="6408" max="6408" width="8.25" style="85" bestFit="1" customWidth="1"/>
    <col min="6409" max="6410" width="9.625" style="85" bestFit="1" customWidth="1"/>
    <col min="6411" max="6411" width="8.25" style="85" bestFit="1" customWidth="1"/>
    <col min="6412" max="6413" width="9.625" style="85" bestFit="1" customWidth="1"/>
    <col min="6414" max="6415" width="8.25" style="85" bestFit="1" customWidth="1"/>
    <col min="6416" max="6416" width="11" style="85" bestFit="1" customWidth="1"/>
    <col min="6417" max="6417" width="8" style="85" bestFit="1" customWidth="1"/>
    <col min="6418" max="6418" width="7.75" style="85" bestFit="1" customWidth="1"/>
    <col min="6419" max="6420" width="9.625" style="85" bestFit="1" customWidth="1"/>
    <col min="6421" max="6422" width="9.625" style="85" customWidth="1"/>
    <col min="6423" max="6423" width="9.25" style="85" bestFit="1" customWidth="1"/>
    <col min="6424" max="6424" width="11" style="85" bestFit="1" customWidth="1"/>
    <col min="6425" max="6657" width="9" style="85"/>
    <col min="6658" max="6658" width="4.625" style="85" bestFit="1" customWidth="1"/>
    <col min="6659" max="6659" width="7.5" style="85" bestFit="1" customWidth="1"/>
    <col min="6660" max="6660" width="6.25" style="85" customWidth="1"/>
    <col min="6661" max="6661" width="11" style="85" bestFit="1" customWidth="1"/>
    <col min="6662" max="6663" width="9.625" style="85" bestFit="1" customWidth="1"/>
    <col min="6664" max="6664" width="8.25" style="85" bestFit="1" customWidth="1"/>
    <col min="6665" max="6666" width="9.625" style="85" bestFit="1" customWidth="1"/>
    <col min="6667" max="6667" width="8.25" style="85" bestFit="1" customWidth="1"/>
    <col min="6668" max="6669" width="9.625" style="85" bestFit="1" customWidth="1"/>
    <col min="6670" max="6671" width="8.25" style="85" bestFit="1" customWidth="1"/>
    <col min="6672" max="6672" width="11" style="85" bestFit="1" customWidth="1"/>
    <col min="6673" max="6673" width="8" style="85" bestFit="1" customWidth="1"/>
    <col min="6674" max="6674" width="7.75" style="85" bestFit="1" customWidth="1"/>
    <col min="6675" max="6676" width="9.625" style="85" bestFit="1" customWidth="1"/>
    <col min="6677" max="6678" width="9.625" style="85" customWidth="1"/>
    <col min="6679" max="6679" width="9.25" style="85" bestFit="1" customWidth="1"/>
    <col min="6680" max="6680" width="11" style="85" bestFit="1" customWidth="1"/>
    <col min="6681" max="6913" width="9" style="85"/>
    <col min="6914" max="6914" width="4.625" style="85" bestFit="1" customWidth="1"/>
    <col min="6915" max="6915" width="7.5" style="85" bestFit="1" customWidth="1"/>
    <col min="6916" max="6916" width="6.25" style="85" customWidth="1"/>
    <col min="6917" max="6917" width="11" style="85" bestFit="1" customWidth="1"/>
    <col min="6918" max="6919" width="9.625" style="85" bestFit="1" customWidth="1"/>
    <col min="6920" max="6920" width="8.25" style="85" bestFit="1" customWidth="1"/>
    <col min="6921" max="6922" width="9.625" style="85" bestFit="1" customWidth="1"/>
    <col min="6923" max="6923" width="8.25" style="85" bestFit="1" customWidth="1"/>
    <col min="6924" max="6925" width="9.625" style="85" bestFit="1" customWidth="1"/>
    <col min="6926" max="6927" width="8.25" style="85" bestFit="1" customWidth="1"/>
    <col min="6928" max="6928" width="11" style="85" bestFit="1" customWidth="1"/>
    <col min="6929" max="6929" width="8" style="85" bestFit="1" customWidth="1"/>
    <col min="6930" max="6930" width="7.75" style="85" bestFit="1" customWidth="1"/>
    <col min="6931" max="6932" width="9.625" style="85" bestFit="1" customWidth="1"/>
    <col min="6933" max="6934" width="9.625" style="85" customWidth="1"/>
    <col min="6935" max="6935" width="9.25" style="85" bestFit="1" customWidth="1"/>
    <col min="6936" max="6936" width="11" style="85" bestFit="1" customWidth="1"/>
    <col min="6937" max="7169" width="9" style="85"/>
    <col min="7170" max="7170" width="4.625" style="85" bestFit="1" customWidth="1"/>
    <col min="7171" max="7171" width="7.5" style="85" bestFit="1" customWidth="1"/>
    <col min="7172" max="7172" width="6.25" style="85" customWidth="1"/>
    <col min="7173" max="7173" width="11" style="85" bestFit="1" customWidth="1"/>
    <col min="7174" max="7175" width="9.625" style="85" bestFit="1" customWidth="1"/>
    <col min="7176" max="7176" width="8.25" style="85" bestFit="1" customWidth="1"/>
    <col min="7177" max="7178" width="9.625" style="85" bestFit="1" customWidth="1"/>
    <col min="7179" max="7179" width="8.25" style="85" bestFit="1" customWidth="1"/>
    <col min="7180" max="7181" width="9.625" style="85" bestFit="1" customWidth="1"/>
    <col min="7182" max="7183" width="8.25" style="85" bestFit="1" customWidth="1"/>
    <col min="7184" max="7184" width="11" style="85" bestFit="1" customWidth="1"/>
    <col min="7185" max="7185" width="8" style="85" bestFit="1" customWidth="1"/>
    <col min="7186" max="7186" width="7.75" style="85" bestFit="1" customWidth="1"/>
    <col min="7187" max="7188" width="9.625" style="85" bestFit="1" customWidth="1"/>
    <col min="7189" max="7190" width="9.625" style="85" customWidth="1"/>
    <col min="7191" max="7191" width="9.25" style="85" bestFit="1" customWidth="1"/>
    <col min="7192" max="7192" width="11" style="85" bestFit="1" customWidth="1"/>
    <col min="7193" max="7425" width="9" style="85"/>
    <col min="7426" max="7426" width="4.625" style="85" bestFit="1" customWidth="1"/>
    <col min="7427" max="7427" width="7.5" style="85" bestFit="1" customWidth="1"/>
    <col min="7428" max="7428" width="6.25" style="85" customWidth="1"/>
    <col min="7429" max="7429" width="11" style="85" bestFit="1" customWidth="1"/>
    <col min="7430" max="7431" width="9.625" style="85" bestFit="1" customWidth="1"/>
    <col min="7432" max="7432" width="8.25" style="85" bestFit="1" customWidth="1"/>
    <col min="7433" max="7434" width="9.625" style="85" bestFit="1" customWidth="1"/>
    <col min="7435" max="7435" width="8.25" style="85" bestFit="1" customWidth="1"/>
    <col min="7436" max="7437" width="9.625" style="85" bestFit="1" customWidth="1"/>
    <col min="7438" max="7439" width="8.25" style="85" bestFit="1" customWidth="1"/>
    <col min="7440" max="7440" width="11" style="85" bestFit="1" customWidth="1"/>
    <col min="7441" max="7441" width="8" style="85" bestFit="1" customWidth="1"/>
    <col min="7442" max="7442" width="7.75" style="85" bestFit="1" customWidth="1"/>
    <col min="7443" max="7444" width="9.625" style="85" bestFit="1" customWidth="1"/>
    <col min="7445" max="7446" width="9.625" style="85" customWidth="1"/>
    <col min="7447" max="7447" width="9.25" style="85" bestFit="1" customWidth="1"/>
    <col min="7448" max="7448" width="11" style="85" bestFit="1" customWidth="1"/>
    <col min="7449" max="7681" width="9" style="85"/>
    <col min="7682" max="7682" width="4.625" style="85" bestFit="1" customWidth="1"/>
    <col min="7683" max="7683" width="7.5" style="85" bestFit="1" customWidth="1"/>
    <col min="7684" max="7684" width="6.25" style="85" customWidth="1"/>
    <col min="7685" max="7685" width="11" style="85" bestFit="1" customWidth="1"/>
    <col min="7686" max="7687" width="9.625" style="85" bestFit="1" customWidth="1"/>
    <col min="7688" max="7688" width="8.25" style="85" bestFit="1" customWidth="1"/>
    <col min="7689" max="7690" width="9.625" style="85" bestFit="1" customWidth="1"/>
    <col min="7691" max="7691" width="8.25" style="85" bestFit="1" customWidth="1"/>
    <col min="7692" max="7693" width="9.625" style="85" bestFit="1" customWidth="1"/>
    <col min="7694" max="7695" width="8.25" style="85" bestFit="1" customWidth="1"/>
    <col min="7696" max="7696" width="11" style="85" bestFit="1" customWidth="1"/>
    <col min="7697" max="7697" width="8" style="85" bestFit="1" customWidth="1"/>
    <col min="7698" max="7698" width="7.75" style="85" bestFit="1" customWidth="1"/>
    <col min="7699" max="7700" width="9.625" style="85" bestFit="1" customWidth="1"/>
    <col min="7701" max="7702" width="9.625" style="85" customWidth="1"/>
    <col min="7703" max="7703" width="9.25" style="85" bestFit="1" customWidth="1"/>
    <col min="7704" max="7704" width="11" style="85" bestFit="1" customWidth="1"/>
    <col min="7705" max="7937" width="9" style="85"/>
    <col min="7938" max="7938" width="4.625" style="85" bestFit="1" customWidth="1"/>
    <col min="7939" max="7939" width="7.5" style="85" bestFit="1" customWidth="1"/>
    <col min="7940" max="7940" width="6.25" style="85" customWidth="1"/>
    <col min="7941" max="7941" width="11" style="85" bestFit="1" customWidth="1"/>
    <col min="7942" max="7943" width="9.625" style="85" bestFit="1" customWidth="1"/>
    <col min="7944" max="7944" width="8.25" style="85" bestFit="1" customWidth="1"/>
    <col min="7945" max="7946" width="9.625" style="85" bestFit="1" customWidth="1"/>
    <col min="7947" max="7947" width="8.25" style="85" bestFit="1" customWidth="1"/>
    <col min="7948" max="7949" width="9.625" style="85" bestFit="1" customWidth="1"/>
    <col min="7950" max="7951" width="8.25" style="85" bestFit="1" customWidth="1"/>
    <col min="7952" max="7952" width="11" style="85" bestFit="1" customWidth="1"/>
    <col min="7953" max="7953" width="8" style="85" bestFit="1" customWidth="1"/>
    <col min="7954" max="7954" width="7.75" style="85" bestFit="1" customWidth="1"/>
    <col min="7955" max="7956" width="9.625" style="85" bestFit="1" customWidth="1"/>
    <col min="7957" max="7958" width="9.625" style="85" customWidth="1"/>
    <col min="7959" max="7959" width="9.25" style="85" bestFit="1" customWidth="1"/>
    <col min="7960" max="7960" width="11" style="85" bestFit="1" customWidth="1"/>
    <col min="7961" max="8193" width="9" style="85"/>
    <col min="8194" max="8194" width="4.625" style="85" bestFit="1" customWidth="1"/>
    <col min="8195" max="8195" width="7.5" style="85" bestFit="1" customWidth="1"/>
    <col min="8196" max="8196" width="6.25" style="85" customWidth="1"/>
    <col min="8197" max="8197" width="11" style="85" bestFit="1" customWidth="1"/>
    <col min="8198" max="8199" width="9.625" style="85" bestFit="1" customWidth="1"/>
    <col min="8200" max="8200" width="8.25" style="85" bestFit="1" customWidth="1"/>
    <col min="8201" max="8202" width="9.625" style="85" bestFit="1" customWidth="1"/>
    <col min="8203" max="8203" width="8.25" style="85" bestFit="1" customWidth="1"/>
    <col min="8204" max="8205" width="9.625" style="85" bestFit="1" customWidth="1"/>
    <col min="8206" max="8207" width="8.25" style="85" bestFit="1" customWidth="1"/>
    <col min="8208" max="8208" width="11" style="85" bestFit="1" customWidth="1"/>
    <col min="8209" max="8209" width="8" style="85" bestFit="1" customWidth="1"/>
    <col min="8210" max="8210" width="7.75" style="85" bestFit="1" customWidth="1"/>
    <col min="8211" max="8212" width="9.625" style="85" bestFit="1" customWidth="1"/>
    <col min="8213" max="8214" width="9.625" style="85" customWidth="1"/>
    <col min="8215" max="8215" width="9.25" style="85" bestFit="1" customWidth="1"/>
    <col min="8216" max="8216" width="11" style="85" bestFit="1" customWidth="1"/>
    <col min="8217" max="8449" width="9" style="85"/>
    <col min="8450" max="8450" width="4.625" style="85" bestFit="1" customWidth="1"/>
    <col min="8451" max="8451" width="7.5" style="85" bestFit="1" customWidth="1"/>
    <col min="8452" max="8452" width="6.25" style="85" customWidth="1"/>
    <col min="8453" max="8453" width="11" style="85" bestFit="1" customWidth="1"/>
    <col min="8454" max="8455" width="9.625" style="85" bestFit="1" customWidth="1"/>
    <col min="8456" max="8456" width="8.25" style="85" bestFit="1" customWidth="1"/>
    <col min="8457" max="8458" width="9.625" style="85" bestFit="1" customWidth="1"/>
    <col min="8459" max="8459" width="8.25" style="85" bestFit="1" customWidth="1"/>
    <col min="8460" max="8461" width="9.625" style="85" bestFit="1" customWidth="1"/>
    <col min="8462" max="8463" width="8.25" style="85" bestFit="1" customWidth="1"/>
    <col min="8464" max="8464" width="11" style="85" bestFit="1" customWidth="1"/>
    <col min="8465" max="8465" width="8" style="85" bestFit="1" customWidth="1"/>
    <col min="8466" max="8466" width="7.75" style="85" bestFit="1" customWidth="1"/>
    <col min="8467" max="8468" width="9.625" style="85" bestFit="1" customWidth="1"/>
    <col min="8469" max="8470" width="9.625" style="85" customWidth="1"/>
    <col min="8471" max="8471" width="9.25" style="85" bestFit="1" customWidth="1"/>
    <col min="8472" max="8472" width="11" style="85" bestFit="1" customWidth="1"/>
    <col min="8473" max="8705" width="9" style="85"/>
    <col min="8706" max="8706" width="4.625" style="85" bestFit="1" customWidth="1"/>
    <col min="8707" max="8707" width="7.5" style="85" bestFit="1" customWidth="1"/>
    <col min="8708" max="8708" width="6.25" style="85" customWidth="1"/>
    <col min="8709" max="8709" width="11" style="85" bestFit="1" customWidth="1"/>
    <col min="8710" max="8711" width="9.625" style="85" bestFit="1" customWidth="1"/>
    <col min="8712" max="8712" width="8.25" style="85" bestFit="1" customWidth="1"/>
    <col min="8713" max="8714" width="9.625" style="85" bestFit="1" customWidth="1"/>
    <col min="8715" max="8715" width="8.25" style="85" bestFit="1" customWidth="1"/>
    <col min="8716" max="8717" width="9.625" style="85" bestFit="1" customWidth="1"/>
    <col min="8718" max="8719" width="8.25" style="85" bestFit="1" customWidth="1"/>
    <col min="8720" max="8720" width="11" style="85" bestFit="1" customWidth="1"/>
    <col min="8721" max="8721" width="8" style="85" bestFit="1" customWidth="1"/>
    <col min="8722" max="8722" width="7.75" style="85" bestFit="1" customWidth="1"/>
    <col min="8723" max="8724" width="9.625" style="85" bestFit="1" customWidth="1"/>
    <col min="8725" max="8726" width="9.625" style="85" customWidth="1"/>
    <col min="8727" max="8727" width="9.25" style="85" bestFit="1" customWidth="1"/>
    <col min="8728" max="8728" width="11" style="85" bestFit="1" customWidth="1"/>
    <col min="8729" max="8961" width="9" style="85"/>
    <col min="8962" max="8962" width="4.625" style="85" bestFit="1" customWidth="1"/>
    <col min="8963" max="8963" width="7.5" style="85" bestFit="1" customWidth="1"/>
    <col min="8964" max="8964" width="6.25" style="85" customWidth="1"/>
    <col min="8965" max="8965" width="11" style="85" bestFit="1" customWidth="1"/>
    <col min="8966" max="8967" width="9.625" style="85" bestFit="1" customWidth="1"/>
    <col min="8968" max="8968" width="8.25" style="85" bestFit="1" customWidth="1"/>
    <col min="8969" max="8970" width="9.625" style="85" bestFit="1" customWidth="1"/>
    <col min="8971" max="8971" width="8.25" style="85" bestFit="1" customWidth="1"/>
    <col min="8972" max="8973" width="9.625" style="85" bestFit="1" customWidth="1"/>
    <col min="8974" max="8975" width="8.25" style="85" bestFit="1" customWidth="1"/>
    <col min="8976" max="8976" width="11" style="85" bestFit="1" customWidth="1"/>
    <col min="8977" max="8977" width="8" style="85" bestFit="1" customWidth="1"/>
    <col min="8978" max="8978" width="7.75" style="85" bestFit="1" customWidth="1"/>
    <col min="8979" max="8980" width="9.625" style="85" bestFit="1" customWidth="1"/>
    <col min="8981" max="8982" width="9.625" style="85" customWidth="1"/>
    <col min="8983" max="8983" width="9.25" style="85" bestFit="1" customWidth="1"/>
    <col min="8984" max="8984" width="11" style="85" bestFit="1" customWidth="1"/>
    <col min="8985" max="9217" width="9" style="85"/>
    <col min="9218" max="9218" width="4.625" style="85" bestFit="1" customWidth="1"/>
    <col min="9219" max="9219" width="7.5" style="85" bestFit="1" customWidth="1"/>
    <col min="9220" max="9220" width="6.25" style="85" customWidth="1"/>
    <col min="9221" max="9221" width="11" style="85" bestFit="1" customWidth="1"/>
    <col min="9222" max="9223" width="9.625" style="85" bestFit="1" customWidth="1"/>
    <col min="9224" max="9224" width="8.25" style="85" bestFit="1" customWidth="1"/>
    <col min="9225" max="9226" width="9.625" style="85" bestFit="1" customWidth="1"/>
    <col min="9227" max="9227" width="8.25" style="85" bestFit="1" customWidth="1"/>
    <col min="9228" max="9229" width="9.625" style="85" bestFit="1" customWidth="1"/>
    <col min="9230" max="9231" width="8.25" style="85" bestFit="1" customWidth="1"/>
    <col min="9232" max="9232" width="11" style="85" bestFit="1" customWidth="1"/>
    <col min="9233" max="9233" width="8" style="85" bestFit="1" customWidth="1"/>
    <col min="9234" max="9234" width="7.75" style="85" bestFit="1" customWidth="1"/>
    <col min="9235" max="9236" width="9.625" style="85" bestFit="1" customWidth="1"/>
    <col min="9237" max="9238" width="9.625" style="85" customWidth="1"/>
    <col min="9239" max="9239" width="9.25" style="85" bestFit="1" customWidth="1"/>
    <col min="9240" max="9240" width="11" style="85" bestFit="1" customWidth="1"/>
    <col min="9241" max="9473" width="9" style="85"/>
    <col min="9474" max="9474" width="4.625" style="85" bestFit="1" customWidth="1"/>
    <col min="9475" max="9475" width="7.5" style="85" bestFit="1" customWidth="1"/>
    <col min="9476" max="9476" width="6.25" style="85" customWidth="1"/>
    <col min="9477" max="9477" width="11" style="85" bestFit="1" customWidth="1"/>
    <col min="9478" max="9479" width="9.625" style="85" bestFit="1" customWidth="1"/>
    <col min="9480" max="9480" width="8.25" style="85" bestFit="1" customWidth="1"/>
    <col min="9481" max="9482" width="9.625" style="85" bestFit="1" customWidth="1"/>
    <col min="9483" max="9483" width="8.25" style="85" bestFit="1" customWidth="1"/>
    <col min="9484" max="9485" width="9.625" style="85" bestFit="1" customWidth="1"/>
    <col min="9486" max="9487" width="8.25" style="85" bestFit="1" customWidth="1"/>
    <col min="9488" max="9488" width="11" style="85" bestFit="1" customWidth="1"/>
    <col min="9489" max="9489" width="8" style="85" bestFit="1" customWidth="1"/>
    <col min="9490" max="9490" width="7.75" style="85" bestFit="1" customWidth="1"/>
    <col min="9491" max="9492" width="9.625" style="85" bestFit="1" customWidth="1"/>
    <col min="9493" max="9494" width="9.625" style="85" customWidth="1"/>
    <col min="9495" max="9495" width="9.25" style="85" bestFit="1" customWidth="1"/>
    <col min="9496" max="9496" width="11" style="85" bestFit="1" customWidth="1"/>
    <col min="9497" max="9729" width="9" style="85"/>
    <col min="9730" max="9730" width="4.625" style="85" bestFit="1" customWidth="1"/>
    <col min="9731" max="9731" width="7.5" style="85" bestFit="1" customWidth="1"/>
    <col min="9732" max="9732" width="6.25" style="85" customWidth="1"/>
    <col min="9733" max="9733" width="11" style="85" bestFit="1" customWidth="1"/>
    <col min="9734" max="9735" width="9.625" style="85" bestFit="1" customWidth="1"/>
    <col min="9736" max="9736" width="8.25" style="85" bestFit="1" customWidth="1"/>
    <col min="9737" max="9738" width="9.625" style="85" bestFit="1" customWidth="1"/>
    <col min="9739" max="9739" width="8.25" style="85" bestFit="1" customWidth="1"/>
    <col min="9740" max="9741" width="9.625" style="85" bestFit="1" customWidth="1"/>
    <col min="9742" max="9743" width="8.25" style="85" bestFit="1" customWidth="1"/>
    <col min="9744" max="9744" width="11" style="85" bestFit="1" customWidth="1"/>
    <col min="9745" max="9745" width="8" style="85" bestFit="1" customWidth="1"/>
    <col min="9746" max="9746" width="7.75" style="85" bestFit="1" customWidth="1"/>
    <col min="9747" max="9748" width="9.625" style="85" bestFit="1" customWidth="1"/>
    <col min="9749" max="9750" width="9.625" style="85" customWidth="1"/>
    <col min="9751" max="9751" width="9.25" style="85" bestFit="1" customWidth="1"/>
    <col min="9752" max="9752" width="11" style="85" bestFit="1" customWidth="1"/>
    <col min="9753" max="9985" width="9" style="85"/>
    <col min="9986" max="9986" width="4.625" style="85" bestFit="1" customWidth="1"/>
    <col min="9987" max="9987" width="7.5" style="85" bestFit="1" customWidth="1"/>
    <col min="9988" max="9988" width="6.25" style="85" customWidth="1"/>
    <col min="9989" max="9989" width="11" style="85" bestFit="1" customWidth="1"/>
    <col min="9990" max="9991" width="9.625" style="85" bestFit="1" customWidth="1"/>
    <col min="9992" max="9992" width="8.25" style="85" bestFit="1" customWidth="1"/>
    <col min="9993" max="9994" width="9.625" style="85" bestFit="1" customWidth="1"/>
    <col min="9995" max="9995" width="8.25" style="85" bestFit="1" customWidth="1"/>
    <col min="9996" max="9997" width="9.625" style="85" bestFit="1" customWidth="1"/>
    <col min="9998" max="9999" width="8.25" style="85" bestFit="1" customWidth="1"/>
    <col min="10000" max="10000" width="11" style="85" bestFit="1" customWidth="1"/>
    <col min="10001" max="10001" width="8" style="85" bestFit="1" customWidth="1"/>
    <col min="10002" max="10002" width="7.75" style="85" bestFit="1" customWidth="1"/>
    <col min="10003" max="10004" width="9.625" style="85" bestFit="1" customWidth="1"/>
    <col min="10005" max="10006" width="9.625" style="85" customWidth="1"/>
    <col min="10007" max="10007" width="9.25" style="85" bestFit="1" customWidth="1"/>
    <col min="10008" max="10008" width="11" style="85" bestFit="1" customWidth="1"/>
    <col min="10009" max="10241" width="9" style="85"/>
    <col min="10242" max="10242" width="4.625" style="85" bestFit="1" customWidth="1"/>
    <col min="10243" max="10243" width="7.5" style="85" bestFit="1" customWidth="1"/>
    <col min="10244" max="10244" width="6.25" style="85" customWidth="1"/>
    <col min="10245" max="10245" width="11" style="85" bestFit="1" customWidth="1"/>
    <col min="10246" max="10247" width="9.625" style="85" bestFit="1" customWidth="1"/>
    <col min="10248" max="10248" width="8.25" style="85" bestFit="1" customWidth="1"/>
    <col min="10249" max="10250" width="9.625" style="85" bestFit="1" customWidth="1"/>
    <col min="10251" max="10251" width="8.25" style="85" bestFit="1" customWidth="1"/>
    <col min="10252" max="10253" width="9.625" style="85" bestFit="1" customWidth="1"/>
    <col min="10254" max="10255" width="8.25" style="85" bestFit="1" customWidth="1"/>
    <col min="10256" max="10256" width="11" style="85" bestFit="1" customWidth="1"/>
    <col min="10257" max="10257" width="8" style="85" bestFit="1" customWidth="1"/>
    <col min="10258" max="10258" width="7.75" style="85" bestFit="1" customWidth="1"/>
    <col min="10259" max="10260" width="9.625" style="85" bestFit="1" customWidth="1"/>
    <col min="10261" max="10262" width="9.625" style="85" customWidth="1"/>
    <col min="10263" max="10263" width="9.25" style="85" bestFit="1" customWidth="1"/>
    <col min="10264" max="10264" width="11" style="85" bestFit="1" customWidth="1"/>
    <col min="10265" max="10497" width="9" style="85"/>
    <col min="10498" max="10498" width="4.625" style="85" bestFit="1" customWidth="1"/>
    <col min="10499" max="10499" width="7.5" style="85" bestFit="1" customWidth="1"/>
    <col min="10500" max="10500" width="6.25" style="85" customWidth="1"/>
    <col min="10501" max="10501" width="11" style="85" bestFit="1" customWidth="1"/>
    <col min="10502" max="10503" width="9.625" style="85" bestFit="1" customWidth="1"/>
    <col min="10504" max="10504" width="8.25" style="85" bestFit="1" customWidth="1"/>
    <col min="10505" max="10506" width="9.625" style="85" bestFit="1" customWidth="1"/>
    <col min="10507" max="10507" width="8.25" style="85" bestFit="1" customWidth="1"/>
    <col min="10508" max="10509" width="9.625" style="85" bestFit="1" customWidth="1"/>
    <col min="10510" max="10511" width="8.25" style="85" bestFit="1" customWidth="1"/>
    <col min="10512" max="10512" width="11" style="85" bestFit="1" customWidth="1"/>
    <col min="10513" max="10513" width="8" style="85" bestFit="1" customWidth="1"/>
    <col min="10514" max="10514" width="7.75" style="85" bestFit="1" customWidth="1"/>
    <col min="10515" max="10516" width="9.625" style="85" bestFit="1" customWidth="1"/>
    <col min="10517" max="10518" width="9.625" style="85" customWidth="1"/>
    <col min="10519" max="10519" width="9.25" style="85" bestFit="1" customWidth="1"/>
    <col min="10520" max="10520" width="11" style="85" bestFit="1" customWidth="1"/>
    <col min="10521" max="10753" width="9" style="85"/>
    <col min="10754" max="10754" width="4.625" style="85" bestFit="1" customWidth="1"/>
    <col min="10755" max="10755" width="7.5" style="85" bestFit="1" customWidth="1"/>
    <col min="10756" max="10756" width="6.25" style="85" customWidth="1"/>
    <col min="10757" max="10757" width="11" style="85" bestFit="1" customWidth="1"/>
    <col min="10758" max="10759" width="9.625" style="85" bestFit="1" customWidth="1"/>
    <col min="10760" max="10760" width="8.25" style="85" bestFit="1" customWidth="1"/>
    <col min="10761" max="10762" width="9.625" style="85" bestFit="1" customWidth="1"/>
    <col min="10763" max="10763" width="8.25" style="85" bestFit="1" customWidth="1"/>
    <col min="10764" max="10765" width="9.625" style="85" bestFit="1" customWidth="1"/>
    <col min="10766" max="10767" width="8.25" style="85" bestFit="1" customWidth="1"/>
    <col min="10768" max="10768" width="11" style="85" bestFit="1" customWidth="1"/>
    <col min="10769" max="10769" width="8" style="85" bestFit="1" customWidth="1"/>
    <col min="10770" max="10770" width="7.75" style="85" bestFit="1" customWidth="1"/>
    <col min="10771" max="10772" width="9.625" style="85" bestFit="1" customWidth="1"/>
    <col min="10773" max="10774" width="9.625" style="85" customWidth="1"/>
    <col min="10775" max="10775" width="9.25" style="85" bestFit="1" customWidth="1"/>
    <col min="10776" max="10776" width="11" style="85" bestFit="1" customWidth="1"/>
    <col min="10777" max="11009" width="9" style="85"/>
    <col min="11010" max="11010" width="4.625" style="85" bestFit="1" customWidth="1"/>
    <col min="11011" max="11011" width="7.5" style="85" bestFit="1" customWidth="1"/>
    <col min="11012" max="11012" width="6.25" style="85" customWidth="1"/>
    <col min="11013" max="11013" width="11" style="85" bestFit="1" customWidth="1"/>
    <col min="11014" max="11015" width="9.625" style="85" bestFit="1" customWidth="1"/>
    <col min="11016" max="11016" width="8.25" style="85" bestFit="1" customWidth="1"/>
    <col min="11017" max="11018" width="9.625" style="85" bestFit="1" customWidth="1"/>
    <col min="11019" max="11019" width="8.25" style="85" bestFit="1" customWidth="1"/>
    <col min="11020" max="11021" width="9.625" style="85" bestFit="1" customWidth="1"/>
    <col min="11022" max="11023" width="8.25" style="85" bestFit="1" customWidth="1"/>
    <col min="11024" max="11024" width="11" style="85" bestFit="1" customWidth="1"/>
    <col min="11025" max="11025" width="8" style="85" bestFit="1" customWidth="1"/>
    <col min="11026" max="11026" width="7.75" style="85" bestFit="1" customWidth="1"/>
    <col min="11027" max="11028" width="9.625" style="85" bestFit="1" customWidth="1"/>
    <col min="11029" max="11030" width="9.625" style="85" customWidth="1"/>
    <col min="11031" max="11031" width="9.25" style="85" bestFit="1" customWidth="1"/>
    <col min="11032" max="11032" width="11" style="85" bestFit="1" customWidth="1"/>
    <col min="11033" max="11265" width="9" style="85"/>
    <col min="11266" max="11266" width="4.625" style="85" bestFit="1" customWidth="1"/>
    <col min="11267" max="11267" width="7.5" style="85" bestFit="1" customWidth="1"/>
    <col min="11268" max="11268" width="6.25" style="85" customWidth="1"/>
    <col min="11269" max="11269" width="11" style="85" bestFit="1" customWidth="1"/>
    <col min="11270" max="11271" width="9.625" style="85" bestFit="1" customWidth="1"/>
    <col min="11272" max="11272" width="8.25" style="85" bestFit="1" customWidth="1"/>
    <col min="11273" max="11274" width="9.625" style="85" bestFit="1" customWidth="1"/>
    <col min="11275" max="11275" width="8.25" style="85" bestFit="1" customWidth="1"/>
    <col min="11276" max="11277" width="9.625" style="85" bestFit="1" customWidth="1"/>
    <col min="11278" max="11279" width="8.25" style="85" bestFit="1" customWidth="1"/>
    <col min="11280" max="11280" width="11" style="85" bestFit="1" customWidth="1"/>
    <col min="11281" max="11281" width="8" style="85" bestFit="1" customWidth="1"/>
    <col min="11282" max="11282" width="7.75" style="85" bestFit="1" customWidth="1"/>
    <col min="11283" max="11284" width="9.625" style="85" bestFit="1" customWidth="1"/>
    <col min="11285" max="11286" width="9.625" style="85" customWidth="1"/>
    <col min="11287" max="11287" width="9.25" style="85" bestFit="1" customWidth="1"/>
    <col min="11288" max="11288" width="11" style="85" bestFit="1" customWidth="1"/>
    <col min="11289" max="11521" width="9" style="85"/>
    <col min="11522" max="11522" width="4.625" style="85" bestFit="1" customWidth="1"/>
    <col min="11523" max="11523" width="7.5" style="85" bestFit="1" customWidth="1"/>
    <col min="11524" max="11524" width="6.25" style="85" customWidth="1"/>
    <col min="11525" max="11525" width="11" style="85" bestFit="1" customWidth="1"/>
    <col min="11526" max="11527" width="9.625" style="85" bestFit="1" customWidth="1"/>
    <col min="11528" max="11528" width="8.25" style="85" bestFit="1" customWidth="1"/>
    <col min="11529" max="11530" width="9.625" style="85" bestFit="1" customWidth="1"/>
    <col min="11531" max="11531" width="8.25" style="85" bestFit="1" customWidth="1"/>
    <col min="11532" max="11533" width="9.625" style="85" bestFit="1" customWidth="1"/>
    <col min="11534" max="11535" width="8.25" style="85" bestFit="1" customWidth="1"/>
    <col min="11536" max="11536" width="11" style="85" bestFit="1" customWidth="1"/>
    <col min="11537" max="11537" width="8" style="85" bestFit="1" customWidth="1"/>
    <col min="11538" max="11538" width="7.75" style="85" bestFit="1" customWidth="1"/>
    <col min="11539" max="11540" width="9.625" style="85" bestFit="1" customWidth="1"/>
    <col min="11541" max="11542" width="9.625" style="85" customWidth="1"/>
    <col min="11543" max="11543" width="9.25" style="85" bestFit="1" customWidth="1"/>
    <col min="11544" max="11544" width="11" style="85" bestFit="1" customWidth="1"/>
    <col min="11545" max="11777" width="9" style="85"/>
    <col min="11778" max="11778" width="4.625" style="85" bestFit="1" customWidth="1"/>
    <col min="11779" max="11779" width="7.5" style="85" bestFit="1" customWidth="1"/>
    <col min="11780" max="11780" width="6.25" style="85" customWidth="1"/>
    <col min="11781" max="11781" width="11" style="85" bestFit="1" customWidth="1"/>
    <col min="11782" max="11783" width="9.625" style="85" bestFit="1" customWidth="1"/>
    <col min="11784" max="11784" width="8.25" style="85" bestFit="1" customWidth="1"/>
    <col min="11785" max="11786" width="9.625" style="85" bestFit="1" customWidth="1"/>
    <col min="11787" max="11787" width="8.25" style="85" bestFit="1" customWidth="1"/>
    <col min="11788" max="11789" width="9.625" style="85" bestFit="1" customWidth="1"/>
    <col min="11790" max="11791" width="8.25" style="85" bestFit="1" customWidth="1"/>
    <col min="11792" max="11792" width="11" style="85" bestFit="1" customWidth="1"/>
    <col min="11793" max="11793" width="8" style="85" bestFit="1" customWidth="1"/>
    <col min="11794" max="11794" width="7.75" style="85" bestFit="1" customWidth="1"/>
    <col min="11795" max="11796" width="9.625" style="85" bestFit="1" customWidth="1"/>
    <col min="11797" max="11798" width="9.625" style="85" customWidth="1"/>
    <col min="11799" max="11799" width="9.25" style="85" bestFit="1" customWidth="1"/>
    <col min="11800" max="11800" width="11" style="85" bestFit="1" customWidth="1"/>
    <col min="11801" max="12033" width="9" style="85"/>
    <col min="12034" max="12034" width="4.625" style="85" bestFit="1" customWidth="1"/>
    <col min="12035" max="12035" width="7.5" style="85" bestFit="1" customWidth="1"/>
    <col min="12036" max="12036" width="6.25" style="85" customWidth="1"/>
    <col min="12037" max="12037" width="11" style="85" bestFit="1" customWidth="1"/>
    <col min="12038" max="12039" width="9.625" style="85" bestFit="1" customWidth="1"/>
    <col min="12040" max="12040" width="8.25" style="85" bestFit="1" customWidth="1"/>
    <col min="12041" max="12042" width="9.625" style="85" bestFit="1" customWidth="1"/>
    <col min="12043" max="12043" width="8.25" style="85" bestFit="1" customWidth="1"/>
    <col min="12044" max="12045" width="9.625" style="85" bestFit="1" customWidth="1"/>
    <col min="12046" max="12047" width="8.25" style="85" bestFit="1" customWidth="1"/>
    <col min="12048" max="12048" width="11" style="85" bestFit="1" customWidth="1"/>
    <col min="12049" max="12049" width="8" style="85" bestFit="1" customWidth="1"/>
    <col min="12050" max="12050" width="7.75" style="85" bestFit="1" customWidth="1"/>
    <col min="12051" max="12052" width="9.625" style="85" bestFit="1" customWidth="1"/>
    <col min="12053" max="12054" width="9.625" style="85" customWidth="1"/>
    <col min="12055" max="12055" width="9.25" style="85" bestFit="1" customWidth="1"/>
    <col min="12056" max="12056" width="11" style="85" bestFit="1" customWidth="1"/>
    <col min="12057" max="12289" width="9" style="85"/>
    <col min="12290" max="12290" width="4.625" style="85" bestFit="1" customWidth="1"/>
    <col min="12291" max="12291" width="7.5" style="85" bestFit="1" customWidth="1"/>
    <col min="12292" max="12292" width="6.25" style="85" customWidth="1"/>
    <col min="12293" max="12293" width="11" style="85" bestFit="1" customWidth="1"/>
    <col min="12294" max="12295" width="9.625" style="85" bestFit="1" customWidth="1"/>
    <col min="12296" max="12296" width="8.25" style="85" bestFit="1" customWidth="1"/>
    <col min="12297" max="12298" width="9.625" style="85" bestFit="1" customWidth="1"/>
    <col min="12299" max="12299" width="8.25" style="85" bestFit="1" customWidth="1"/>
    <col min="12300" max="12301" width="9.625" style="85" bestFit="1" customWidth="1"/>
    <col min="12302" max="12303" width="8.25" style="85" bestFit="1" customWidth="1"/>
    <col min="12304" max="12304" width="11" style="85" bestFit="1" customWidth="1"/>
    <col min="12305" max="12305" width="8" style="85" bestFit="1" customWidth="1"/>
    <col min="12306" max="12306" width="7.75" style="85" bestFit="1" customWidth="1"/>
    <col min="12307" max="12308" width="9.625" style="85" bestFit="1" customWidth="1"/>
    <col min="12309" max="12310" width="9.625" style="85" customWidth="1"/>
    <col min="12311" max="12311" width="9.25" style="85" bestFit="1" customWidth="1"/>
    <col min="12312" max="12312" width="11" style="85" bestFit="1" customWidth="1"/>
    <col min="12313" max="12545" width="9" style="85"/>
    <col min="12546" max="12546" width="4.625" style="85" bestFit="1" customWidth="1"/>
    <col min="12547" max="12547" width="7.5" style="85" bestFit="1" customWidth="1"/>
    <col min="12548" max="12548" width="6.25" style="85" customWidth="1"/>
    <col min="12549" max="12549" width="11" style="85" bestFit="1" customWidth="1"/>
    <col min="12550" max="12551" width="9.625" style="85" bestFit="1" customWidth="1"/>
    <col min="12552" max="12552" width="8.25" style="85" bestFit="1" customWidth="1"/>
    <col min="12553" max="12554" width="9.625" style="85" bestFit="1" customWidth="1"/>
    <col min="12555" max="12555" width="8.25" style="85" bestFit="1" customWidth="1"/>
    <col min="12556" max="12557" width="9.625" style="85" bestFit="1" customWidth="1"/>
    <col min="12558" max="12559" width="8.25" style="85" bestFit="1" customWidth="1"/>
    <col min="12560" max="12560" width="11" style="85" bestFit="1" customWidth="1"/>
    <col min="12561" max="12561" width="8" style="85" bestFit="1" customWidth="1"/>
    <col min="12562" max="12562" width="7.75" style="85" bestFit="1" customWidth="1"/>
    <col min="12563" max="12564" width="9.625" style="85" bestFit="1" customWidth="1"/>
    <col min="12565" max="12566" width="9.625" style="85" customWidth="1"/>
    <col min="12567" max="12567" width="9.25" style="85" bestFit="1" customWidth="1"/>
    <col min="12568" max="12568" width="11" style="85" bestFit="1" customWidth="1"/>
    <col min="12569" max="12801" width="9" style="85"/>
    <col min="12802" max="12802" width="4.625" style="85" bestFit="1" customWidth="1"/>
    <col min="12803" max="12803" width="7.5" style="85" bestFit="1" customWidth="1"/>
    <col min="12804" max="12804" width="6.25" style="85" customWidth="1"/>
    <col min="12805" max="12805" width="11" style="85" bestFit="1" customWidth="1"/>
    <col min="12806" max="12807" width="9.625" style="85" bestFit="1" customWidth="1"/>
    <col min="12808" max="12808" width="8.25" style="85" bestFit="1" customWidth="1"/>
    <col min="12809" max="12810" width="9.625" style="85" bestFit="1" customWidth="1"/>
    <col min="12811" max="12811" width="8.25" style="85" bestFit="1" customWidth="1"/>
    <col min="12812" max="12813" width="9.625" style="85" bestFit="1" customWidth="1"/>
    <col min="12814" max="12815" width="8.25" style="85" bestFit="1" customWidth="1"/>
    <col min="12816" max="12816" width="11" style="85" bestFit="1" customWidth="1"/>
    <col min="12817" max="12817" width="8" style="85" bestFit="1" customWidth="1"/>
    <col min="12818" max="12818" width="7.75" style="85" bestFit="1" customWidth="1"/>
    <col min="12819" max="12820" width="9.625" style="85" bestFit="1" customWidth="1"/>
    <col min="12821" max="12822" width="9.625" style="85" customWidth="1"/>
    <col min="12823" max="12823" width="9.25" style="85" bestFit="1" customWidth="1"/>
    <col min="12824" max="12824" width="11" style="85" bestFit="1" customWidth="1"/>
    <col min="12825" max="13057" width="9" style="85"/>
    <col min="13058" max="13058" width="4.625" style="85" bestFit="1" customWidth="1"/>
    <col min="13059" max="13059" width="7.5" style="85" bestFit="1" customWidth="1"/>
    <col min="13060" max="13060" width="6.25" style="85" customWidth="1"/>
    <col min="13061" max="13061" width="11" style="85" bestFit="1" customWidth="1"/>
    <col min="13062" max="13063" width="9.625" style="85" bestFit="1" customWidth="1"/>
    <col min="13064" max="13064" width="8.25" style="85" bestFit="1" customWidth="1"/>
    <col min="13065" max="13066" width="9.625" style="85" bestFit="1" customWidth="1"/>
    <col min="13067" max="13067" width="8.25" style="85" bestFit="1" customWidth="1"/>
    <col min="13068" max="13069" width="9.625" style="85" bestFit="1" customWidth="1"/>
    <col min="13070" max="13071" width="8.25" style="85" bestFit="1" customWidth="1"/>
    <col min="13072" max="13072" width="11" style="85" bestFit="1" customWidth="1"/>
    <col min="13073" max="13073" width="8" style="85" bestFit="1" customWidth="1"/>
    <col min="13074" max="13074" width="7.75" style="85" bestFit="1" customWidth="1"/>
    <col min="13075" max="13076" width="9.625" style="85" bestFit="1" customWidth="1"/>
    <col min="13077" max="13078" width="9.625" style="85" customWidth="1"/>
    <col min="13079" max="13079" width="9.25" style="85" bestFit="1" customWidth="1"/>
    <col min="13080" max="13080" width="11" style="85" bestFit="1" customWidth="1"/>
    <col min="13081" max="13313" width="9" style="85"/>
    <col min="13314" max="13314" width="4.625" style="85" bestFit="1" customWidth="1"/>
    <col min="13315" max="13315" width="7.5" style="85" bestFit="1" customWidth="1"/>
    <col min="13316" max="13316" width="6.25" style="85" customWidth="1"/>
    <col min="13317" max="13317" width="11" style="85" bestFit="1" customWidth="1"/>
    <col min="13318" max="13319" width="9.625" style="85" bestFit="1" customWidth="1"/>
    <col min="13320" max="13320" width="8.25" style="85" bestFit="1" customWidth="1"/>
    <col min="13321" max="13322" width="9.625" style="85" bestFit="1" customWidth="1"/>
    <col min="13323" max="13323" width="8.25" style="85" bestFit="1" customWidth="1"/>
    <col min="13324" max="13325" width="9.625" style="85" bestFit="1" customWidth="1"/>
    <col min="13326" max="13327" width="8.25" style="85" bestFit="1" customWidth="1"/>
    <col min="13328" max="13328" width="11" style="85" bestFit="1" customWidth="1"/>
    <col min="13329" max="13329" width="8" style="85" bestFit="1" customWidth="1"/>
    <col min="13330" max="13330" width="7.75" style="85" bestFit="1" customWidth="1"/>
    <col min="13331" max="13332" width="9.625" style="85" bestFit="1" customWidth="1"/>
    <col min="13333" max="13334" width="9.625" style="85" customWidth="1"/>
    <col min="13335" max="13335" width="9.25" style="85" bestFit="1" customWidth="1"/>
    <col min="13336" max="13336" width="11" style="85" bestFit="1" customWidth="1"/>
    <col min="13337" max="13569" width="9" style="85"/>
    <col min="13570" max="13570" width="4.625" style="85" bestFit="1" customWidth="1"/>
    <col min="13571" max="13571" width="7.5" style="85" bestFit="1" customWidth="1"/>
    <col min="13572" max="13572" width="6.25" style="85" customWidth="1"/>
    <col min="13573" max="13573" width="11" style="85" bestFit="1" customWidth="1"/>
    <col min="13574" max="13575" width="9.625" style="85" bestFit="1" customWidth="1"/>
    <col min="13576" max="13576" width="8.25" style="85" bestFit="1" customWidth="1"/>
    <col min="13577" max="13578" width="9.625" style="85" bestFit="1" customWidth="1"/>
    <col min="13579" max="13579" width="8.25" style="85" bestFit="1" customWidth="1"/>
    <col min="13580" max="13581" width="9.625" style="85" bestFit="1" customWidth="1"/>
    <col min="13582" max="13583" width="8.25" style="85" bestFit="1" customWidth="1"/>
    <col min="13584" max="13584" width="11" style="85" bestFit="1" customWidth="1"/>
    <col min="13585" max="13585" width="8" style="85" bestFit="1" customWidth="1"/>
    <col min="13586" max="13586" width="7.75" style="85" bestFit="1" customWidth="1"/>
    <col min="13587" max="13588" width="9.625" style="85" bestFit="1" customWidth="1"/>
    <col min="13589" max="13590" width="9.625" style="85" customWidth="1"/>
    <col min="13591" max="13591" width="9.25" style="85" bestFit="1" customWidth="1"/>
    <col min="13592" max="13592" width="11" style="85" bestFit="1" customWidth="1"/>
    <col min="13593" max="13825" width="9" style="85"/>
    <col min="13826" max="13826" width="4.625" style="85" bestFit="1" customWidth="1"/>
    <col min="13827" max="13827" width="7.5" style="85" bestFit="1" customWidth="1"/>
    <col min="13828" max="13828" width="6.25" style="85" customWidth="1"/>
    <col min="13829" max="13829" width="11" style="85" bestFit="1" customWidth="1"/>
    <col min="13830" max="13831" width="9.625" style="85" bestFit="1" customWidth="1"/>
    <col min="13832" max="13832" width="8.25" style="85" bestFit="1" customWidth="1"/>
    <col min="13833" max="13834" width="9.625" style="85" bestFit="1" customWidth="1"/>
    <col min="13835" max="13835" width="8.25" style="85" bestFit="1" customWidth="1"/>
    <col min="13836" max="13837" width="9.625" style="85" bestFit="1" customWidth="1"/>
    <col min="13838" max="13839" width="8.25" style="85" bestFit="1" customWidth="1"/>
    <col min="13840" max="13840" width="11" style="85" bestFit="1" customWidth="1"/>
    <col min="13841" max="13841" width="8" style="85" bestFit="1" customWidth="1"/>
    <col min="13842" max="13842" width="7.75" style="85" bestFit="1" customWidth="1"/>
    <col min="13843" max="13844" width="9.625" style="85" bestFit="1" customWidth="1"/>
    <col min="13845" max="13846" width="9.625" style="85" customWidth="1"/>
    <col min="13847" max="13847" width="9.25" style="85" bestFit="1" customWidth="1"/>
    <col min="13848" max="13848" width="11" style="85" bestFit="1" customWidth="1"/>
    <col min="13849" max="14081" width="9" style="85"/>
    <col min="14082" max="14082" width="4.625" style="85" bestFit="1" customWidth="1"/>
    <col min="14083" max="14083" width="7.5" style="85" bestFit="1" customWidth="1"/>
    <col min="14084" max="14084" width="6.25" style="85" customWidth="1"/>
    <col min="14085" max="14085" width="11" style="85" bestFit="1" customWidth="1"/>
    <col min="14086" max="14087" width="9.625" style="85" bestFit="1" customWidth="1"/>
    <col min="14088" max="14088" width="8.25" style="85" bestFit="1" customWidth="1"/>
    <col min="14089" max="14090" width="9.625" style="85" bestFit="1" customWidth="1"/>
    <col min="14091" max="14091" width="8.25" style="85" bestFit="1" customWidth="1"/>
    <col min="14092" max="14093" width="9.625" style="85" bestFit="1" customWidth="1"/>
    <col min="14094" max="14095" width="8.25" style="85" bestFit="1" customWidth="1"/>
    <col min="14096" max="14096" width="11" style="85" bestFit="1" customWidth="1"/>
    <col min="14097" max="14097" width="8" style="85" bestFit="1" customWidth="1"/>
    <col min="14098" max="14098" width="7.75" style="85" bestFit="1" customWidth="1"/>
    <col min="14099" max="14100" width="9.625" style="85" bestFit="1" customWidth="1"/>
    <col min="14101" max="14102" width="9.625" style="85" customWidth="1"/>
    <col min="14103" max="14103" width="9.25" style="85" bestFit="1" customWidth="1"/>
    <col min="14104" max="14104" width="11" style="85" bestFit="1" customWidth="1"/>
    <col min="14105" max="14337" width="9" style="85"/>
    <col min="14338" max="14338" width="4.625" style="85" bestFit="1" customWidth="1"/>
    <col min="14339" max="14339" width="7.5" style="85" bestFit="1" customWidth="1"/>
    <col min="14340" max="14340" width="6.25" style="85" customWidth="1"/>
    <col min="14341" max="14341" width="11" style="85" bestFit="1" customWidth="1"/>
    <col min="14342" max="14343" width="9.625" style="85" bestFit="1" customWidth="1"/>
    <col min="14344" max="14344" width="8.25" style="85" bestFit="1" customWidth="1"/>
    <col min="14345" max="14346" width="9.625" style="85" bestFit="1" customWidth="1"/>
    <col min="14347" max="14347" width="8.25" style="85" bestFit="1" customWidth="1"/>
    <col min="14348" max="14349" width="9.625" style="85" bestFit="1" customWidth="1"/>
    <col min="14350" max="14351" width="8.25" style="85" bestFit="1" customWidth="1"/>
    <col min="14352" max="14352" width="11" style="85" bestFit="1" customWidth="1"/>
    <col min="14353" max="14353" width="8" style="85" bestFit="1" customWidth="1"/>
    <col min="14354" max="14354" width="7.75" style="85" bestFit="1" customWidth="1"/>
    <col min="14355" max="14356" width="9.625" style="85" bestFit="1" customWidth="1"/>
    <col min="14357" max="14358" width="9.625" style="85" customWidth="1"/>
    <col min="14359" max="14359" width="9.25" style="85" bestFit="1" customWidth="1"/>
    <col min="14360" max="14360" width="11" style="85" bestFit="1" customWidth="1"/>
    <col min="14361" max="14593" width="9" style="85"/>
    <col min="14594" max="14594" width="4.625" style="85" bestFit="1" customWidth="1"/>
    <col min="14595" max="14595" width="7.5" style="85" bestFit="1" customWidth="1"/>
    <col min="14596" max="14596" width="6.25" style="85" customWidth="1"/>
    <col min="14597" max="14597" width="11" style="85" bestFit="1" customWidth="1"/>
    <col min="14598" max="14599" width="9.625" style="85" bestFit="1" customWidth="1"/>
    <col min="14600" max="14600" width="8.25" style="85" bestFit="1" customWidth="1"/>
    <col min="14601" max="14602" width="9.625" style="85" bestFit="1" customWidth="1"/>
    <col min="14603" max="14603" width="8.25" style="85" bestFit="1" customWidth="1"/>
    <col min="14604" max="14605" width="9.625" style="85" bestFit="1" customWidth="1"/>
    <col min="14606" max="14607" width="8.25" style="85" bestFit="1" customWidth="1"/>
    <col min="14608" max="14608" width="11" style="85" bestFit="1" customWidth="1"/>
    <col min="14609" max="14609" width="8" style="85" bestFit="1" customWidth="1"/>
    <col min="14610" max="14610" width="7.75" style="85" bestFit="1" customWidth="1"/>
    <col min="14611" max="14612" width="9.625" style="85" bestFit="1" customWidth="1"/>
    <col min="14613" max="14614" width="9.625" style="85" customWidth="1"/>
    <col min="14615" max="14615" width="9.25" style="85" bestFit="1" customWidth="1"/>
    <col min="14616" max="14616" width="11" style="85" bestFit="1" customWidth="1"/>
    <col min="14617" max="14849" width="9" style="85"/>
    <col min="14850" max="14850" width="4.625" style="85" bestFit="1" customWidth="1"/>
    <col min="14851" max="14851" width="7.5" style="85" bestFit="1" customWidth="1"/>
    <col min="14852" max="14852" width="6.25" style="85" customWidth="1"/>
    <col min="14853" max="14853" width="11" style="85" bestFit="1" customWidth="1"/>
    <col min="14854" max="14855" width="9.625" style="85" bestFit="1" customWidth="1"/>
    <col min="14856" max="14856" width="8.25" style="85" bestFit="1" customWidth="1"/>
    <col min="14857" max="14858" width="9.625" style="85" bestFit="1" customWidth="1"/>
    <col min="14859" max="14859" width="8.25" style="85" bestFit="1" customWidth="1"/>
    <col min="14860" max="14861" width="9.625" style="85" bestFit="1" customWidth="1"/>
    <col min="14862" max="14863" width="8.25" style="85" bestFit="1" customWidth="1"/>
    <col min="14864" max="14864" width="11" style="85" bestFit="1" customWidth="1"/>
    <col min="14865" max="14865" width="8" style="85" bestFit="1" customWidth="1"/>
    <col min="14866" max="14866" width="7.75" style="85" bestFit="1" customWidth="1"/>
    <col min="14867" max="14868" width="9.625" style="85" bestFit="1" customWidth="1"/>
    <col min="14869" max="14870" width="9.625" style="85" customWidth="1"/>
    <col min="14871" max="14871" width="9.25" style="85" bestFit="1" customWidth="1"/>
    <col min="14872" max="14872" width="11" style="85" bestFit="1" customWidth="1"/>
    <col min="14873" max="15105" width="9" style="85"/>
    <col min="15106" max="15106" width="4.625" style="85" bestFit="1" customWidth="1"/>
    <col min="15107" max="15107" width="7.5" style="85" bestFit="1" customWidth="1"/>
    <col min="15108" max="15108" width="6.25" style="85" customWidth="1"/>
    <col min="15109" max="15109" width="11" style="85" bestFit="1" customWidth="1"/>
    <col min="15110" max="15111" width="9.625" style="85" bestFit="1" customWidth="1"/>
    <col min="15112" max="15112" width="8.25" style="85" bestFit="1" customWidth="1"/>
    <col min="15113" max="15114" width="9.625" style="85" bestFit="1" customWidth="1"/>
    <col min="15115" max="15115" width="8.25" style="85" bestFit="1" customWidth="1"/>
    <col min="15116" max="15117" width="9.625" style="85" bestFit="1" customWidth="1"/>
    <col min="15118" max="15119" width="8.25" style="85" bestFit="1" customWidth="1"/>
    <col min="15120" max="15120" width="11" style="85" bestFit="1" customWidth="1"/>
    <col min="15121" max="15121" width="8" style="85" bestFit="1" customWidth="1"/>
    <col min="15122" max="15122" width="7.75" style="85" bestFit="1" customWidth="1"/>
    <col min="15123" max="15124" width="9.625" style="85" bestFit="1" customWidth="1"/>
    <col min="15125" max="15126" width="9.625" style="85" customWidth="1"/>
    <col min="15127" max="15127" width="9.25" style="85" bestFit="1" customWidth="1"/>
    <col min="15128" max="15128" width="11" style="85" bestFit="1" customWidth="1"/>
    <col min="15129" max="15361" width="9" style="85"/>
    <col min="15362" max="15362" width="4.625" style="85" bestFit="1" customWidth="1"/>
    <col min="15363" max="15363" width="7.5" style="85" bestFit="1" customWidth="1"/>
    <col min="15364" max="15364" width="6.25" style="85" customWidth="1"/>
    <col min="15365" max="15365" width="11" style="85" bestFit="1" customWidth="1"/>
    <col min="15366" max="15367" width="9.625" style="85" bestFit="1" customWidth="1"/>
    <col min="15368" max="15368" width="8.25" style="85" bestFit="1" customWidth="1"/>
    <col min="15369" max="15370" width="9.625" style="85" bestFit="1" customWidth="1"/>
    <col min="15371" max="15371" width="8.25" style="85" bestFit="1" customWidth="1"/>
    <col min="15372" max="15373" width="9.625" style="85" bestFit="1" customWidth="1"/>
    <col min="15374" max="15375" width="8.25" style="85" bestFit="1" customWidth="1"/>
    <col min="15376" max="15376" width="11" style="85" bestFit="1" customWidth="1"/>
    <col min="15377" max="15377" width="8" style="85" bestFit="1" customWidth="1"/>
    <col min="15378" max="15378" width="7.75" style="85" bestFit="1" customWidth="1"/>
    <col min="15379" max="15380" width="9.625" style="85" bestFit="1" customWidth="1"/>
    <col min="15381" max="15382" width="9.625" style="85" customWidth="1"/>
    <col min="15383" max="15383" width="9.25" style="85" bestFit="1" customWidth="1"/>
    <col min="15384" max="15384" width="11" style="85" bestFit="1" customWidth="1"/>
    <col min="15385" max="15617" width="9" style="85"/>
    <col min="15618" max="15618" width="4.625" style="85" bestFit="1" customWidth="1"/>
    <col min="15619" max="15619" width="7.5" style="85" bestFit="1" customWidth="1"/>
    <col min="15620" max="15620" width="6.25" style="85" customWidth="1"/>
    <col min="15621" max="15621" width="11" style="85" bestFit="1" customWidth="1"/>
    <col min="15622" max="15623" width="9.625" style="85" bestFit="1" customWidth="1"/>
    <col min="15624" max="15624" width="8.25" style="85" bestFit="1" customWidth="1"/>
    <col min="15625" max="15626" width="9.625" style="85" bestFit="1" customWidth="1"/>
    <col min="15627" max="15627" width="8.25" style="85" bestFit="1" customWidth="1"/>
    <col min="15628" max="15629" width="9.625" style="85" bestFit="1" customWidth="1"/>
    <col min="15630" max="15631" width="8.25" style="85" bestFit="1" customWidth="1"/>
    <col min="15632" max="15632" width="11" style="85" bestFit="1" customWidth="1"/>
    <col min="15633" max="15633" width="8" style="85" bestFit="1" customWidth="1"/>
    <col min="15634" max="15634" width="7.75" style="85" bestFit="1" customWidth="1"/>
    <col min="15635" max="15636" width="9.625" style="85" bestFit="1" customWidth="1"/>
    <col min="15637" max="15638" width="9.625" style="85" customWidth="1"/>
    <col min="15639" max="15639" width="9.25" style="85" bestFit="1" customWidth="1"/>
    <col min="15640" max="15640" width="11" style="85" bestFit="1" customWidth="1"/>
    <col min="15641" max="15873" width="9" style="85"/>
    <col min="15874" max="15874" width="4.625" style="85" bestFit="1" customWidth="1"/>
    <col min="15875" max="15875" width="7.5" style="85" bestFit="1" customWidth="1"/>
    <col min="15876" max="15876" width="6.25" style="85" customWidth="1"/>
    <col min="15877" max="15877" width="11" style="85" bestFit="1" customWidth="1"/>
    <col min="15878" max="15879" width="9.625" style="85" bestFit="1" customWidth="1"/>
    <col min="15880" max="15880" width="8.25" style="85" bestFit="1" customWidth="1"/>
    <col min="15881" max="15882" width="9.625" style="85" bestFit="1" customWidth="1"/>
    <col min="15883" max="15883" width="8.25" style="85" bestFit="1" customWidth="1"/>
    <col min="15884" max="15885" width="9.625" style="85" bestFit="1" customWidth="1"/>
    <col min="15886" max="15887" width="8.25" style="85" bestFit="1" customWidth="1"/>
    <col min="15888" max="15888" width="11" style="85" bestFit="1" customWidth="1"/>
    <col min="15889" max="15889" width="8" style="85" bestFit="1" customWidth="1"/>
    <col min="15890" max="15890" width="7.75" style="85" bestFit="1" customWidth="1"/>
    <col min="15891" max="15892" width="9.625" style="85" bestFit="1" customWidth="1"/>
    <col min="15893" max="15894" width="9.625" style="85" customWidth="1"/>
    <col min="15895" max="15895" width="9.25" style="85" bestFit="1" customWidth="1"/>
    <col min="15896" max="15896" width="11" style="85" bestFit="1" customWidth="1"/>
    <col min="15897" max="16129" width="9" style="85"/>
    <col min="16130" max="16130" width="4.625" style="85" bestFit="1" customWidth="1"/>
    <col min="16131" max="16131" width="7.5" style="85" bestFit="1" customWidth="1"/>
    <col min="16132" max="16132" width="6.25" style="85" customWidth="1"/>
    <col min="16133" max="16133" width="11" style="85" bestFit="1" customWidth="1"/>
    <col min="16134" max="16135" width="9.625" style="85" bestFit="1" customWidth="1"/>
    <col min="16136" max="16136" width="8.25" style="85" bestFit="1" customWidth="1"/>
    <col min="16137" max="16138" width="9.625" style="85" bestFit="1" customWidth="1"/>
    <col min="16139" max="16139" width="8.25" style="85" bestFit="1" customWidth="1"/>
    <col min="16140" max="16141" width="9.625" style="85" bestFit="1" customWidth="1"/>
    <col min="16142" max="16143" width="8.25" style="85" bestFit="1" customWidth="1"/>
    <col min="16144" max="16144" width="11" style="85" bestFit="1" customWidth="1"/>
    <col min="16145" max="16145" width="8" style="85" bestFit="1" customWidth="1"/>
    <col min="16146" max="16146" width="7.75" style="85" bestFit="1" customWidth="1"/>
    <col min="16147" max="16148" width="9.625" style="85" bestFit="1" customWidth="1"/>
    <col min="16149" max="16150" width="9.625" style="85" customWidth="1"/>
    <col min="16151" max="16151" width="9.25" style="85" bestFit="1" customWidth="1"/>
    <col min="16152" max="16152" width="11" style="85" bestFit="1" customWidth="1"/>
    <col min="16153" max="16384" width="9" style="85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135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68"/>
      <c r="V4" s="252"/>
      <c r="W4" s="252"/>
      <c r="X4" s="252"/>
    </row>
    <row r="5" spans="2:29" ht="20.25" customHeight="1" x14ac:dyDescent="0.3">
      <c r="B5" s="253" t="s">
        <v>149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73"/>
      <c r="Q5" s="69"/>
      <c r="R5" s="69"/>
      <c r="S5" s="69"/>
      <c r="T5" s="252"/>
      <c r="U5" s="6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99</v>
      </c>
      <c r="F7" s="243"/>
      <c r="G7" s="243"/>
      <c r="H7" s="243"/>
      <c r="I7" s="243"/>
      <c r="J7" s="243"/>
      <c r="K7" s="243"/>
      <c r="L7" s="243"/>
      <c r="M7" s="243"/>
      <c r="N7" s="242" t="s">
        <v>100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101</v>
      </c>
      <c r="AA7" s="250" t="s">
        <v>102</v>
      </c>
      <c r="AC7" s="234" t="s">
        <v>103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104</v>
      </c>
      <c r="G8" s="81" t="s">
        <v>105</v>
      </c>
      <c r="H8" s="81" t="s">
        <v>106</v>
      </c>
      <c r="I8" s="81" t="s">
        <v>77</v>
      </c>
      <c r="J8" s="82" t="s">
        <v>107</v>
      </c>
      <c r="K8" s="82" t="s">
        <v>108</v>
      </c>
      <c r="L8" s="82" t="s">
        <v>109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s="140" customFormat="1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5" si="0">SUM(E9:O9)</f>
        <v>2500000</v>
      </c>
      <c r="Q9" s="94">
        <f t="shared" ref="Q9:Q15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15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15" si="3">IFERROR(ROUNDDOWN((P9-AC9)*3.43%,-1),)</f>
        <v>75460</v>
      </c>
      <c r="U9" s="96">
        <f t="shared" ref="U9:U15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15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s="140" customFormat="1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4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s="140" customFormat="1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>
        <f t="shared" si="8"/>
        <v>99000</v>
      </c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229290</v>
      </c>
      <c r="X11" s="128">
        <f t="shared" si="7"/>
        <v>2270710</v>
      </c>
      <c r="Z11" s="98">
        <v>1</v>
      </c>
      <c r="AA11" s="99"/>
      <c r="AC11" s="100">
        <f t="shared" si="9"/>
        <v>300000</v>
      </c>
    </row>
    <row r="12" spans="2:29" s="140" customFormat="1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>
        <f>[1]직원인적급여카드!M5</f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f t="shared" si="0"/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s="140" customFormat="1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s="140" customFormat="1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>
        <f t="shared" si="8"/>
        <v>99000</v>
      </c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229290</v>
      </c>
      <c r="X14" s="128">
        <f t="shared" si="7"/>
        <v>2270710</v>
      </c>
      <c r="Z14" s="98">
        <v>1</v>
      </c>
      <c r="AA14" s="99"/>
      <c r="AC14" s="100">
        <f>IF(N15&gt;=100000,100000,N15)+IF(O14&gt;=200000,200000,O14)</f>
        <v>300000</v>
      </c>
    </row>
    <row r="15" spans="2:29" s="140" customFormat="1" ht="20.100000000000001" customHeight="1" x14ac:dyDescent="0.3">
      <c r="B15" s="101">
        <v>7</v>
      </c>
      <c r="C15" s="87" t="str">
        <f>[1]직원인적급여카드!B8</f>
        <v>이일복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95"/>
      <c r="T15" s="95">
        <f t="shared" si="3"/>
        <v>75460</v>
      </c>
      <c r="U15" s="96">
        <f t="shared" si="4"/>
        <v>8690</v>
      </c>
      <c r="V15" s="96">
        <f t="shared" ref="V15" si="10">IFERROR(IF(D15&lt;&gt;"대표이사",ROUNDDOWN((P15-AC15)*고용보험율,-1),0),)</f>
        <v>17600</v>
      </c>
      <c r="W15" s="93">
        <f t="shared" ref="W15" si="11">SUM(Q15:V15)</f>
        <v>130290</v>
      </c>
      <c r="X15" s="97">
        <f t="shared" si="7"/>
        <v>2369710</v>
      </c>
      <c r="Z15" s="98">
        <v>1</v>
      </c>
      <c r="AA15" s="99"/>
      <c r="AC15" s="100">
        <f t="shared" ref="AC15" si="12">IF(N15&gt;=100000,100000,N15)+IF(O15&gt;=200000,200000,O15)</f>
        <v>300000</v>
      </c>
    </row>
    <row r="16" spans="2:29" ht="20.100000000000001" customHeight="1" x14ac:dyDescent="0.3">
      <c r="B16" s="101"/>
      <c r="C16" s="87" t="s">
        <v>44</v>
      </c>
      <c r="D16" s="88" t="s">
        <v>45</v>
      </c>
      <c r="E16" s="89"/>
      <c r="F16" s="102"/>
      <c r="G16" s="102"/>
      <c r="H16" s="102"/>
      <c r="I16" s="102"/>
      <c r="J16" s="103"/>
      <c r="K16" s="103"/>
      <c r="L16" s="103"/>
      <c r="M16" s="103"/>
      <c r="N16" s="89"/>
      <c r="O16" s="129"/>
      <c r="P16" s="124"/>
      <c r="Q16" s="125">
        <f t="shared" ref="Q16:Q20" si="13">IFERROR(IF(P16-AC16&lt;=10000000,VLOOKUP((P16-AC16)/1000,간이세액표,IF(11&lt;Z16+AA16,13,2+Z16+AA16),TRUE),IF(P16-AC16&gt;14000000,VLOOKUP((P16-AC16)/1000,간이세액표,IF(11&lt;Z16+AA16,13,2+Z16+AA16),TRUE)+1372000+ROUNDDOWN(((P16-AC16-14000000)*98%)*38%,-1),VLOOKUP((P16-AC16)/1000,간이세액표,IF(11&lt;Z16+AA16,13,2+Z16+AA16),TRUE)+ROUNDDOWN(((P16-AC16-10000000)*98%)*35%,-1))),)</f>
        <v>0</v>
      </c>
      <c r="R16" s="126">
        <f t="shared" ref="R16:R20" si="14">ROUNDDOWN(Q16*10%,-1)</f>
        <v>0</v>
      </c>
      <c r="S16" s="126">
        <f t="shared" ref="S16:S18" si="15">IFERROR(IF(AND(P16-AC16&gt;=월액최저,P16-AC16&lt;=월액최고),ROUNDDOWN((P16-AC16)*국민연금,-1),IF(P16-AC16&gt;=월액최고,최고연금,IF(AND(P16-AC16&lt;=월액최저,P16-AC16&gt;=1),최저연금,))),)</f>
        <v>0</v>
      </c>
      <c r="T16" s="126">
        <f t="shared" ref="T16:T17" si="16">IFERROR(ROUNDDOWN((P16-AC16)*건강보험율,-1),)</f>
        <v>0</v>
      </c>
      <c r="U16" s="127">
        <f>ROUNDDOWN(T16*요양보험율,-1)</f>
        <v>0</v>
      </c>
      <c r="V16" s="127">
        <f t="shared" ref="V16:V20" si="17">IFERROR(IF(D16&lt;&gt;"대표이사",ROUNDDOWN((P16-AC16)*고용보험율,-1),0),)</f>
        <v>0</v>
      </c>
      <c r="W16" s="124">
        <f t="shared" ref="W16:W20" si="18">SUM(Q16:V16)</f>
        <v>0</v>
      </c>
      <c r="X16" s="128">
        <f t="shared" ref="X16:X20" si="19">P16-W16</f>
        <v>0</v>
      </c>
      <c r="Z16" s="98"/>
      <c r="AA16" s="99"/>
      <c r="AC16" s="100">
        <f t="shared" ref="AC16:AC20" si="20">IF(N16&gt;=100000,100000,N16)+IF(O16&gt;=200000,200000,O16)</f>
        <v>0</v>
      </c>
    </row>
    <row r="17" spans="2:29" ht="20.100000000000001" customHeight="1" x14ac:dyDescent="0.3">
      <c r="B17" s="101">
        <v>8</v>
      </c>
      <c r="C17" s="87" t="s">
        <v>116</v>
      </c>
      <c r="D17" s="88" t="s">
        <v>50</v>
      </c>
      <c r="E17" s="89">
        <v>1050000</v>
      </c>
      <c r="F17" s="102"/>
      <c r="G17" s="102"/>
      <c r="H17" s="102"/>
      <c r="I17" s="102"/>
      <c r="J17" s="103"/>
      <c r="K17" s="103"/>
      <c r="L17" s="103"/>
      <c r="M17" s="103"/>
      <c r="N17" s="89">
        <v>100000</v>
      </c>
      <c r="O17" s="129">
        <v>100000</v>
      </c>
      <c r="P17" s="124">
        <f t="shared" ref="P17:P20" si="21">SUM(E17:O17)</f>
        <v>1250000</v>
      </c>
      <c r="Q17" s="125">
        <f t="shared" si="13"/>
        <v>0</v>
      </c>
      <c r="R17" s="126">
        <f t="shared" si="14"/>
        <v>0</v>
      </c>
      <c r="S17" s="126">
        <f t="shared" si="15"/>
        <v>47250</v>
      </c>
      <c r="T17" s="126">
        <f t="shared" si="16"/>
        <v>36010</v>
      </c>
      <c r="U17" s="96">
        <f>ROUNDDOWN(T17*11.52%,-1)</f>
        <v>4140</v>
      </c>
      <c r="V17" s="127">
        <f t="shared" si="17"/>
        <v>8400</v>
      </c>
      <c r="W17" s="124">
        <f t="shared" si="18"/>
        <v>95800</v>
      </c>
      <c r="X17" s="128">
        <f t="shared" si="19"/>
        <v>1154200</v>
      </c>
      <c r="Z17" s="98">
        <v>1</v>
      </c>
      <c r="AA17" s="99"/>
      <c r="AC17" s="100">
        <f t="shared" si="20"/>
        <v>200000</v>
      </c>
    </row>
    <row r="18" spans="2:29" ht="20.100000000000001" customHeight="1" x14ac:dyDescent="0.3">
      <c r="B18" s="101">
        <v>9</v>
      </c>
      <c r="C18" s="87" t="s">
        <v>117</v>
      </c>
      <c r="D18" s="88" t="s">
        <v>118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21"/>
        <v>2500000</v>
      </c>
      <c r="Q18" s="125">
        <f t="shared" si="13"/>
        <v>25950</v>
      </c>
      <c r="R18" s="126">
        <f t="shared" si="14"/>
        <v>2590</v>
      </c>
      <c r="S18" s="126">
        <f t="shared" si="15"/>
        <v>99000</v>
      </c>
      <c r="T18" s="95">
        <f>IFERROR(ROUNDDOWN((P18-AC18)*3.43%,-1),)</f>
        <v>75460</v>
      </c>
      <c r="U18" s="96">
        <f>ROUNDDOWN(T18*11.52%,-1)</f>
        <v>8690</v>
      </c>
      <c r="V18" s="127">
        <f t="shared" si="17"/>
        <v>17600</v>
      </c>
      <c r="W18" s="124">
        <f t="shared" si="18"/>
        <v>229290</v>
      </c>
      <c r="X18" s="128">
        <f t="shared" si="19"/>
        <v>2270710</v>
      </c>
      <c r="Z18" s="98">
        <v>1</v>
      </c>
      <c r="AA18" s="99"/>
      <c r="AC18" s="100">
        <f t="shared" si="20"/>
        <v>300000</v>
      </c>
    </row>
    <row r="19" spans="2:29" ht="20.100000000000001" customHeight="1" x14ac:dyDescent="0.3">
      <c r="B19" s="101">
        <v>10</v>
      </c>
      <c r="C19" s="87" t="s">
        <v>119</v>
      </c>
      <c r="D19" s="88" t="s">
        <v>50</v>
      </c>
      <c r="E19" s="89">
        <v>2100000</v>
      </c>
      <c r="F19" s="106"/>
      <c r="G19" s="106"/>
      <c r="H19" s="106"/>
      <c r="I19" s="106"/>
      <c r="J19" s="107"/>
      <c r="K19" s="107"/>
      <c r="L19" s="107"/>
      <c r="M19" s="107"/>
      <c r="N19" s="89">
        <v>200000</v>
      </c>
      <c r="O19" s="130">
        <v>200000</v>
      </c>
      <c r="P19" s="124">
        <f t="shared" si="21"/>
        <v>2500000</v>
      </c>
      <c r="Q19" s="125">
        <f t="shared" si="13"/>
        <v>25950</v>
      </c>
      <c r="R19" s="126">
        <f t="shared" si="14"/>
        <v>2590</v>
      </c>
      <c r="S19" s="126"/>
      <c r="T19" s="95">
        <f>IFERROR(ROUNDDOWN((P19-AC19)*3.43%,-1),)</f>
        <v>75460</v>
      </c>
      <c r="U19" s="96">
        <f>ROUNDDOWN(T19*11.52%,-1)</f>
        <v>8690</v>
      </c>
      <c r="V19" s="127">
        <f t="shared" si="17"/>
        <v>17600</v>
      </c>
      <c r="W19" s="124">
        <f t="shared" si="18"/>
        <v>130290</v>
      </c>
      <c r="X19" s="128">
        <f t="shared" si="19"/>
        <v>2369710</v>
      </c>
      <c r="Z19" s="98">
        <v>1</v>
      </c>
      <c r="AA19" s="99"/>
      <c r="AC19" s="100">
        <f t="shared" si="20"/>
        <v>300000</v>
      </c>
    </row>
    <row r="20" spans="2:29" ht="20.100000000000001" customHeight="1" x14ac:dyDescent="0.3">
      <c r="B20" s="101">
        <v>11</v>
      </c>
      <c r="C20" s="87" t="s">
        <v>132</v>
      </c>
      <c r="D20" s="88" t="s">
        <v>133</v>
      </c>
      <c r="E20" s="89">
        <v>2100000</v>
      </c>
      <c r="F20" s="106"/>
      <c r="G20" s="106"/>
      <c r="H20" s="106"/>
      <c r="I20" s="106"/>
      <c r="J20" s="107"/>
      <c r="K20" s="107"/>
      <c r="L20" s="107"/>
      <c r="M20" s="107"/>
      <c r="N20" s="89">
        <v>200000</v>
      </c>
      <c r="O20" s="130">
        <v>200000</v>
      </c>
      <c r="P20" s="124">
        <f t="shared" si="21"/>
        <v>2500000</v>
      </c>
      <c r="Q20" s="125">
        <f t="shared" si="13"/>
        <v>25950</v>
      </c>
      <c r="R20" s="126">
        <f t="shared" si="14"/>
        <v>2590</v>
      </c>
      <c r="S20" s="126">
        <f t="shared" ref="S20" si="22">IFERROR(IF(AND(P20-AC20&gt;=월액최저,P20-AC20&lt;=월액최고),ROUNDDOWN((P20-AC20)*국민연금,-1),IF(P20-AC20&gt;=월액최고,최고연금,IF(AND(P20-AC20&lt;=월액최저,P20-AC20&gt;=1),최저연금,))),)</f>
        <v>99000</v>
      </c>
      <c r="T20" s="95">
        <f>IFERROR(ROUNDDOWN((P20-AC20)*3.43%,-1),)</f>
        <v>75460</v>
      </c>
      <c r="U20" s="96">
        <f>ROUNDDOWN(T20*11.52%,-1)</f>
        <v>8690</v>
      </c>
      <c r="V20" s="127">
        <f t="shared" si="17"/>
        <v>17600</v>
      </c>
      <c r="W20" s="124">
        <f t="shared" si="18"/>
        <v>229290</v>
      </c>
      <c r="X20" s="128">
        <f t="shared" si="19"/>
        <v>2270710</v>
      </c>
      <c r="Z20" s="98">
        <v>1</v>
      </c>
      <c r="AA20" s="99"/>
      <c r="AC20" s="100">
        <f t="shared" si="20"/>
        <v>300000</v>
      </c>
    </row>
    <row r="21" spans="2:29" ht="20.100000000000001" customHeight="1" x14ac:dyDescent="0.3">
      <c r="B21" s="216" t="s">
        <v>120</v>
      </c>
      <c r="C21" s="217"/>
      <c r="D21" s="218"/>
      <c r="E21" s="131">
        <f t="shared" ref="E21:X21" si="23">SUM(E9:E20)</f>
        <v>22050000</v>
      </c>
      <c r="F21" s="132">
        <f t="shared" si="23"/>
        <v>0</v>
      </c>
      <c r="G21" s="132">
        <f t="shared" si="23"/>
        <v>0</v>
      </c>
      <c r="H21" s="132">
        <f t="shared" si="23"/>
        <v>0</v>
      </c>
      <c r="I21" s="132">
        <f t="shared" si="23"/>
        <v>0</v>
      </c>
      <c r="J21" s="132">
        <f t="shared" si="23"/>
        <v>0</v>
      </c>
      <c r="K21" s="132">
        <f t="shared" si="23"/>
        <v>0</v>
      </c>
      <c r="L21" s="132">
        <f t="shared" si="23"/>
        <v>0</v>
      </c>
      <c r="M21" s="133">
        <f t="shared" si="23"/>
        <v>0</v>
      </c>
      <c r="N21" s="131">
        <f t="shared" si="23"/>
        <v>2100000</v>
      </c>
      <c r="O21" s="134">
        <f t="shared" si="23"/>
        <v>2100000</v>
      </c>
      <c r="P21" s="135">
        <f t="shared" si="23"/>
        <v>26250000</v>
      </c>
      <c r="Q21" s="131">
        <f t="shared" si="23"/>
        <v>259500</v>
      </c>
      <c r="R21" s="132">
        <f t="shared" si="23"/>
        <v>25900</v>
      </c>
      <c r="S21" s="132">
        <f t="shared" si="23"/>
        <v>740250</v>
      </c>
      <c r="T21" s="132">
        <f t="shared" si="23"/>
        <v>790610</v>
      </c>
      <c r="U21" s="133">
        <f t="shared" si="23"/>
        <v>91040</v>
      </c>
      <c r="V21" s="133">
        <f t="shared" si="23"/>
        <v>184400</v>
      </c>
      <c r="W21" s="135">
        <f t="shared" si="23"/>
        <v>2091700</v>
      </c>
      <c r="X21" s="136">
        <f t="shared" si="23"/>
        <v>24158300</v>
      </c>
    </row>
    <row r="22" spans="2:29" ht="20.25" customHeight="1" thickBot="1" x14ac:dyDescent="0.35">
      <c r="B22" s="219" t="s">
        <v>121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</row>
    <row r="23" spans="2:29" ht="15" customHeight="1" x14ac:dyDescent="0.3">
      <c r="B23" s="118"/>
      <c r="C23" s="119" t="s">
        <v>122</v>
      </c>
      <c r="D23" s="220" t="s">
        <v>123</v>
      </c>
      <c r="E23" s="221"/>
      <c r="F23" s="220" t="s">
        <v>124</v>
      </c>
      <c r="G23" s="221"/>
      <c r="H23" s="222" t="s">
        <v>125</v>
      </c>
      <c r="I23" s="223"/>
      <c r="J23" s="223"/>
      <c r="K23" s="223"/>
      <c r="L23" s="223"/>
      <c r="M23" s="223"/>
      <c r="N23" s="223"/>
      <c r="O23" s="223"/>
      <c r="P23" s="224"/>
      <c r="Q23" s="64"/>
      <c r="R23" s="64"/>
      <c r="S23" s="64"/>
      <c r="T23" s="64"/>
      <c r="U23" s="64"/>
      <c r="V23" s="64"/>
    </row>
    <row r="24" spans="2:29" ht="15" customHeight="1" x14ac:dyDescent="0.3">
      <c r="B24" s="225" t="s">
        <v>126</v>
      </c>
      <c r="C24" s="120"/>
      <c r="D24" s="197"/>
      <c r="E24" s="198"/>
      <c r="F24" s="204"/>
      <c r="G24" s="205"/>
      <c r="H24" s="206"/>
      <c r="I24" s="207"/>
      <c r="J24" s="207"/>
      <c r="K24" s="207"/>
      <c r="L24" s="207"/>
      <c r="M24" s="207"/>
      <c r="N24" s="207"/>
      <c r="O24" s="207"/>
      <c r="P24" s="208"/>
      <c r="Q24" s="64"/>
      <c r="R24" s="64"/>
      <c r="S24" s="64"/>
      <c r="T24" s="64"/>
      <c r="U24" s="64"/>
      <c r="V24" s="64"/>
    </row>
    <row r="25" spans="2:29" ht="15" customHeight="1" x14ac:dyDescent="0.3">
      <c r="B25" s="195"/>
      <c r="C25" s="120"/>
      <c r="D25" s="197"/>
      <c r="E25" s="198"/>
      <c r="F25" s="204"/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thickBot="1" x14ac:dyDescent="0.35">
      <c r="B26" s="226"/>
      <c r="C26" s="121"/>
      <c r="D26" s="227"/>
      <c r="E26" s="228"/>
      <c r="F26" s="229"/>
      <c r="G26" s="230"/>
      <c r="H26" s="231"/>
      <c r="I26" s="232"/>
      <c r="J26" s="232"/>
      <c r="K26" s="232"/>
      <c r="L26" s="232"/>
      <c r="M26" s="232"/>
      <c r="N26" s="232"/>
      <c r="O26" s="232"/>
      <c r="P26" s="233"/>
      <c r="Q26" s="64"/>
      <c r="R26" s="64"/>
      <c r="S26" s="64"/>
      <c r="T26" s="64"/>
      <c r="U26" s="64"/>
      <c r="V26" s="64"/>
    </row>
    <row r="27" spans="2:29" ht="15" customHeight="1" thickTop="1" x14ac:dyDescent="0.3">
      <c r="B27" s="195" t="s">
        <v>127</v>
      </c>
      <c r="C27" s="120" t="s">
        <v>49</v>
      </c>
      <c r="D27" s="197" t="s">
        <v>140</v>
      </c>
      <c r="E27" s="198"/>
      <c r="F27" s="199" t="s">
        <v>131</v>
      </c>
      <c r="G27" s="200"/>
      <c r="H27" s="201"/>
      <c r="I27" s="202"/>
      <c r="J27" s="202"/>
      <c r="K27" s="202"/>
      <c r="L27" s="202"/>
      <c r="M27" s="202"/>
      <c r="N27" s="202"/>
      <c r="O27" s="202"/>
      <c r="P27" s="203"/>
      <c r="Q27" s="64"/>
      <c r="R27" s="64"/>
      <c r="S27" s="64"/>
      <c r="T27" s="64"/>
      <c r="U27" s="64"/>
      <c r="V27" s="64"/>
    </row>
    <row r="28" spans="2:29" ht="15" customHeight="1" x14ac:dyDescent="0.3">
      <c r="B28" s="195"/>
      <c r="C28" s="120"/>
      <c r="D28" s="197"/>
      <c r="E28" s="198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thickBot="1" x14ac:dyDescent="0.35">
      <c r="B29" s="196"/>
      <c r="C29" s="122"/>
      <c r="D29" s="209"/>
      <c r="E29" s="210"/>
      <c r="F29" s="211"/>
      <c r="G29" s="212"/>
      <c r="H29" s="213"/>
      <c r="I29" s="214"/>
      <c r="J29" s="214"/>
      <c r="K29" s="214"/>
      <c r="L29" s="214"/>
      <c r="M29" s="214"/>
      <c r="N29" s="214"/>
      <c r="O29" s="214"/>
      <c r="P29" s="215"/>
      <c r="Q29" s="64"/>
      <c r="R29" s="64"/>
      <c r="S29" s="64"/>
      <c r="T29" s="64"/>
      <c r="U29" s="64"/>
      <c r="V29" s="64"/>
    </row>
    <row r="30" spans="2:29" ht="20.100000000000001" customHeight="1" x14ac:dyDescent="0.3">
      <c r="Q30" s="64"/>
      <c r="R30" s="64"/>
      <c r="S30" s="64"/>
      <c r="T30" s="64"/>
      <c r="U30" s="64"/>
      <c r="V30" s="64"/>
    </row>
    <row r="31" spans="2:29" s="64" customFormat="1" ht="20.100000000000001" customHeight="1" x14ac:dyDescent="0.3">
      <c r="B31" s="85"/>
      <c r="C31" s="85"/>
      <c r="D31" s="85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2:29" s="64" customFormat="1" ht="20.100000000000001" customHeight="1" x14ac:dyDescent="0.3">
      <c r="B32" s="85"/>
      <c r="C32" s="85"/>
      <c r="D32" s="85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85"/>
      <c r="C33" s="85"/>
      <c r="D33" s="85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85"/>
      <c r="C34" s="85"/>
      <c r="D34" s="85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85"/>
      <c r="C35" s="85"/>
      <c r="D35" s="85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85"/>
      <c r="C36" s="85"/>
      <c r="D36" s="85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85"/>
      <c r="C37" s="85"/>
      <c r="D37" s="85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85"/>
      <c r="C38" s="85"/>
      <c r="D38" s="85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85"/>
      <c r="C39" s="85"/>
      <c r="D39" s="85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85"/>
      <c r="C40" s="85"/>
      <c r="D40" s="85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85"/>
      <c r="C41" s="85"/>
      <c r="D41" s="85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85"/>
      <c r="C42" s="85"/>
      <c r="D42" s="85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85"/>
      <c r="C43" s="85"/>
      <c r="D43" s="85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85"/>
      <c r="C44" s="85"/>
      <c r="D44" s="85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85"/>
      <c r="C45" s="85"/>
      <c r="D45" s="85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85"/>
      <c r="C46" s="85"/>
      <c r="D46" s="85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85"/>
      <c r="C47" s="85"/>
      <c r="D47" s="85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85"/>
      <c r="C48" s="85"/>
      <c r="D48" s="85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85"/>
      <c r="C49" s="85"/>
      <c r="D49" s="85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85"/>
      <c r="C50" s="85"/>
      <c r="D50" s="85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85"/>
      <c r="C51" s="85"/>
      <c r="D51" s="85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85"/>
      <c r="C52" s="85"/>
      <c r="D52" s="85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85"/>
      <c r="C53" s="85"/>
      <c r="D53" s="85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85"/>
      <c r="C54" s="85"/>
      <c r="D54" s="85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85"/>
      <c r="C55" s="85"/>
      <c r="D55" s="85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85"/>
      <c r="C56" s="85"/>
      <c r="D56" s="85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85"/>
      <c r="C57" s="85"/>
      <c r="D57" s="85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85"/>
      <c r="C58" s="85"/>
      <c r="D58" s="85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85"/>
      <c r="C59" s="85"/>
      <c r="D59" s="85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85"/>
      <c r="C60" s="85"/>
      <c r="D60" s="85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85"/>
      <c r="C61" s="85"/>
      <c r="D61" s="85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85"/>
      <c r="C62" s="85"/>
      <c r="D62" s="85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85"/>
      <c r="C63" s="85"/>
      <c r="D63" s="85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85"/>
      <c r="C64" s="85"/>
      <c r="D64" s="85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85"/>
      <c r="C65" s="85"/>
      <c r="D65" s="85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85"/>
      <c r="C66" s="85"/>
      <c r="D66" s="85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85"/>
      <c r="C67" s="85"/>
      <c r="D67" s="85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85"/>
      <c r="C68" s="85"/>
      <c r="D68" s="85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85"/>
      <c r="C69" s="85"/>
      <c r="D69" s="85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85"/>
      <c r="C70" s="85"/>
      <c r="D70" s="85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85"/>
      <c r="C71" s="85"/>
      <c r="D71" s="85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85"/>
      <c r="C72" s="85"/>
      <c r="D72" s="85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85"/>
      <c r="C73" s="85"/>
      <c r="D73" s="85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85"/>
      <c r="C74" s="85"/>
      <c r="D74" s="85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85"/>
      <c r="C75" s="85"/>
      <c r="D75" s="85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85"/>
      <c r="C76" s="85"/>
      <c r="D76" s="85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85"/>
      <c r="C77" s="85"/>
      <c r="D77" s="85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85"/>
      <c r="C78" s="85"/>
      <c r="D78" s="85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85"/>
      <c r="C79" s="85"/>
      <c r="D79" s="85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85"/>
      <c r="C80" s="85"/>
      <c r="D80" s="85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85"/>
      <c r="C81" s="85"/>
      <c r="D81" s="85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85"/>
      <c r="C82" s="85"/>
      <c r="D82" s="85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85"/>
      <c r="C83" s="85"/>
      <c r="D83" s="85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85"/>
      <c r="C84" s="85"/>
      <c r="D84" s="85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85"/>
      <c r="C85" s="85"/>
      <c r="D85" s="85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85"/>
      <c r="C86" s="85"/>
      <c r="D86" s="85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85"/>
      <c r="C87" s="85"/>
      <c r="D87" s="85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85"/>
      <c r="C88" s="85"/>
      <c r="D88" s="85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85"/>
      <c r="C89" s="85"/>
      <c r="D89" s="85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85"/>
      <c r="C90" s="85"/>
      <c r="D90" s="85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85"/>
      <c r="C91" s="85"/>
      <c r="D91" s="85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85"/>
      <c r="C92" s="85"/>
      <c r="D92" s="85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85"/>
      <c r="C93" s="85"/>
      <c r="D93" s="85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85"/>
      <c r="C94" s="85"/>
      <c r="D94" s="85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85"/>
      <c r="C95" s="85"/>
      <c r="D95" s="85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85"/>
      <c r="C96" s="85"/>
      <c r="D96" s="85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85"/>
      <c r="C97" s="85"/>
      <c r="D97" s="85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85"/>
      <c r="C98" s="85"/>
      <c r="D98" s="85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85"/>
      <c r="C99" s="85"/>
      <c r="D99" s="85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85"/>
      <c r="C100" s="85"/>
      <c r="D100" s="85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85"/>
      <c r="C101" s="85"/>
      <c r="D101" s="85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85"/>
      <c r="C102" s="85"/>
      <c r="D102" s="85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85"/>
      <c r="C103" s="85"/>
      <c r="D103" s="85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85"/>
      <c r="C104" s="85"/>
      <c r="D104" s="85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85"/>
      <c r="C105" s="85"/>
      <c r="D105" s="85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85"/>
      <c r="C106" s="85"/>
      <c r="D106" s="85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85"/>
      <c r="C107" s="85"/>
      <c r="D107" s="85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85"/>
      <c r="C108" s="85"/>
      <c r="D108" s="85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85"/>
      <c r="C109" s="85"/>
      <c r="D109" s="85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85"/>
      <c r="C110" s="85"/>
      <c r="D110" s="85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85"/>
      <c r="C111" s="85"/>
      <c r="D111" s="85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85"/>
      <c r="C112" s="85"/>
      <c r="D112" s="85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85"/>
      <c r="C113" s="85"/>
      <c r="D113" s="85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85"/>
      <c r="C114" s="85"/>
      <c r="D114" s="85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85"/>
      <c r="C115" s="85"/>
      <c r="D115" s="85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85"/>
      <c r="C116" s="85"/>
      <c r="D116" s="85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85"/>
      <c r="C117" s="85"/>
      <c r="D117" s="85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85"/>
      <c r="C118" s="85"/>
      <c r="D118" s="85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85"/>
      <c r="C119" s="85"/>
      <c r="D119" s="85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85"/>
      <c r="C120" s="85"/>
      <c r="D120" s="85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85"/>
      <c r="C121" s="85"/>
      <c r="D121" s="85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85"/>
      <c r="C122" s="85"/>
      <c r="D122" s="85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85"/>
      <c r="C123" s="85"/>
      <c r="D123" s="85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85"/>
      <c r="C124" s="85"/>
      <c r="D124" s="85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85"/>
      <c r="C125" s="85"/>
      <c r="D125" s="85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85"/>
      <c r="C126" s="85"/>
      <c r="D126" s="85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85"/>
      <c r="C127" s="85"/>
      <c r="D127" s="85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85"/>
      <c r="C128" s="85"/>
      <c r="D128" s="85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85"/>
      <c r="C129" s="85"/>
      <c r="D129" s="85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85"/>
      <c r="C130" s="85"/>
      <c r="D130" s="85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85"/>
      <c r="C131" s="85"/>
      <c r="D131" s="85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85"/>
      <c r="C132" s="85"/>
      <c r="D132" s="85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85"/>
      <c r="C133" s="85"/>
      <c r="D133" s="85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85"/>
      <c r="C134" s="85"/>
      <c r="D134" s="85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85"/>
      <c r="C135" s="85"/>
      <c r="D135" s="85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85"/>
      <c r="C136" s="85"/>
      <c r="D136" s="85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85"/>
      <c r="C137" s="85"/>
      <c r="D137" s="85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85"/>
      <c r="C138" s="85"/>
      <c r="D138" s="85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85"/>
      <c r="C139" s="85"/>
      <c r="D139" s="85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85"/>
      <c r="C140" s="85"/>
      <c r="D140" s="85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85"/>
      <c r="C141" s="85"/>
      <c r="D141" s="85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85"/>
      <c r="C142" s="85"/>
      <c r="D142" s="85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85"/>
      <c r="C143" s="85"/>
      <c r="D143" s="85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85"/>
      <c r="C144" s="85"/>
      <c r="D144" s="85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85"/>
      <c r="C145" s="85"/>
      <c r="D145" s="85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85"/>
      <c r="C146" s="85"/>
      <c r="D146" s="85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85"/>
      <c r="C147" s="85"/>
      <c r="D147" s="85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85"/>
      <c r="C148" s="85"/>
      <c r="D148" s="85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85"/>
      <c r="C149" s="85"/>
      <c r="D149" s="85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85"/>
      <c r="C150" s="85"/>
      <c r="D150" s="85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85"/>
      <c r="C151" s="85"/>
      <c r="D151" s="85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85"/>
      <c r="C152" s="85"/>
      <c r="D152" s="85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85"/>
      <c r="C153" s="85"/>
      <c r="D153" s="85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85"/>
      <c r="C154" s="85"/>
      <c r="D154" s="85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85"/>
      <c r="C155" s="85"/>
      <c r="D155" s="85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85"/>
      <c r="C156" s="85"/>
      <c r="D156" s="85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85"/>
      <c r="C157" s="85"/>
      <c r="D157" s="85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85"/>
      <c r="C158" s="85"/>
      <c r="D158" s="85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85"/>
      <c r="C159" s="85"/>
      <c r="D159" s="85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85"/>
      <c r="C160" s="85"/>
      <c r="D160" s="85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85"/>
      <c r="C161" s="85"/>
      <c r="D161" s="85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85"/>
      <c r="C162" s="85"/>
      <c r="D162" s="85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85"/>
      <c r="C163" s="85"/>
      <c r="D163" s="85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85"/>
      <c r="C164" s="85"/>
      <c r="D164" s="85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85"/>
      <c r="C165" s="85"/>
      <c r="D165" s="85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85"/>
      <c r="C166" s="85"/>
      <c r="D166" s="85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85"/>
      <c r="C167" s="85"/>
      <c r="D167" s="85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85"/>
      <c r="C168" s="85"/>
      <c r="D168" s="85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85"/>
      <c r="C169" s="85"/>
      <c r="D169" s="85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85"/>
      <c r="C170" s="85"/>
      <c r="D170" s="85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85"/>
      <c r="C171" s="85"/>
      <c r="D171" s="85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85"/>
      <c r="C172" s="85"/>
      <c r="D172" s="85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85"/>
      <c r="C173" s="85"/>
      <c r="D173" s="85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85"/>
      <c r="C174" s="85"/>
      <c r="D174" s="85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85"/>
      <c r="C175" s="85"/>
      <c r="D175" s="85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85"/>
      <c r="C176" s="85"/>
      <c r="D176" s="85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85"/>
      <c r="C177" s="85"/>
      <c r="D177" s="85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85"/>
      <c r="C178" s="85"/>
      <c r="D178" s="85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85"/>
      <c r="C179" s="85"/>
      <c r="D179" s="85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85"/>
      <c r="C180" s="85"/>
      <c r="D180" s="85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85"/>
      <c r="C181" s="85"/>
      <c r="D181" s="85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85"/>
      <c r="C182" s="85"/>
      <c r="D182" s="85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85"/>
      <c r="C183" s="85"/>
      <c r="D183" s="85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85"/>
      <c r="C184" s="85"/>
      <c r="D184" s="85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85"/>
      <c r="C185" s="85"/>
      <c r="D185" s="85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85"/>
      <c r="C186" s="85"/>
      <c r="D186" s="85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85"/>
      <c r="C187" s="85"/>
      <c r="D187" s="85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85"/>
      <c r="C188" s="85"/>
      <c r="D188" s="85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85"/>
      <c r="C189" s="85"/>
      <c r="D189" s="85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85"/>
      <c r="C190" s="85"/>
      <c r="D190" s="85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85"/>
      <c r="C191" s="85"/>
      <c r="D191" s="85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85"/>
      <c r="C192" s="85"/>
      <c r="D192" s="85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85"/>
      <c r="C193" s="85"/>
      <c r="D193" s="85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85"/>
      <c r="C194" s="85"/>
      <c r="D194" s="85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85"/>
      <c r="C195" s="85"/>
      <c r="D195" s="85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85"/>
      <c r="C196" s="85"/>
      <c r="D196" s="85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85"/>
      <c r="C197" s="85"/>
      <c r="D197" s="85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85"/>
      <c r="C198" s="85"/>
      <c r="D198" s="85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85"/>
      <c r="C199" s="85"/>
      <c r="D199" s="85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85"/>
      <c r="C200" s="85"/>
      <c r="D200" s="85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85"/>
      <c r="C201" s="85"/>
      <c r="D201" s="85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85"/>
      <c r="C202" s="85"/>
      <c r="D202" s="85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85"/>
      <c r="C203" s="85"/>
      <c r="D203" s="85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85"/>
      <c r="C204" s="85"/>
      <c r="D204" s="85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85"/>
      <c r="C205" s="85"/>
      <c r="D205" s="85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85"/>
      <c r="C206" s="85"/>
      <c r="D206" s="85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85"/>
      <c r="C207" s="85"/>
      <c r="D207" s="85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85"/>
      <c r="C208" s="85"/>
      <c r="D208" s="85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85"/>
      <c r="C209" s="85"/>
      <c r="D209" s="85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85"/>
      <c r="C210" s="85"/>
      <c r="D210" s="85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85"/>
      <c r="C211" s="85"/>
      <c r="D211" s="85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85"/>
      <c r="C212" s="85"/>
      <c r="D212" s="85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85"/>
      <c r="C213" s="85"/>
      <c r="D213" s="85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85"/>
      <c r="C214" s="85"/>
      <c r="D214" s="85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85"/>
      <c r="C215" s="85"/>
      <c r="D215" s="85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85"/>
      <c r="C216" s="85"/>
      <c r="D216" s="85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85"/>
      <c r="C217" s="85"/>
      <c r="D217" s="85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85"/>
      <c r="C218" s="85"/>
      <c r="D218" s="85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85"/>
      <c r="C219" s="85"/>
      <c r="D219" s="85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85"/>
      <c r="C220" s="85"/>
      <c r="D220" s="85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85"/>
      <c r="C221" s="85"/>
      <c r="D221" s="85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85"/>
      <c r="C222" s="85"/>
      <c r="D222" s="85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85"/>
      <c r="C223" s="85"/>
      <c r="D223" s="85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85"/>
      <c r="C224" s="85"/>
      <c r="D224" s="85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85"/>
      <c r="C225" s="85"/>
      <c r="D225" s="85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85"/>
      <c r="C226" s="85"/>
      <c r="D226" s="85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85"/>
      <c r="C227" s="85"/>
      <c r="D227" s="85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85"/>
      <c r="C228" s="85"/>
      <c r="D228" s="85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85"/>
      <c r="C229" s="85"/>
      <c r="D229" s="85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85"/>
      <c r="C230" s="85"/>
      <c r="D230" s="85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85"/>
      <c r="C231" s="85"/>
      <c r="D231" s="85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85"/>
      <c r="C232" s="85"/>
      <c r="D232" s="85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85"/>
      <c r="C233" s="85"/>
      <c r="D233" s="85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85"/>
      <c r="C234" s="85"/>
      <c r="D234" s="85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85"/>
      <c r="C235" s="85"/>
      <c r="D235" s="85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85"/>
      <c r="C236" s="85"/>
      <c r="D236" s="85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85"/>
      <c r="C237" s="85"/>
      <c r="D237" s="85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85"/>
      <c r="C238" s="85"/>
      <c r="D238" s="85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85"/>
      <c r="C239" s="85"/>
      <c r="D239" s="85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85"/>
      <c r="C240" s="85"/>
      <c r="D240" s="85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85"/>
      <c r="C241" s="85"/>
      <c r="D241" s="85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85"/>
      <c r="C242" s="85"/>
      <c r="D242" s="85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85"/>
      <c r="C243" s="85"/>
      <c r="D243" s="85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85"/>
      <c r="C244" s="85"/>
      <c r="D244" s="85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85"/>
      <c r="C245" s="85"/>
      <c r="D245" s="85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85"/>
      <c r="C246" s="85"/>
      <c r="D246" s="85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85"/>
      <c r="C247" s="85"/>
      <c r="D247" s="85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85"/>
      <c r="C248" s="85"/>
      <c r="D248" s="85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85"/>
      <c r="C249" s="85"/>
      <c r="D249" s="85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85"/>
      <c r="C250" s="85"/>
      <c r="D250" s="85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85"/>
      <c r="C251" s="85"/>
      <c r="D251" s="85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85"/>
      <c r="C252" s="85"/>
      <c r="D252" s="85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85"/>
      <c r="C253" s="85"/>
      <c r="D253" s="85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85"/>
      <c r="C254" s="85"/>
      <c r="D254" s="85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85"/>
      <c r="C255" s="85"/>
      <c r="D255" s="85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85"/>
      <c r="C256" s="85"/>
      <c r="D256" s="85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85"/>
      <c r="C257" s="85"/>
      <c r="D257" s="85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85"/>
      <c r="C258" s="85"/>
      <c r="D258" s="85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85"/>
      <c r="C259" s="85"/>
      <c r="D259" s="85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85"/>
      <c r="C260" s="85"/>
      <c r="D260" s="85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85"/>
      <c r="C261" s="85"/>
      <c r="D261" s="85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85"/>
      <c r="C262" s="85"/>
      <c r="D262" s="85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85"/>
      <c r="C263" s="85"/>
      <c r="D263" s="85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85"/>
      <c r="C264" s="85"/>
      <c r="D264" s="85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85"/>
      <c r="C265" s="85"/>
      <c r="D265" s="85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85"/>
      <c r="C266" s="85"/>
      <c r="D266" s="85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85"/>
      <c r="C267" s="85"/>
      <c r="D267" s="85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85"/>
      <c r="C268" s="85"/>
      <c r="D268" s="85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85"/>
      <c r="C269" s="85"/>
      <c r="D269" s="85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85"/>
      <c r="C270" s="85"/>
      <c r="D270" s="85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85"/>
      <c r="C271" s="85"/>
      <c r="D271" s="85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85"/>
      <c r="C272" s="85"/>
      <c r="D272" s="85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85"/>
      <c r="C273" s="85"/>
      <c r="D273" s="85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85"/>
      <c r="C274" s="85"/>
      <c r="D274" s="85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85"/>
      <c r="C275" s="85"/>
      <c r="D275" s="85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85"/>
      <c r="C276" s="85"/>
      <c r="D276" s="85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85"/>
      <c r="C277" s="85"/>
      <c r="D277" s="85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</sheetData>
  <mergeCells count="45">
    <mergeCell ref="B27:B29"/>
    <mergeCell ref="D27:E27"/>
    <mergeCell ref="F27:G27"/>
    <mergeCell ref="H27:P27"/>
    <mergeCell ref="D28:E28"/>
    <mergeCell ref="F28:G28"/>
    <mergeCell ref="H28:P28"/>
    <mergeCell ref="D29:E29"/>
    <mergeCell ref="F29:G29"/>
    <mergeCell ref="H29:P29"/>
    <mergeCell ref="B21:D21"/>
    <mergeCell ref="B22:X22"/>
    <mergeCell ref="D23:E23"/>
    <mergeCell ref="F23:G23"/>
    <mergeCell ref="H23:P23"/>
    <mergeCell ref="B24:B26"/>
    <mergeCell ref="D24:E24"/>
    <mergeCell ref="F24:G24"/>
    <mergeCell ref="H24:P24"/>
    <mergeCell ref="D25:E25"/>
    <mergeCell ref="F25:G25"/>
    <mergeCell ref="H25:P25"/>
    <mergeCell ref="D26:E26"/>
    <mergeCell ref="F26:G26"/>
    <mergeCell ref="H26:P26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7"/>
  <sheetViews>
    <sheetView workbookViewId="0">
      <selection activeCell="Y23" sqref="Y23"/>
    </sheetView>
  </sheetViews>
  <sheetFormatPr defaultRowHeight="13.5" x14ac:dyDescent="0.3"/>
  <cols>
    <col min="1" max="1" width="1.625" style="85" customWidth="1"/>
    <col min="2" max="2" width="4.625" style="85" bestFit="1" customWidth="1"/>
    <col min="3" max="3" width="7.625" style="85" bestFit="1" customWidth="1"/>
    <col min="4" max="4" width="8" style="85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85" customWidth="1"/>
    <col min="26" max="26" width="8.375" style="85" customWidth="1"/>
    <col min="27" max="27" width="7.25" style="85" customWidth="1"/>
    <col min="28" max="28" width="3.875" style="85" customWidth="1"/>
    <col min="29" max="29" width="0.5" style="85" customWidth="1"/>
    <col min="30" max="257" width="9" style="85"/>
    <col min="258" max="258" width="4.625" style="85" bestFit="1" customWidth="1"/>
    <col min="259" max="259" width="7.5" style="85" bestFit="1" customWidth="1"/>
    <col min="260" max="260" width="6.25" style="85" customWidth="1"/>
    <col min="261" max="261" width="11" style="85" bestFit="1" customWidth="1"/>
    <col min="262" max="263" width="9.625" style="85" bestFit="1" customWidth="1"/>
    <col min="264" max="264" width="8.25" style="85" bestFit="1" customWidth="1"/>
    <col min="265" max="266" width="9.625" style="85" bestFit="1" customWidth="1"/>
    <col min="267" max="267" width="8.25" style="85" bestFit="1" customWidth="1"/>
    <col min="268" max="269" width="9.625" style="85" bestFit="1" customWidth="1"/>
    <col min="270" max="271" width="8.25" style="85" bestFit="1" customWidth="1"/>
    <col min="272" max="272" width="11" style="85" bestFit="1" customWidth="1"/>
    <col min="273" max="273" width="8" style="85" bestFit="1" customWidth="1"/>
    <col min="274" max="274" width="7.75" style="85" bestFit="1" customWidth="1"/>
    <col min="275" max="276" width="9.625" style="85" bestFit="1" customWidth="1"/>
    <col min="277" max="278" width="9.625" style="85" customWidth="1"/>
    <col min="279" max="279" width="9.25" style="85" bestFit="1" customWidth="1"/>
    <col min="280" max="280" width="11" style="85" bestFit="1" customWidth="1"/>
    <col min="281" max="513" width="9" style="85"/>
    <col min="514" max="514" width="4.625" style="85" bestFit="1" customWidth="1"/>
    <col min="515" max="515" width="7.5" style="85" bestFit="1" customWidth="1"/>
    <col min="516" max="516" width="6.25" style="85" customWidth="1"/>
    <col min="517" max="517" width="11" style="85" bestFit="1" customWidth="1"/>
    <col min="518" max="519" width="9.625" style="85" bestFit="1" customWidth="1"/>
    <col min="520" max="520" width="8.25" style="85" bestFit="1" customWidth="1"/>
    <col min="521" max="522" width="9.625" style="85" bestFit="1" customWidth="1"/>
    <col min="523" max="523" width="8.25" style="85" bestFit="1" customWidth="1"/>
    <col min="524" max="525" width="9.625" style="85" bestFit="1" customWidth="1"/>
    <col min="526" max="527" width="8.25" style="85" bestFit="1" customWidth="1"/>
    <col min="528" max="528" width="11" style="85" bestFit="1" customWidth="1"/>
    <col min="529" max="529" width="8" style="85" bestFit="1" customWidth="1"/>
    <col min="530" max="530" width="7.75" style="85" bestFit="1" customWidth="1"/>
    <col min="531" max="532" width="9.625" style="85" bestFit="1" customWidth="1"/>
    <col min="533" max="534" width="9.625" style="85" customWidth="1"/>
    <col min="535" max="535" width="9.25" style="85" bestFit="1" customWidth="1"/>
    <col min="536" max="536" width="11" style="85" bestFit="1" customWidth="1"/>
    <col min="537" max="769" width="9" style="85"/>
    <col min="770" max="770" width="4.625" style="85" bestFit="1" customWidth="1"/>
    <col min="771" max="771" width="7.5" style="85" bestFit="1" customWidth="1"/>
    <col min="772" max="772" width="6.25" style="85" customWidth="1"/>
    <col min="773" max="773" width="11" style="85" bestFit="1" customWidth="1"/>
    <col min="774" max="775" width="9.625" style="85" bestFit="1" customWidth="1"/>
    <col min="776" max="776" width="8.25" style="85" bestFit="1" customWidth="1"/>
    <col min="777" max="778" width="9.625" style="85" bestFit="1" customWidth="1"/>
    <col min="779" max="779" width="8.25" style="85" bestFit="1" customWidth="1"/>
    <col min="780" max="781" width="9.625" style="85" bestFit="1" customWidth="1"/>
    <col min="782" max="783" width="8.25" style="85" bestFit="1" customWidth="1"/>
    <col min="784" max="784" width="11" style="85" bestFit="1" customWidth="1"/>
    <col min="785" max="785" width="8" style="85" bestFit="1" customWidth="1"/>
    <col min="786" max="786" width="7.75" style="85" bestFit="1" customWidth="1"/>
    <col min="787" max="788" width="9.625" style="85" bestFit="1" customWidth="1"/>
    <col min="789" max="790" width="9.625" style="85" customWidth="1"/>
    <col min="791" max="791" width="9.25" style="85" bestFit="1" customWidth="1"/>
    <col min="792" max="792" width="11" style="85" bestFit="1" customWidth="1"/>
    <col min="793" max="1025" width="9" style="85"/>
    <col min="1026" max="1026" width="4.625" style="85" bestFit="1" customWidth="1"/>
    <col min="1027" max="1027" width="7.5" style="85" bestFit="1" customWidth="1"/>
    <col min="1028" max="1028" width="6.25" style="85" customWidth="1"/>
    <col min="1029" max="1029" width="11" style="85" bestFit="1" customWidth="1"/>
    <col min="1030" max="1031" width="9.625" style="85" bestFit="1" customWidth="1"/>
    <col min="1032" max="1032" width="8.25" style="85" bestFit="1" customWidth="1"/>
    <col min="1033" max="1034" width="9.625" style="85" bestFit="1" customWidth="1"/>
    <col min="1035" max="1035" width="8.25" style="85" bestFit="1" customWidth="1"/>
    <col min="1036" max="1037" width="9.625" style="85" bestFit="1" customWidth="1"/>
    <col min="1038" max="1039" width="8.25" style="85" bestFit="1" customWidth="1"/>
    <col min="1040" max="1040" width="11" style="85" bestFit="1" customWidth="1"/>
    <col min="1041" max="1041" width="8" style="85" bestFit="1" customWidth="1"/>
    <col min="1042" max="1042" width="7.75" style="85" bestFit="1" customWidth="1"/>
    <col min="1043" max="1044" width="9.625" style="85" bestFit="1" customWidth="1"/>
    <col min="1045" max="1046" width="9.625" style="85" customWidth="1"/>
    <col min="1047" max="1047" width="9.25" style="85" bestFit="1" customWidth="1"/>
    <col min="1048" max="1048" width="11" style="85" bestFit="1" customWidth="1"/>
    <col min="1049" max="1281" width="9" style="85"/>
    <col min="1282" max="1282" width="4.625" style="85" bestFit="1" customWidth="1"/>
    <col min="1283" max="1283" width="7.5" style="85" bestFit="1" customWidth="1"/>
    <col min="1284" max="1284" width="6.25" style="85" customWidth="1"/>
    <col min="1285" max="1285" width="11" style="85" bestFit="1" customWidth="1"/>
    <col min="1286" max="1287" width="9.625" style="85" bestFit="1" customWidth="1"/>
    <col min="1288" max="1288" width="8.25" style="85" bestFit="1" customWidth="1"/>
    <col min="1289" max="1290" width="9.625" style="85" bestFit="1" customWidth="1"/>
    <col min="1291" max="1291" width="8.25" style="85" bestFit="1" customWidth="1"/>
    <col min="1292" max="1293" width="9.625" style="85" bestFit="1" customWidth="1"/>
    <col min="1294" max="1295" width="8.25" style="85" bestFit="1" customWidth="1"/>
    <col min="1296" max="1296" width="11" style="85" bestFit="1" customWidth="1"/>
    <col min="1297" max="1297" width="8" style="85" bestFit="1" customWidth="1"/>
    <col min="1298" max="1298" width="7.75" style="85" bestFit="1" customWidth="1"/>
    <col min="1299" max="1300" width="9.625" style="85" bestFit="1" customWidth="1"/>
    <col min="1301" max="1302" width="9.625" style="85" customWidth="1"/>
    <col min="1303" max="1303" width="9.25" style="85" bestFit="1" customWidth="1"/>
    <col min="1304" max="1304" width="11" style="85" bestFit="1" customWidth="1"/>
    <col min="1305" max="1537" width="9" style="85"/>
    <col min="1538" max="1538" width="4.625" style="85" bestFit="1" customWidth="1"/>
    <col min="1539" max="1539" width="7.5" style="85" bestFit="1" customWidth="1"/>
    <col min="1540" max="1540" width="6.25" style="85" customWidth="1"/>
    <col min="1541" max="1541" width="11" style="85" bestFit="1" customWidth="1"/>
    <col min="1542" max="1543" width="9.625" style="85" bestFit="1" customWidth="1"/>
    <col min="1544" max="1544" width="8.25" style="85" bestFit="1" customWidth="1"/>
    <col min="1545" max="1546" width="9.625" style="85" bestFit="1" customWidth="1"/>
    <col min="1547" max="1547" width="8.25" style="85" bestFit="1" customWidth="1"/>
    <col min="1548" max="1549" width="9.625" style="85" bestFit="1" customWidth="1"/>
    <col min="1550" max="1551" width="8.25" style="85" bestFit="1" customWidth="1"/>
    <col min="1552" max="1552" width="11" style="85" bestFit="1" customWidth="1"/>
    <col min="1553" max="1553" width="8" style="85" bestFit="1" customWidth="1"/>
    <col min="1554" max="1554" width="7.75" style="85" bestFit="1" customWidth="1"/>
    <col min="1555" max="1556" width="9.625" style="85" bestFit="1" customWidth="1"/>
    <col min="1557" max="1558" width="9.625" style="85" customWidth="1"/>
    <col min="1559" max="1559" width="9.25" style="85" bestFit="1" customWidth="1"/>
    <col min="1560" max="1560" width="11" style="85" bestFit="1" customWidth="1"/>
    <col min="1561" max="1793" width="9" style="85"/>
    <col min="1794" max="1794" width="4.625" style="85" bestFit="1" customWidth="1"/>
    <col min="1795" max="1795" width="7.5" style="85" bestFit="1" customWidth="1"/>
    <col min="1796" max="1796" width="6.25" style="85" customWidth="1"/>
    <col min="1797" max="1797" width="11" style="85" bestFit="1" customWidth="1"/>
    <col min="1798" max="1799" width="9.625" style="85" bestFit="1" customWidth="1"/>
    <col min="1800" max="1800" width="8.25" style="85" bestFit="1" customWidth="1"/>
    <col min="1801" max="1802" width="9.625" style="85" bestFit="1" customWidth="1"/>
    <col min="1803" max="1803" width="8.25" style="85" bestFit="1" customWidth="1"/>
    <col min="1804" max="1805" width="9.625" style="85" bestFit="1" customWidth="1"/>
    <col min="1806" max="1807" width="8.25" style="85" bestFit="1" customWidth="1"/>
    <col min="1808" max="1808" width="11" style="85" bestFit="1" customWidth="1"/>
    <col min="1809" max="1809" width="8" style="85" bestFit="1" customWidth="1"/>
    <col min="1810" max="1810" width="7.75" style="85" bestFit="1" customWidth="1"/>
    <col min="1811" max="1812" width="9.625" style="85" bestFit="1" customWidth="1"/>
    <col min="1813" max="1814" width="9.625" style="85" customWidth="1"/>
    <col min="1815" max="1815" width="9.25" style="85" bestFit="1" customWidth="1"/>
    <col min="1816" max="1816" width="11" style="85" bestFit="1" customWidth="1"/>
    <col min="1817" max="2049" width="9" style="85"/>
    <col min="2050" max="2050" width="4.625" style="85" bestFit="1" customWidth="1"/>
    <col min="2051" max="2051" width="7.5" style="85" bestFit="1" customWidth="1"/>
    <col min="2052" max="2052" width="6.25" style="85" customWidth="1"/>
    <col min="2053" max="2053" width="11" style="85" bestFit="1" customWidth="1"/>
    <col min="2054" max="2055" width="9.625" style="85" bestFit="1" customWidth="1"/>
    <col min="2056" max="2056" width="8.25" style="85" bestFit="1" customWidth="1"/>
    <col min="2057" max="2058" width="9.625" style="85" bestFit="1" customWidth="1"/>
    <col min="2059" max="2059" width="8.25" style="85" bestFit="1" customWidth="1"/>
    <col min="2060" max="2061" width="9.625" style="85" bestFit="1" customWidth="1"/>
    <col min="2062" max="2063" width="8.25" style="85" bestFit="1" customWidth="1"/>
    <col min="2064" max="2064" width="11" style="85" bestFit="1" customWidth="1"/>
    <col min="2065" max="2065" width="8" style="85" bestFit="1" customWidth="1"/>
    <col min="2066" max="2066" width="7.75" style="85" bestFit="1" customWidth="1"/>
    <col min="2067" max="2068" width="9.625" style="85" bestFit="1" customWidth="1"/>
    <col min="2069" max="2070" width="9.625" style="85" customWidth="1"/>
    <col min="2071" max="2071" width="9.25" style="85" bestFit="1" customWidth="1"/>
    <col min="2072" max="2072" width="11" style="85" bestFit="1" customWidth="1"/>
    <col min="2073" max="2305" width="9" style="85"/>
    <col min="2306" max="2306" width="4.625" style="85" bestFit="1" customWidth="1"/>
    <col min="2307" max="2307" width="7.5" style="85" bestFit="1" customWidth="1"/>
    <col min="2308" max="2308" width="6.25" style="85" customWidth="1"/>
    <col min="2309" max="2309" width="11" style="85" bestFit="1" customWidth="1"/>
    <col min="2310" max="2311" width="9.625" style="85" bestFit="1" customWidth="1"/>
    <col min="2312" max="2312" width="8.25" style="85" bestFit="1" customWidth="1"/>
    <col min="2313" max="2314" width="9.625" style="85" bestFit="1" customWidth="1"/>
    <col min="2315" max="2315" width="8.25" style="85" bestFit="1" customWidth="1"/>
    <col min="2316" max="2317" width="9.625" style="85" bestFit="1" customWidth="1"/>
    <col min="2318" max="2319" width="8.25" style="85" bestFit="1" customWidth="1"/>
    <col min="2320" max="2320" width="11" style="85" bestFit="1" customWidth="1"/>
    <col min="2321" max="2321" width="8" style="85" bestFit="1" customWidth="1"/>
    <col min="2322" max="2322" width="7.75" style="85" bestFit="1" customWidth="1"/>
    <col min="2323" max="2324" width="9.625" style="85" bestFit="1" customWidth="1"/>
    <col min="2325" max="2326" width="9.625" style="85" customWidth="1"/>
    <col min="2327" max="2327" width="9.25" style="85" bestFit="1" customWidth="1"/>
    <col min="2328" max="2328" width="11" style="85" bestFit="1" customWidth="1"/>
    <col min="2329" max="2561" width="9" style="85"/>
    <col min="2562" max="2562" width="4.625" style="85" bestFit="1" customWidth="1"/>
    <col min="2563" max="2563" width="7.5" style="85" bestFit="1" customWidth="1"/>
    <col min="2564" max="2564" width="6.25" style="85" customWidth="1"/>
    <col min="2565" max="2565" width="11" style="85" bestFit="1" customWidth="1"/>
    <col min="2566" max="2567" width="9.625" style="85" bestFit="1" customWidth="1"/>
    <col min="2568" max="2568" width="8.25" style="85" bestFit="1" customWidth="1"/>
    <col min="2569" max="2570" width="9.625" style="85" bestFit="1" customWidth="1"/>
    <col min="2571" max="2571" width="8.25" style="85" bestFit="1" customWidth="1"/>
    <col min="2572" max="2573" width="9.625" style="85" bestFit="1" customWidth="1"/>
    <col min="2574" max="2575" width="8.25" style="85" bestFit="1" customWidth="1"/>
    <col min="2576" max="2576" width="11" style="85" bestFit="1" customWidth="1"/>
    <col min="2577" max="2577" width="8" style="85" bestFit="1" customWidth="1"/>
    <col min="2578" max="2578" width="7.75" style="85" bestFit="1" customWidth="1"/>
    <col min="2579" max="2580" width="9.625" style="85" bestFit="1" customWidth="1"/>
    <col min="2581" max="2582" width="9.625" style="85" customWidth="1"/>
    <col min="2583" max="2583" width="9.25" style="85" bestFit="1" customWidth="1"/>
    <col min="2584" max="2584" width="11" style="85" bestFit="1" customWidth="1"/>
    <col min="2585" max="2817" width="9" style="85"/>
    <col min="2818" max="2818" width="4.625" style="85" bestFit="1" customWidth="1"/>
    <col min="2819" max="2819" width="7.5" style="85" bestFit="1" customWidth="1"/>
    <col min="2820" max="2820" width="6.25" style="85" customWidth="1"/>
    <col min="2821" max="2821" width="11" style="85" bestFit="1" customWidth="1"/>
    <col min="2822" max="2823" width="9.625" style="85" bestFit="1" customWidth="1"/>
    <col min="2824" max="2824" width="8.25" style="85" bestFit="1" customWidth="1"/>
    <col min="2825" max="2826" width="9.625" style="85" bestFit="1" customWidth="1"/>
    <col min="2827" max="2827" width="8.25" style="85" bestFit="1" customWidth="1"/>
    <col min="2828" max="2829" width="9.625" style="85" bestFit="1" customWidth="1"/>
    <col min="2830" max="2831" width="8.25" style="85" bestFit="1" customWidth="1"/>
    <col min="2832" max="2832" width="11" style="85" bestFit="1" customWidth="1"/>
    <col min="2833" max="2833" width="8" style="85" bestFit="1" customWidth="1"/>
    <col min="2834" max="2834" width="7.75" style="85" bestFit="1" customWidth="1"/>
    <col min="2835" max="2836" width="9.625" style="85" bestFit="1" customWidth="1"/>
    <col min="2837" max="2838" width="9.625" style="85" customWidth="1"/>
    <col min="2839" max="2839" width="9.25" style="85" bestFit="1" customWidth="1"/>
    <col min="2840" max="2840" width="11" style="85" bestFit="1" customWidth="1"/>
    <col min="2841" max="3073" width="9" style="85"/>
    <col min="3074" max="3074" width="4.625" style="85" bestFit="1" customWidth="1"/>
    <col min="3075" max="3075" width="7.5" style="85" bestFit="1" customWidth="1"/>
    <col min="3076" max="3076" width="6.25" style="85" customWidth="1"/>
    <col min="3077" max="3077" width="11" style="85" bestFit="1" customWidth="1"/>
    <col min="3078" max="3079" width="9.625" style="85" bestFit="1" customWidth="1"/>
    <col min="3080" max="3080" width="8.25" style="85" bestFit="1" customWidth="1"/>
    <col min="3081" max="3082" width="9.625" style="85" bestFit="1" customWidth="1"/>
    <col min="3083" max="3083" width="8.25" style="85" bestFit="1" customWidth="1"/>
    <col min="3084" max="3085" width="9.625" style="85" bestFit="1" customWidth="1"/>
    <col min="3086" max="3087" width="8.25" style="85" bestFit="1" customWidth="1"/>
    <col min="3088" max="3088" width="11" style="85" bestFit="1" customWidth="1"/>
    <col min="3089" max="3089" width="8" style="85" bestFit="1" customWidth="1"/>
    <col min="3090" max="3090" width="7.75" style="85" bestFit="1" customWidth="1"/>
    <col min="3091" max="3092" width="9.625" style="85" bestFit="1" customWidth="1"/>
    <col min="3093" max="3094" width="9.625" style="85" customWidth="1"/>
    <col min="3095" max="3095" width="9.25" style="85" bestFit="1" customWidth="1"/>
    <col min="3096" max="3096" width="11" style="85" bestFit="1" customWidth="1"/>
    <col min="3097" max="3329" width="9" style="85"/>
    <col min="3330" max="3330" width="4.625" style="85" bestFit="1" customWidth="1"/>
    <col min="3331" max="3331" width="7.5" style="85" bestFit="1" customWidth="1"/>
    <col min="3332" max="3332" width="6.25" style="85" customWidth="1"/>
    <col min="3333" max="3333" width="11" style="85" bestFit="1" customWidth="1"/>
    <col min="3334" max="3335" width="9.625" style="85" bestFit="1" customWidth="1"/>
    <col min="3336" max="3336" width="8.25" style="85" bestFit="1" customWidth="1"/>
    <col min="3337" max="3338" width="9.625" style="85" bestFit="1" customWidth="1"/>
    <col min="3339" max="3339" width="8.25" style="85" bestFit="1" customWidth="1"/>
    <col min="3340" max="3341" width="9.625" style="85" bestFit="1" customWidth="1"/>
    <col min="3342" max="3343" width="8.25" style="85" bestFit="1" customWidth="1"/>
    <col min="3344" max="3344" width="11" style="85" bestFit="1" customWidth="1"/>
    <col min="3345" max="3345" width="8" style="85" bestFit="1" customWidth="1"/>
    <col min="3346" max="3346" width="7.75" style="85" bestFit="1" customWidth="1"/>
    <col min="3347" max="3348" width="9.625" style="85" bestFit="1" customWidth="1"/>
    <col min="3349" max="3350" width="9.625" style="85" customWidth="1"/>
    <col min="3351" max="3351" width="9.25" style="85" bestFit="1" customWidth="1"/>
    <col min="3352" max="3352" width="11" style="85" bestFit="1" customWidth="1"/>
    <col min="3353" max="3585" width="9" style="85"/>
    <col min="3586" max="3586" width="4.625" style="85" bestFit="1" customWidth="1"/>
    <col min="3587" max="3587" width="7.5" style="85" bestFit="1" customWidth="1"/>
    <col min="3588" max="3588" width="6.25" style="85" customWidth="1"/>
    <col min="3589" max="3589" width="11" style="85" bestFit="1" customWidth="1"/>
    <col min="3590" max="3591" width="9.625" style="85" bestFit="1" customWidth="1"/>
    <col min="3592" max="3592" width="8.25" style="85" bestFit="1" customWidth="1"/>
    <col min="3593" max="3594" width="9.625" style="85" bestFit="1" customWidth="1"/>
    <col min="3595" max="3595" width="8.25" style="85" bestFit="1" customWidth="1"/>
    <col min="3596" max="3597" width="9.625" style="85" bestFit="1" customWidth="1"/>
    <col min="3598" max="3599" width="8.25" style="85" bestFit="1" customWidth="1"/>
    <col min="3600" max="3600" width="11" style="85" bestFit="1" customWidth="1"/>
    <col min="3601" max="3601" width="8" style="85" bestFit="1" customWidth="1"/>
    <col min="3602" max="3602" width="7.75" style="85" bestFit="1" customWidth="1"/>
    <col min="3603" max="3604" width="9.625" style="85" bestFit="1" customWidth="1"/>
    <col min="3605" max="3606" width="9.625" style="85" customWidth="1"/>
    <col min="3607" max="3607" width="9.25" style="85" bestFit="1" customWidth="1"/>
    <col min="3608" max="3608" width="11" style="85" bestFit="1" customWidth="1"/>
    <col min="3609" max="3841" width="9" style="85"/>
    <col min="3842" max="3842" width="4.625" style="85" bestFit="1" customWidth="1"/>
    <col min="3843" max="3843" width="7.5" style="85" bestFit="1" customWidth="1"/>
    <col min="3844" max="3844" width="6.25" style="85" customWidth="1"/>
    <col min="3845" max="3845" width="11" style="85" bestFit="1" customWidth="1"/>
    <col min="3846" max="3847" width="9.625" style="85" bestFit="1" customWidth="1"/>
    <col min="3848" max="3848" width="8.25" style="85" bestFit="1" customWidth="1"/>
    <col min="3849" max="3850" width="9.625" style="85" bestFit="1" customWidth="1"/>
    <col min="3851" max="3851" width="8.25" style="85" bestFit="1" customWidth="1"/>
    <col min="3852" max="3853" width="9.625" style="85" bestFit="1" customWidth="1"/>
    <col min="3854" max="3855" width="8.25" style="85" bestFit="1" customWidth="1"/>
    <col min="3856" max="3856" width="11" style="85" bestFit="1" customWidth="1"/>
    <col min="3857" max="3857" width="8" style="85" bestFit="1" customWidth="1"/>
    <col min="3858" max="3858" width="7.75" style="85" bestFit="1" customWidth="1"/>
    <col min="3859" max="3860" width="9.625" style="85" bestFit="1" customWidth="1"/>
    <col min="3861" max="3862" width="9.625" style="85" customWidth="1"/>
    <col min="3863" max="3863" width="9.25" style="85" bestFit="1" customWidth="1"/>
    <col min="3864" max="3864" width="11" style="85" bestFit="1" customWidth="1"/>
    <col min="3865" max="4097" width="9" style="85"/>
    <col min="4098" max="4098" width="4.625" style="85" bestFit="1" customWidth="1"/>
    <col min="4099" max="4099" width="7.5" style="85" bestFit="1" customWidth="1"/>
    <col min="4100" max="4100" width="6.25" style="85" customWidth="1"/>
    <col min="4101" max="4101" width="11" style="85" bestFit="1" customWidth="1"/>
    <col min="4102" max="4103" width="9.625" style="85" bestFit="1" customWidth="1"/>
    <col min="4104" max="4104" width="8.25" style="85" bestFit="1" customWidth="1"/>
    <col min="4105" max="4106" width="9.625" style="85" bestFit="1" customWidth="1"/>
    <col min="4107" max="4107" width="8.25" style="85" bestFit="1" customWidth="1"/>
    <col min="4108" max="4109" width="9.625" style="85" bestFit="1" customWidth="1"/>
    <col min="4110" max="4111" width="8.25" style="85" bestFit="1" customWidth="1"/>
    <col min="4112" max="4112" width="11" style="85" bestFit="1" customWidth="1"/>
    <col min="4113" max="4113" width="8" style="85" bestFit="1" customWidth="1"/>
    <col min="4114" max="4114" width="7.75" style="85" bestFit="1" customWidth="1"/>
    <col min="4115" max="4116" width="9.625" style="85" bestFit="1" customWidth="1"/>
    <col min="4117" max="4118" width="9.625" style="85" customWidth="1"/>
    <col min="4119" max="4119" width="9.25" style="85" bestFit="1" customWidth="1"/>
    <col min="4120" max="4120" width="11" style="85" bestFit="1" customWidth="1"/>
    <col min="4121" max="4353" width="9" style="85"/>
    <col min="4354" max="4354" width="4.625" style="85" bestFit="1" customWidth="1"/>
    <col min="4355" max="4355" width="7.5" style="85" bestFit="1" customWidth="1"/>
    <col min="4356" max="4356" width="6.25" style="85" customWidth="1"/>
    <col min="4357" max="4357" width="11" style="85" bestFit="1" customWidth="1"/>
    <col min="4358" max="4359" width="9.625" style="85" bestFit="1" customWidth="1"/>
    <col min="4360" max="4360" width="8.25" style="85" bestFit="1" customWidth="1"/>
    <col min="4361" max="4362" width="9.625" style="85" bestFit="1" customWidth="1"/>
    <col min="4363" max="4363" width="8.25" style="85" bestFit="1" customWidth="1"/>
    <col min="4364" max="4365" width="9.625" style="85" bestFit="1" customWidth="1"/>
    <col min="4366" max="4367" width="8.25" style="85" bestFit="1" customWidth="1"/>
    <col min="4368" max="4368" width="11" style="85" bestFit="1" customWidth="1"/>
    <col min="4369" max="4369" width="8" style="85" bestFit="1" customWidth="1"/>
    <col min="4370" max="4370" width="7.75" style="85" bestFit="1" customWidth="1"/>
    <col min="4371" max="4372" width="9.625" style="85" bestFit="1" customWidth="1"/>
    <col min="4373" max="4374" width="9.625" style="85" customWidth="1"/>
    <col min="4375" max="4375" width="9.25" style="85" bestFit="1" customWidth="1"/>
    <col min="4376" max="4376" width="11" style="85" bestFit="1" customWidth="1"/>
    <col min="4377" max="4609" width="9" style="85"/>
    <col min="4610" max="4610" width="4.625" style="85" bestFit="1" customWidth="1"/>
    <col min="4611" max="4611" width="7.5" style="85" bestFit="1" customWidth="1"/>
    <col min="4612" max="4612" width="6.25" style="85" customWidth="1"/>
    <col min="4613" max="4613" width="11" style="85" bestFit="1" customWidth="1"/>
    <col min="4614" max="4615" width="9.625" style="85" bestFit="1" customWidth="1"/>
    <col min="4616" max="4616" width="8.25" style="85" bestFit="1" customWidth="1"/>
    <col min="4617" max="4618" width="9.625" style="85" bestFit="1" customWidth="1"/>
    <col min="4619" max="4619" width="8.25" style="85" bestFit="1" customWidth="1"/>
    <col min="4620" max="4621" width="9.625" style="85" bestFit="1" customWidth="1"/>
    <col min="4622" max="4623" width="8.25" style="85" bestFit="1" customWidth="1"/>
    <col min="4624" max="4624" width="11" style="85" bestFit="1" customWidth="1"/>
    <col min="4625" max="4625" width="8" style="85" bestFit="1" customWidth="1"/>
    <col min="4626" max="4626" width="7.75" style="85" bestFit="1" customWidth="1"/>
    <col min="4627" max="4628" width="9.625" style="85" bestFit="1" customWidth="1"/>
    <col min="4629" max="4630" width="9.625" style="85" customWidth="1"/>
    <col min="4631" max="4631" width="9.25" style="85" bestFit="1" customWidth="1"/>
    <col min="4632" max="4632" width="11" style="85" bestFit="1" customWidth="1"/>
    <col min="4633" max="4865" width="9" style="85"/>
    <col min="4866" max="4866" width="4.625" style="85" bestFit="1" customWidth="1"/>
    <col min="4867" max="4867" width="7.5" style="85" bestFit="1" customWidth="1"/>
    <col min="4868" max="4868" width="6.25" style="85" customWidth="1"/>
    <col min="4869" max="4869" width="11" style="85" bestFit="1" customWidth="1"/>
    <col min="4870" max="4871" width="9.625" style="85" bestFit="1" customWidth="1"/>
    <col min="4872" max="4872" width="8.25" style="85" bestFit="1" customWidth="1"/>
    <col min="4873" max="4874" width="9.625" style="85" bestFit="1" customWidth="1"/>
    <col min="4875" max="4875" width="8.25" style="85" bestFit="1" customWidth="1"/>
    <col min="4876" max="4877" width="9.625" style="85" bestFit="1" customWidth="1"/>
    <col min="4878" max="4879" width="8.25" style="85" bestFit="1" customWidth="1"/>
    <col min="4880" max="4880" width="11" style="85" bestFit="1" customWidth="1"/>
    <col min="4881" max="4881" width="8" style="85" bestFit="1" customWidth="1"/>
    <col min="4882" max="4882" width="7.75" style="85" bestFit="1" customWidth="1"/>
    <col min="4883" max="4884" width="9.625" style="85" bestFit="1" customWidth="1"/>
    <col min="4885" max="4886" width="9.625" style="85" customWidth="1"/>
    <col min="4887" max="4887" width="9.25" style="85" bestFit="1" customWidth="1"/>
    <col min="4888" max="4888" width="11" style="85" bestFit="1" customWidth="1"/>
    <col min="4889" max="5121" width="9" style="85"/>
    <col min="5122" max="5122" width="4.625" style="85" bestFit="1" customWidth="1"/>
    <col min="5123" max="5123" width="7.5" style="85" bestFit="1" customWidth="1"/>
    <col min="5124" max="5124" width="6.25" style="85" customWidth="1"/>
    <col min="5125" max="5125" width="11" style="85" bestFit="1" customWidth="1"/>
    <col min="5126" max="5127" width="9.625" style="85" bestFit="1" customWidth="1"/>
    <col min="5128" max="5128" width="8.25" style="85" bestFit="1" customWidth="1"/>
    <col min="5129" max="5130" width="9.625" style="85" bestFit="1" customWidth="1"/>
    <col min="5131" max="5131" width="8.25" style="85" bestFit="1" customWidth="1"/>
    <col min="5132" max="5133" width="9.625" style="85" bestFit="1" customWidth="1"/>
    <col min="5134" max="5135" width="8.25" style="85" bestFit="1" customWidth="1"/>
    <col min="5136" max="5136" width="11" style="85" bestFit="1" customWidth="1"/>
    <col min="5137" max="5137" width="8" style="85" bestFit="1" customWidth="1"/>
    <col min="5138" max="5138" width="7.75" style="85" bestFit="1" customWidth="1"/>
    <col min="5139" max="5140" width="9.625" style="85" bestFit="1" customWidth="1"/>
    <col min="5141" max="5142" width="9.625" style="85" customWidth="1"/>
    <col min="5143" max="5143" width="9.25" style="85" bestFit="1" customWidth="1"/>
    <col min="5144" max="5144" width="11" style="85" bestFit="1" customWidth="1"/>
    <col min="5145" max="5377" width="9" style="85"/>
    <col min="5378" max="5378" width="4.625" style="85" bestFit="1" customWidth="1"/>
    <col min="5379" max="5379" width="7.5" style="85" bestFit="1" customWidth="1"/>
    <col min="5380" max="5380" width="6.25" style="85" customWidth="1"/>
    <col min="5381" max="5381" width="11" style="85" bestFit="1" customWidth="1"/>
    <col min="5382" max="5383" width="9.625" style="85" bestFit="1" customWidth="1"/>
    <col min="5384" max="5384" width="8.25" style="85" bestFit="1" customWidth="1"/>
    <col min="5385" max="5386" width="9.625" style="85" bestFit="1" customWidth="1"/>
    <col min="5387" max="5387" width="8.25" style="85" bestFit="1" customWidth="1"/>
    <col min="5388" max="5389" width="9.625" style="85" bestFit="1" customWidth="1"/>
    <col min="5390" max="5391" width="8.25" style="85" bestFit="1" customWidth="1"/>
    <col min="5392" max="5392" width="11" style="85" bestFit="1" customWidth="1"/>
    <col min="5393" max="5393" width="8" style="85" bestFit="1" customWidth="1"/>
    <col min="5394" max="5394" width="7.75" style="85" bestFit="1" customWidth="1"/>
    <col min="5395" max="5396" width="9.625" style="85" bestFit="1" customWidth="1"/>
    <col min="5397" max="5398" width="9.625" style="85" customWidth="1"/>
    <col min="5399" max="5399" width="9.25" style="85" bestFit="1" customWidth="1"/>
    <col min="5400" max="5400" width="11" style="85" bestFit="1" customWidth="1"/>
    <col min="5401" max="5633" width="9" style="85"/>
    <col min="5634" max="5634" width="4.625" style="85" bestFit="1" customWidth="1"/>
    <col min="5635" max="5635" width="7.5" style="85" bestFit="1" customWidth="1"/>
    <col min="5636" max="5636" width="6.25" style="85" customWidth="1"/>
    <col min="5637" max="5637" width="11" style="85" bestFit="1" customWidth="1"/>
    <col min="5638" max="5639" width="9.625" style="85" bestFit="1" customWidth="1"/>
    <col min="5640" max="5640" width="8.25" style="85" bestFit="1" customWidth="1"/>
    <col min="5641" max="5642" width="9.625" style="85" bestFit="1" customWidth="1"/>
    <col min="5643" max="5643" width="8.25" style="85" bestFit="1" customWidth="1"/>
    <col min="5644" max="5645" width="9.625" style="85" bestFit="1" customWidth="1"/>
    <col min="5646" max="5647" width="8.25" style="85" bestFit="1" customWidth="1"/>
    <col min="5648" max="5648" width="11" style="85" bestFit="1" customWidth="1"/>
    <col min="5649" max="5649" width="8" style="85" bestFit="1" customWidth="1"/>
    <col min="5650" max="5650" width="7.75" style="85" bestFit="1" customWidth="1"/>
    <col min="5651" max="5652" width="9.625" style="85" bestFit="1" customWidth="1"/>
    <col min="5653" max="5654" width="9.625" style="85" customWidth="1"/>
    <col min="5655" max="5655" width="9.25" style="85" bestFit="1" customWidth="1"/>
    <col min="5656" max="5656" width="11" style="85" bestFit="1" customWidth="1"/>
    <col min="5657" max="5889" width="9" style="85"/>
    <col min="5890" max="5890" width="4.625" style="85" bestFit="1" customWidth="1"/>
    <col min="5891" max="5891" width="7.5" style="85" bestFit="1" customWidth="1"/>
    <col min="5892" max="5892" width="6.25" style="85" customWidth="1"/>
    <col min="5893" max="5893" width="11" style="85" bestFit="1" customWidth="1"/>
    <col min="5894" max="5895" width="9.625" style="85" bestFit="1" customWidth="1"/>
    <col min="5896" max="5896" width="8.25" style="85" bestFit="1" customWidth="1"/>
    <col min="5897" max="5898" width="9.625" style="85" bestFit="1" customWidth="1"/>
    <col min="5899" max="5899" width="8.25" style="85" bestFit="1" customWidth="1"/>
    <col min="5900" max="5901" width="9.625" style="85" bestFit="1" customWidth="1"/>
    <col min="5902" max="5903" width="8.25" style="85" bestFit="1" customWidth="1"/>
    <col min="5904" max="5904" width="11" style="85" bestFit="1" customWidth="1"/>
    <col min="5905" max="5905" width="8" style="85" bestFit="1" customWidth="1"/>
    <col min="5906" max="5906" width="7.75" style="85" bestFit="1" customWidth="1"/>
    <col min="5907" max="5908" width="9.625" style="85" bestFit="1" customWidth="1"/>
    <col min="5909" max="5910" width="9.625" style="85" customWidth="1"/>
    <col min="5911" max="5911" width="9.25" style="85" bestFit="1" customWidth="1"/>
    <col min="5912" max="5912" width="11" style="85" bestFit="1" customWidth="1"/>
    <col min="5913" max="6145" width="9" style="85"/>
    <col min="6146" max="6146" width="4.625" style="85" bestFit="1" customWidth="1"/>
    <col min="6147" max="6147" width="7.5" style="85" bestFit="1" customWidth="1"/>
    <col min="6148" max="6148" width="6.25" style="85" customWidth="1"/>
    <col min="6149" max="6149" width="11" style="85" bestFit="1" customWidth="1"/>
    <col min="6150" max="6151" width="9.625" style="85" bestFit="1" customWidth="1"/>
    <col min="6152" max="6152" width="8.25" style="85" bestFit="1" customWidth="1"/>
    <col min="6153" max="6154" width="9.625" style="85" bestFit="1" customWidth="1"/>
    <col min="6155" max="6155" width="8.25" style="85" bestFit="1" customWidth="1"/>
    <col min="6156" max="6157" width="9.625" style="85" bestFit="1" customWidth="1"/>
    <col min="6158" max="6159" width="8.25" style="85" bestFit="1" customWidth="1"/>
    <col min="6160" max="6160" width="11" style="85" bestFit="1" customWidth="1"/>
    <col min="6161" max="6161" width="8" style="85" bestFit="1" customWidth="1"/>
    <col min="6162" max="6162" width="7.75" style="85" bestFit="1" customWidth="1"/>
    <col min="6163" max="6164" width="9.625" style="85" bestFit="1" customWidth="1"/>
    <col min="6165" max="6166" width="9.625" style="85" customWidth="1"/>
    <col min="6167" max="6167" width="9.25" style="85" bestFit="1" customWidth="1"/>
    <col min="6168" max="6168" width="11" style="85" bestFit="1" customWidth="1"/>
    <col min="6169" max="6401" width="9" style="85"/>
    <col min="6402" max="6402" width="4.625" style="85" bestFit="1" customWidth="1"/>
    <col min="6403" max="6403" width="7.5" style="85" bestFit="1" customWidth="1"/>
    <col min="6404" max="6404" width="6.25" style="85" customWidth="1"/>
    <col min="6405" max="6405" width="11" style="85" bestFit="1" customWidth="1"/>
    <col min="6406" max="6407" width="9.625" style="85" bestFit="1" customWidth="1"/>
    <col min="6408" max="6408" width="8.25" style="85" bestFit="1" customWidth="1"/>
    <col min="6409" max="6410" width="9.625" style="85" bestFit="1" customWidth="1"/>
    <col min="6411" max="6411" width="8.25" style="85" bestFit="1" customWidth="1"/>
    <col min="6412" max="6413" width="9.625" style="85" bestFit="1" customWidth="1"/>
    <col min="6414" max="6415" width="8.25" style="85" bestFit="1" customWidth="1"/>
    <col min="6416" max="6416" width="11" style="85" bestFit="1" customWidth="1"/>
    <col min="6417" max="6417" width="8" style="85" bestFit="1" customWidth="1"/>
    <col min="6418" max="6418" width="7.75" style="85" bestFit="1" customWidth="1"/>
    <col min="6419" max="6420" width="9.625" style="85" bestFit="1" customWidth="1"/>
    <col min="6421" max="6422" width="9.625" style="85" customWidth="1"/>
    <col min="6423" max="6423" width="9.25" style="85" bestFit="1" customWidth="1"/>
    <col min="6424" max="6424" width="11" style="85" bestFit="1" customWidth="1"/>
    <col min="6425" max="6657" width="9" style="85"/>
    <col min="6658" max="6658" width="4.625" style="85" bestFit="1" customWidth="1"/>
    <col min="6659" max="6659" width="7.5" style="85" bestFit="1" customWidth="1"/>
    <col min="6660" max="6660" width="6.25" style="85" customWidth="1"/>
    <col min="6661" max="6661" width="11" style="85" bestFit="1" customWidth="1"/>
    <col min="6662" max="6663" width="9.625" style="85" bestFit="1" customWidth="1"/>
    <col min="6664" max="6664" width="8.25" style="85" bestFit="1" customWidth="1"/>
    <col min="6665" max="6666" width="9.625" style="85" bestFit="1" customWidth="1"/>
    <col min="6667" max="6667" width="8.25" style="85" bestFit="1" customWidth="1"/>
    <col min="6668" max="6669" width="9.625" style="85" bestFit="1" customWidth="1"/>
    <col min="6670" max="6671" width="8.25" style="85" bestFit="1" customWidth="1"/>
    <col min="6672" max="6672" width="11" style="85" bestFit="1" customWidth="1"/>
    <col min="6673" max="6673" width="8" style="85" bestFit="1" customWidth="1"/>
    <col min="6674" max="6674" width="7.75" style="85" bestFit="1" customWidth="1"/>
    <col min="6675" max="6676" width="9.625" style="85" bestFit="1" customWidth="1"/>
    <col min="6677" max="6678" width="9.625" style="85" customWidth="1"/>
    <col min="6679" max="6679" width="9.25" style="85" bestFit="1" customWidth="1"/>
    <col min="6680" max="6680" width="11" style="85" bestFit="1" customWidth="1"/>
    <col min="6681" max="6913" width="9" style="85"/>
    <col min="6914" max="6914" width="4.625" style="85" bestFit="1" customWidth="1"/>
    <col min="6915" max="6915" width="7.5" style="85" bestFit="1" customWidth="1"/>
    <col min="6916" max="6916" width="6.25" style="85" customWidth="1"/>
    <col min="6917" max="6917" width="11" style="85" bestFit="1" customWidth="1"/>
    <col min="6918" max="6919" width="9.625" style="85" bestFit="1" customWidth="1"/>
    <col min="6920" max="6920" width="8.25" style="85" bestFit="1" customWidth="1"/>
    <col min="6921" max="6922" width="9.625" style="85" bestFit="1" customWidth="1"/>
    <col min="6923" max="6923" width="8.25" style="85" bestFit="1" customWidth="1"/>
    <col min="6924" max="6925" width="9.625" style="85" bestFit="1" customWidth="1"/>
    <col min="6926" max="6927" width="8.25" style="85" bestFit="1" customWidth="1"/>
    <col min="6928" max="6928" width="11" style="85" bestFit="1" customWidth="1"/>
    <col min="6929" max="6929" width="8" style="85" bestFit="1" customWidth="1"/>
    <col min="6930" max="6930" width="7.75" style="85" bestFit="1" customWidth="1"/>
    <col min="6931" max="6932" width="9.625" style="85" bestFit="1" customWidth="1"/>
    <col min="6933" max="6934" width="9.625" style="85" customWidth="1"/>
    <col min="6935" max="6935" width="9.25" style="85" bestFit="1" customWidth="1"/>
    <col min="6936" max="6936" width="11" style="85" bestFit="1" customWidth="1"/>
    <col min="6937" max="7169" width="9" style="85"/>
    <col min="7170" max="7170" width="4.625" style="85" bestFit="1" customWidth="1"/>
    <col min="7171" max="7171" width="7.5" style="85" bestFit="1" customWidth="1"/>
    <col min="7172" max="7172" width="6.25" style="85" customWidth="1"/>
    <col min="7173" max="7173" width="11" style="85" bestFit="1" customWidth="1"/>
    <col min="7174" max="7175" width="9.625" style="85" bestFit="1" customWidth="1"/>
    <col min="7176" max="7176" width="8.25" style="85" bestFit="1" customWidth="1"/>
    <col min="7177" max="7178" width="9.625" style="85" bestFit="1" customWidth="1"/>
    <col min="7179" max="7179" width="8.25" style="85" bestFit="1" customWidth="1"/>
    <col min="7180" max="7181" width="9.625" style="85" bestFit="1" customWidth="1"/>
    <col min="7182" max="7183" width="8.25" style="85" bestFit="1" customWidth="1"/>
    <col min="7184" max="7184" width="11" style="85" bestFit="1" customWidth="1"/>
    <col min="7185" max="7185" width="8" style="85" bestFit="1" customWidth="1"/>
    <col min="7186" max="7186" width="7.75" style="85" bestFit="1" customWidth="1"/>
    <col min="7187" max="7188" width="9.625" style="85" bestFit="1" customWidth="1"/>
    <col min="7189" max="7190" width="9.625" style="85" customWidth="1"/>
    <col min="7191" max="7191" width="9.25" style="85" bestFit="1" customWidth="1"/>
    <col min="7192" max="7192" width="11" style="85" bestFit="1" customWidth="1"/>
    <col min="7193" max="7425" width="9" style="85"/>
    <col min="7426" max="7426" width="4.625" style="85" bestFit="1" customWidth="1"/>
    <col min="7427" max="7427" width="7.5" style="85" bestFit="1" customWidth="1"/>
    <col min="7428" max="7428" width="6.25" style="85" customWidth="1"/>
    <col min="7429" max="7429" width="11" style="85" bestFit="1" customWidth="1"/>
    <col min="7430" max="7431" width="9.625" style="85" bestFit="1" customWidth="1"/>
    <col min="7432" max="7432" width="8.25" style="85" bestFit="1" customWidth="1"/>
    <col min="7433" max="7434" width="9.625" style="85" bestFit="1" customWidth="1"/>
    <col min="7435" max="7435" width="8.25" style="85" bestFit="1" customWidth="1"/>
    <col min="7436" max="7437" width="9.625" style="85" bestFit="1" customWidth="1"/>
    <col min="7438" max="7439" width="8.25" style="85" bestFit="1" customWidth="1"/>
    <col min="7440" max="7440" width="11" style="85" bestFit="1" customWidth="1"/>
    <col min="7441" max="7441" width="8" style="85" bestFit="1" customWidth="1"/>
    <col min="7442" max="7442" width="7.75" style="85" bestFit="1" customWidth="1"/>
    <col min="7443" max="7444" width="9.625" style="85" bestFit="1" customWidth="1"/>
    <col min="7445" max="7446" width="9.625" style="85" customWidth="1"/>
    <col min="7447" max="7447" width="9.25" style="85" bestFit="1" customWidth="1"/>
    <col min="7448" max="7448" width="11" style="85" bestFit="1" customWidth="1"/>
    <col min="7449" max="7681" width="9" style="85"/>
    <col min="7682" max="7682" width="4.625" style="85" bestFit="1" customWidth="1"/>
    <col min="7683" max="7683" width="7.5" style="85" bestFit="1" customWidth="1"/>
    <col min="7684" max="7684" width="6.25" style="85" customWidth="1"/>
    <col min="7685" max="7685" width="11" style="85" bestFit="1" customWidth="1"/>
    <col min="7686" max="7687" width="9.625" style="85" bestFit="1" customWidth="1"/>
    <col min="7688" max="7688" width="8.25" style="85" bestFit="1" customWidth="1"/>
    <col min="7689" max="7690" width="9.625" style="85" bestFit="1" customWidth="1"/>
    <col min="7691" max="7691" width="8.25" style="85" bestFit="1" customWidth="1"/>
    <col min="7692" max="7693" width="9.625" style="85" bestFit="1" customWidth="1"/>
    <col min="7694" max="7695" width="8.25" style="85" bestFit="1" customWidth="1"/>
    <col min="7696" max="7696" width="11" style="85" bestFit="1" customWidth="1"/>
    <col min="7697" max="7697" width="8" style="85" bestFit="1" customWidth="1"/>
    <col min="7698" max="7698" width="7.75" style="85" bestFit="1" customWidth="1"/>
    <col min="7699" max="7700" width="9.625" style="85" bestFit="1" customWidth="1"/>
    <col min="7701" max="7702" width="9.625" style="85" customWidth="1"/>
    <col min="7703" max="7703" width="9.25" style="85" bestFit="1" customWidth="1"/>
    <col min="7704" max="7704" width="11" style="85" bestFit="1" customWidth="1"/>
    <col min="7705" max="7937" width="9" style="85"/>
    <col min="7938" max="7938" width="4.625" style="85" bestFit="1" customWidth="1"/>
    <col min="7939" max="7939" width="7.5" style="85" bestFit="1" customWidth="1"/>
    <col min="7940" max="7940" width="6.25" style="85" customWidth="1"/>
    <col min="7941" max="7941" width="11" style="85" bestFit="1" customWidth="1"/>
    <col min="7942" max="7943" width="9.625" style="85" bestFit="1" customWidth="1"/>
    <col min="7944" max="7944" width="8.25" style="85" bestFit="1" customWidth="1"/>
    <col min="7945" max="7946" width="9.625" style="85" bestFit="1" customWidth="1"/>
    <col min="7947" max="7947" width="8.25" style="85" bestFit="1" customWidth="1"/>
    <col min="7948" max="7949" width="9.625" style="85" bestFit="1" customWidth="1"/>
    <col min="7950" max="7951" width="8.25" style="85" bestFit="1" customWidth="1"/>
    <col min="7952" max="7952" width="11" style="85" bestFit="1" customWidth="1"/>
    <col min="7953" max="7953" width="8" style="85" bestFit="1" customWidth="1"/>
    <col min="7954" max="7954" width="7.75" style="85" bestFit="1" customWidth="1"/>
    <col min="7955" max="7956" width="9.625" style="85" bestFit="1" customWidth="1"/>
    <col min="7957" max="7958" width="9.625" style="85" customWidth="1"/>
    <col min="7959" max="7959" width="9.25" style="85" bestFit="1" customWidth="1"/>
    <col min="7960" max="7960" width="11" style="85" bestFit="1" customWidth="1"/>
    <col min="7961" max="8193" width="9" style="85"/>
    <col min="8194" max="8194" width="4.625" style="85" bestFit="1" customWidth="1"/>
    <col min="8195" max="8195" width="7.5" style="85" bestFit="1" customWidth="1"/>
    <col min="8196" max="8196" width="6.25" style="85" customWidth="1"/>
    <col min="8197" max="8197" width="11" style="85" bestFit="1" customWidth="1"/>
    <col min="8198" max="8199" width="9.625" style="85" bestFit="1" customWidth="1"/>
    <col min="8200" max="8200" width="8.25" style="85" bestFit="1" customWidth="1"/>
    <col min="8201" max="8202" width="9.625" style="85" bestFit="1" customWidth="1"/>
    <col min="8203" max="8203" width="8.25" style="85" bestFit="1" customWidth="1"/>
    <col min="8204" max="8205" width="9.625" style="85" bestFit="1" customWidth="1"/>
    <col min="8206" max="8207" width="8.25" style="85" bestFit="1" customWidth="1"/>
    <col min="8208" max="8208" width="11" style="85" bestFit="1" customWidth="1"/>
    <col min="8209" max="8209" width="8" style="85" bestFit="1" customWidth="1"/>
    <col min="8210" max="8210" width="7.75" style="85" bestFit="1" customWidth="1"/>
    <col min="8211" max="8212" width="9.625" style="85" bestFit="1" customWidth="1"/>
    <col min="8213" max="8214" width="9.625" style="85" customWidth="1"/>
    <col min="8215" max="8215" width="9.25" style="85" bestFit="1" customWidth="1"/>
    <col min="8216" max="8216" width="11" style="85" bestFit="1" customWidth="1"/>
    <col min="8217" max="8449" width="9" style="85"/>
    <col min="8450" max="8450" width="4.625" style="85" bestFit="1" customWidth="1"/>
    <col min="8451" max="8451" width="7.5" style="85" bestFit="1" customWidth="1"/>
    <col min="8452" max="8452" width="6.25" style="85" customWidth="1"/>
    <col min="8453" max="8453" width="11" style="85" bestFit="1" customWidth="1"/>
    <col min="8454" max="8455" width="9.625" style="85" bestFit="1" customWidth="1"/>
    <col min="8456" max="8456" width="8.25" style="85" bestFit="1" customWidth="1"/>
    <col min="8457" max="8458" width="9.625" style="85" bestFit="1" customWidth="1"/>
    <col min="8459" max="8459" width="8.25" style="85" bestFit="1" customWidth="1"/>
    <col min="8460" max="8461" width="9.625" style="85" bestFit="1" customWidth="1"/>
    <col min="8462" max="8463" width="8.25" style="85" bestFit="1" customWidth="1"/>
    <col min="8464" max="8464" width="11" style="85" bestFit="1" customWidth="1"/>
    <col min="8465" max="8465" width="8" style="85" bestFit="1" customWidth="1"/>
    <col min="8466" max="8466" width="7.75" style="85" bestFit="1" customWidth="1"/>
    <col min="8467" max="8468" width="9.625" style="85" bestFit="1" customWidth="1"/>
    <col min="8469" max="8470" width="9.625" style="85" customWidth="1"/>
    <col min="8471" max="8471" width="9.25" style="85" bestFit="1" customWidth="1"/>
    <col min="8472" max="8472" width="11" style="85" bestFit="1" customWidth="1"/>
    <col min="8473" max="8705" width="9" style="85"/>
    <col min="8706" max="8706" width="4.625" style="85" bestFit="1" customWidth="1"/>
    <col min="8707" max="8707" width="7.5" style="85" bestFit="1" customWidth="1"/>
    <col min="8708" max="8708" width="6.25" style="85" customWidth="1"/>
    <col min="8709" max="8709" width="11" style="85" bestFit="1" customWidth="1"/>
    <col min="8710" max="8711" width="9.625" style="85" bestFit="1" customWidth="1"/>
    <col min="8712" max="8712" width="8.25" style="85" bestFit="1" customWidth="1"/>
    <col min="8713" max="8714" width="9.625" style="85" bestFit="1" customWidth="1"/>
    <col min="8715" max="8715" width="8.25" style="85" bestFit="1" customWidth="1"/>
    <col min="8716" max="8717" width="9.625" style="85" bestFit="1" customWidth="1"/>
    <col min="8718" max="8719" width="8.25" style="85" bestFit="1" customWidth="1"/>
    <col min="8720" max="8720" width="11" style="85" bestFit="1" customWidth="1"/>
    <col min="8721" max="8721" width="8" style="85" bestFit="1" customWidth="1"/>
    <col min="8722" max="8722" width="7.75" style="85" bestFit="1" customWidth="1"/>
    <col min="8723" max="8724" width="9.625" style="85" bestFit="1" customWidth="1"/>
    <col min="8725" max="8726" width="9.625" style="85" customWidth="1"/>
    <col min="8727" max="8727" width="9.25" style="85" bestFit="1" customWidth="1"/>
    <col min="8728" max="8728" width="11" style="85" bestFit="1" customWidth="1"/>
    <col min="8729" max="8961" width="9" style="85"/>
    <col min="8962" max="8962" width="4.625" style="85" bestFit="1" customWidth="1"/>
    <col min="8963" max="8963" width="7.5" style="85" bestFit="1" customWidth="1"/>
    <col min="8964" max="8964" width="6.25" style="85" customWidth="1"/>
    <col min="8965" max="8965" width="11" style="85" bestFit="1" customWidth="1"/>
    <col min="8966" max="8967" width="9.625" style="85" bestFit="1" customWidth="1"/>
    <col min="8968" max="8968" width="8.25" style="85" bestFit="1" customWidth="1"/>
    <col min="8969" max="8970" width="9.625" style="85" bestFit="1" customWidth="1"/>
    <col min="8971" max="8971" width="8.25" style="85" bestFit="1" customWidth="1"/>
    <col min="8972" max="8973" width="9.625" style="85" bestFit="1" customWidth="1"/>
    <col min="8974" max="8975" width="8.25" style="85" bestFit="1" customWidth="1"/>
    <col min="8976" max="8976" width="11" style="85" bestFit="1" customWidth="1"/>
    <col min="8977" max="8977" width="8" style="85" bestFit="1" customWidth="1"/>
    <col min="8978" max="8978" width="7.75" style="85" bestFit="1" customWidth="1"/>
    <col min="8979" max="8980" width="9.625" style="85" bestFit="1" customWidth="1"/>
    <col min="8981" max="8982" width="9.625" style="85" customWidth="1"/>
    <col min="8983" max="8983" width="9.25" style="85" bestFit="1" customWidth="1"/>
    <col min="8984" max="8984" width="11" style="85" bestFit="1" customWidth="1"/>
    <col min="8985" max="9217" width="9" style="85"/>
    <col min="9218" max="9218" width="4.625" style="85" bestFit="1" customWidth="1"/>
    <col min="9219" max="9219" width="7.5" style="85" bestFit="1" customWidth="1"/>
    <col min="9220" max="9220" width="6.25" style="85" customWidth="1"/>
    <col min="9221" max="9221" width="11" style="85" bestFit="1" customWidth="1"/>
    <col min="9222" max="9223" width="9.625" style="85" bestFit="1" customWidth="1"/>
    <col min="9224" max="9224" width="8.25" style="85" bestFit="1" customWidth="1"/>
    <col min="9225" max="9226" width="9.625" style="85" bestFit="1" customWidth="1"/>
    <col min="9227" max="9227" width="8.25" style="85" bestFit="1" customWidth="1"/>
    <col min="9228" max="9229" width="9.625" style="85" bestFit="1" customWidth="1"/>
    <col min="9230" max="9231" width="8.25" style="85" bestFit="1" customWidth="1"/>
    <col min="9232" max="9232" width="11" style="85" bestFit="1" customWidth="1"/>
    <col min="9233" max="9233" width="8" style="85" bestFit="1" customWidth="1"/>
    <col min="9234" max="9234" width="7.75" style="85" bestFit="1" customWidth="1"/>
    <col min="9235" max="9236" width="9.625" style="85" bestFit="1" customWidth="1"/>
    <col min="9237" max="9238" width="9.625" style="85" customWidth="1"/>
    <col min="9239" max="9239" width="9.25" style="85" bestFit="1" customWidth="1"/>
    <col min="9240" max="9240" width="11" style="85" bestFit="1" customWidth="1"/>
    <col min="9241" max="9473" width="9" style="85"/>
    <col min="9474" max="9474" width="4.625" style="85" bestFit="1" customWidth="1"/>
    <col min="9475" max="9475" width="7.5" style="85" bestFit="1" customWidth="1"/>
    <col min="9476" max="9476" width="6.25" style="85" customWidth="1"/>
    <col min="9477" max="9477" width="11" style="85" bestFit="1" customWidth="1"/>
    <col min="9478" max="9479" width="9.625" style="85" bestFit="1" customWidth="1"/>
    <col min="9480" max="9480" width="8.25" style="85" bestFit="1" customWidth="1"/>
    <col min="9481" max="9482" width="9.625" style="85" bestFit="1" customWidth="1"/>
    <col min="9483" max="9483" width="8.25" style="85" bestFit="1" customWidth="1"/>
    <col min="9484" max="9485" width="9.625" style="85" bestFit="1" customWidth="1"/>
    <col min="9486" max="9487" width="8.25" style="85" bestFit="1" customWidth="1"/>
    <col min="9488" max="9488" width="11" style="85" bestFit="1" customWidth="1"/>
    <col min="9489" max="9489" width="8" style="85" bestFit="1" customWidth="1"/>
    <col min="9490" max="9490" width="7.75" style="85" bestFit="1" customWidth="1"/>
    <col min="9491" max="9492" width="9.625" style="85" bestFit="1" customWidth="1"/>
    <col min="9493" max="9494" width="9.625" style="85" customWidth="1"/>
    <col min="9495" max="9495" width="9.25" style="85" bestFit="1" customWidth="1"/>
    <col min="9496" max="9496" width="11" style="85" bestFit="1" customWidth="1"/>
    <col min="9497" max="9729" width="9" style="85"/>
    <col min="9730" max="9730" width="4.625" style="85" bestFit="1" customWidth="1"/>
    <col min="9731" max="9731" width="7.5" style="85" bestFit="1" customWidth="1"/>
    <col min="9732" max="9732" width="6.25" style="85" customWidth="1"/>
    <col min="9733" max="9733" width="11" style="85" bestFit="1" customWidth="1"/>
    <col min="9734" max="9735" width="9.625" style="85" bestFit="1" customWidth="1"/>
    <col min="9736" max="9736" width="8.25" style="85" bestFit="1" customWidth="1"/>
    <col min="9737" max="9738" width="9.625" style="85" bestFit="1" customWidth="1"/>
    <col min="9739" max="9739" width="8.25" style="85" bestFit="1" customWidth="1"/>
    <col min="9740" max="9741" width="9.625" style="85" bestFit="1" customWidth="1"/>
    <col min="9742" max="9743" width="8.25" style="85" bestFit="1" customWidth="1"/>
    <col min="9744" max="9744" width="11" style="85" bestFit="1" customWidth="1"/>
    <col min="9745" max="9745" width="8" style="85" bestFit="1" customWidth="1"/>
    <col min="9746" max="9746" width="7.75" style="85" bestFit="1" customWidth="1"/>
    <col min="9747" max="9748" width="9.625" style="85" bestFit="1" customWidth="1"/>
    <col min="9749" max="9750" width="9.625" style="85" customWidth="1"/>
    <col min="9751" max="9751" width="9.25" style="85" bestFit="1" customWidth="1"/>
    <col min="9752" max="9752" width="11" style="85" bestFit="1" customWidth="1"/>
    <col min="9753" max="9985" width="9" style="85"/>
    <col min="9986" max="9986" width="4.625" style="85" bestFit="1" customWidth="1"/>
    <col min="9987" max="9987" width="7.5" style="85" bestFit="1" customWidth="1"/>
    <col min="9988" max="9988" width="6.25" style="85" customWidth="1"/>
    <col min="9989" max="9989" width="11" style="85" bestFit="1" customWidth="1"/>
    <col min="9990" max="9991" width="9.625" style="85" bestFit="1" customWidth="1"/>
    <col min="9992" max="9992" width="8.25" style="85" bestFit="1" customWidth="1"/>
    <col min="9993" max="9994" width="9.625" style="85" bestFit="1" customWidth="1"/>
    <col min="9995" max="9995" width="8.25" style="85" bestFit="1" customWidth="1"/>
    <col min="9996" max="9997" width="9.625" style="85" bestFit="1" customWidth="1"/>
    <col min="9998" max="9999" width="8.25" style="85" bestFit="1" customWidth="1"/>
    <col min="10000" max="10000" width="11" style="85" bestFit="1" customWidth="1"/>
    <col min="10001" max="10001" width="8" style="85" bestFit="1" customWidth="1"/>
    <col min="10002" max="10002" width="7.75" style="85" bestFit="1" customWidth="1"/>
    <col min="10003" max="10004" width="9.625" style="85" bestFit="1" customWidth="1"/>
    <col min="10005" max="10006" width="9.625" style="85" customWidth="1"/>
    <col min="10007" max="10007" width="9.25" style="85" bestFit="1" customWidth="1"/>
    <col min="10008" max="10008" width="11" style="85" bestFit="1" customWidth="1"/>
    <col min="10009" max="10241" width="9" style="85"/>
    <col min="10242" max="10242" width="4.625" style="85" bestFit="1" customWidth="1"/>
    <col min="10243" max="10243" width="7.5" style="85" bestFit="1" customWidth="1"/>
    <col min="10244" max="10244" width="6.25" style="85" customWidth="1"/>
    <col min="10245" max="10245" width="11" style="85" bestFit="1" customWidth="1"/>
    <col min="10246" max="10247" width="9.625" style="85" bestFit="1" customWidth="1"/>
    <col min="10248" max="10248" width="8.25" style="85" bestFit="1" customWidth="1"/>
    <col min="10249" max="10250" width="9.625" style="85" bestFit="1" customWidth="1"/>
    <col min="10251" max="10251" width="8.25" style="85" bestFit="1" customWidth="1"/>
    <col min="10252" max="10253" width="9.625" style="85" bestFit="1" customWidth="1"/>
    <col min="10254" max="10255" width="8.25" style="85" bestFit="1" customWidth="1"/>
    <col min="10256" max="10256" width="11" style="85" bestFit="1" customWidth="1"/>
    <col min="10257" max="10257" width="8" style="85" bestFit="1" customWidth="1"/>
    <col min="10258" max="10258" width="7.75" style="85" bestFit="1" customWidth="1"/>
    <col min="10259" max="10260" width="9.625" style="85" bestFit="1" customWidth="1"/>
    <col min="10261" max="10262" width="9.625" style="85" customWidth="1"/>
    <col min="10263" max="10263" width="9.25" style="85" bestFit="1" customWidth="1"/>
    <col min="10264" max="10264" width="11" style="85" bestFit="1" customWidth="1"/>
    <col min="10265" max="10497" width="9" style="85"/>
    <col min="10498" max="10498" width="4.625" style="85" bestFit="1" customWidth="1"/>
    <col min="10499" max="10499" width="7.5" style="85" bestFit="1" customWidth="1"/>
    <col min="10500" max="10500" width="6.25" style="85" customWidth="1"/>
    <col min="10501" max="10501" width="11" style="85" bestFit="1" customWidth="1"/>
    <col min="10502" max="10503" width="9.625" style="85" bestFit="1" customWidth="1"/>
    <col min="10504" max="10504" width="8.25" style="85" bestFit="1" customWidth="1"/>
    <col min="10505" max="10506" width="9.625" style="85" bestFit="1" customWidth="1"/>
    <col min="10507" max="10507" width="8.25" style="85" bestFit="1" customWidth="1"/>
    <col min="10508" max="10509" width="9.625" style="85" bestFit="1" customWidth="1"/>
    <col min="10510" max="10511" width="8.25" style="85" bestFit="1" customWidth="1"/>
    <col min="10512" max="10512" width="11" style="85" bestFit="1" customWidth="1"/>
    <col min="10513" max="10513" width="8" style="85" bestFit="1" customWidth="1"/>
    <col min="10514" max="10514" width="7.75" style="85" bestFit="1" customWidth="1"/>
    <col min="10515" max="10516" width="9.625" style="85" bestFit="1" customWidth="1"/>
    <col min="10517" max="10518" width="9.625" style="85" customWidth="1"/>
    <col min="10519" max="10519" width="9.25" style="85" bestFit="1" customWidth="1"/>
    <col min="10520" max="10520" width="11" style="85" bestFit="1" customWidth="1"/>
    <col min="10521" max="10753" width="9" style="85"/>
    <col min="10754" max="10754" width="4.625" style="85" bestFit="1" customWidth="1"/>
    <col min="10755" max="10755" width="7.5" style="85" bestFit="1" customWidth="1"/>
    <col min="10756" max="10756" width="6.25" style="85" customWidth="1"/>
    <col min="10757" max="10757" width="11" style="85" bestFit="1" customWidth="1"/>
    <col min="10758" max="10759" width="9.625" style="85" bestFit="1" customWidth="1"/>
    <col min="10760" max="10760" width="8.25" style="85" bestFit="1" customWidth="1"/>
    <col min="10761" max="10762" width="9.625" style="85" bestFit="1" customWidth="1"/>
    <col min="10763" max="10763" width="8.25" style="85" bestFit="1" customWidth="1"/>
    <col min="10764" max="10765" width="9.625" style="85" bestFit="1" customWidth="1"/>
    <col min="10766" max="10767" width="8.25" style="85" bestFit="1" customWidth="1"/>
    <col min="10768" max="10768" width="11" style="85" bestFit="1" customWidth="1"/>
    <col min="10769" max="10769" width="8" style="85" bestFit="1" customWidth="1"/>
    <col min="10770" max="10770" width="7.75" style="85" bestFit="1" customWidth="1"/>
    <col min="10771" max="10772" width="9.625" style="85" bestFit="1" customWidth="1"/>
    <col min="10773" max="10774" width="9.625" style="85" customWidth="1"/>
    <col min="10775" max="10775" width="9.25" style="85" bestFit="1" customWidth="1"/>
    <col min="10776" max="10776" width="11" style="85" bestFit="1" customWidth="1"/>
    <col min="10777" max="11009" width="9" style="85"/>
    <col min="11010" max="11010" width="4.625" style="85" bestFit="1" customWidth="1"/>
    <col min="11011" max="11011" width="7.5" style="85" bestFit="1" customWidth="1"/>
    <col min="11012" max="11012" width="6.25" style="85" customWidth="1"/>
    <col min="11013" max="11013" width="11" style="85" bestFit="1" customWidth="1"/>
    <col min="11014" max="11015" width="9.625" style="85" bestFit="1" customWidth="1"/>
    <col min="11016" max="11016" width="8.25" style="85" bestFit="1" customWidth="1"/>
    <col min="11017" max="11018" width="9.625" style="85" bestFit="1" customWidth="1"/>
    <col min="11019" max="11019" width="8.25" style="85" bestFit="1" customWidth="1"/>
    <col min="11020" max="11021" width="9.625" style="85" bestFit="1" customWidth="1"/>
    <col min="11022" max="11023" width="8.25" style="85" bestFit="1" customWidth="1"/>
    <col min="11024" max="11024" width="11" style="85" bestFit="1" customWidth="1"/>
    <col min="11025" max="11025" width="8" style="85" bestFit="1" customWidth="1"/>
    <col min="11026" max="11026" width="7.75" style="85" bestFit="1" customWidth="1"/>
    <col min="11027" max="11028" width="9.625" style="85" bestFit="1" customWidth="1"/>
    <col min="11029" max="11030" width="9.625" style="85" customWidth="1"/>
    <col min="11031" max="11031" width="9.25" style="85" bestFit="1" customWidth="1"/>
    <col min="11032" max="11032" width="11" style="85" bestFit="1" customWidth="1"/>
    <col min="11033" max="11265" width="9" style="85"/>
    <col min="11266" max="11266" width="4.625" style="85" bestFit="1" customWidth="1"/>
    <col min="11267" max="11267" width="7.5" style="85" bestFit="1" customWidth="1"/>
    <col min="11268" max="11268" width="6.25" style="85" customWidth="1"/>
    <col min="11269" max="11269" width="11" style="85" bestFit="1" customWidth="1"/>
    <col min="11270" max="11271" width="9.625" style="85" bestFit="1" customWidth="1"/>
    <col min="11272" max="11272" width="8.25" style="85" bestFit="1" customWidth="1"/>
    <col min="11273" max="11274" width="9.625" style="85" bestFit="1" customWidth="1"/>
    <col min="11275" max="11275" width="8.25" style="85" bestFit="1" customWidth="1"/>
    <col min="11276" max="11277" width="9.625" style="85" bestFit="1" customWidth="1"/>
    <col min="11278" max="11279" width="8.25" style="85" bestFit="1" customWidth="1"/>
    <col min="11280" max="11280" width="11" style="85" bestFit="1" customWidth="1"/>
    <col min="11281" max="11281" width="8" style="85" bestFit="1" customWidth="1"/>
    <col min="11282" max="11282" width="7.75" style="85" bestFit="1" customWidth="1"/>
    <col min="11283" max="11284" width="9.625" style="85" bestFit="1" customWidth="1"/>
    <col min="11285" max="11286" width="9.625" style="85" customWidth="1"/>
    <col min="11287" max="11287" width="9.25" style="85" bestFit="1" customWidth="1"/>
    <col min="11288" max="11288" width="11" style="85" bestFit="1" customWidth="1"/>
    <col min="11289" max="11521" width="9" style="85"/>
    <col min="11522" max="11522" width="4.625" style="85" bestFit="1" customWidth="1"/>
    <col min="11523" max="11523" width="7.5" style="85" bestFit="1" customWidth="1"/>
    <col min="11524" max="11524" width="6.25" style="85" customWidth="1"/>
    <col min="11525" max="11525" width="11" style="85" bestFit="1" customWidth="1"/>
    <col min="11526" max="11527" width="9.625" style="85" bestFit="1" customWidth="1"/>
    <col min="11528" max="11528" width="8.25" style="85" bestFit="1" customWidth="1"/>
    <col min="11529" max="11530" width="9.625" style="85" bestFit="1" customWidth="1"/>
    <col min="11531" max="11531" width="8.25" style="85" bestFit="1" customWidth="1"/>
    <col min="11532" max="11533" width="9.625" style="85" bestFit="1" customWidth="1"/>
    <col min="11534" max="11535" width="8.25" style="85" bestFit="1" customWidth="1"/>
    <col min="11536" max="11536" width="11" style="85" bestFit="1" customWidth="1"/>
    <col min="11537" max="11537" width="8" style="85" bestFit="1" customWidth="1"/>
    <col min="11538" max="11538" width="7.75" style="85" bestFit="1" customWidth="1"/>
    <col min="11539" max="11540" width="9.625" style="85" bestFit="1" customWidth="1"/>
    <col min="11541" max="11542" width="9.625" style="85" customWidth="1"/>
    <col min="11543" max="11543" width="9.25" style="85" bestFit="1" customWidth="1"/>
    <col min="11544" max="11544" width="11" style="85" bestFit="1" customWidth="1"/>
    <col min="11545" max="11777" width="9" style="85"/>
    <col min="11778" max="11778" width="4.625" style="85" bestFit="1" customWidth="1"/>
    <col min="11779" max="11779" width="7.5" style="85" bestFit="1" customWidth="1"/>
    <col min="11780" max="11780" width="6.25" style="85" customWidth="1"/>
    <col min="11781" max="11781" width="11" style="85" bestFit="1" customWidth="1"/>
    <col min="11782" max="11783" width="9.625" style="85" bestFit="1" customWidth="1"/>
    <col min="11784" max="11784" width="8.25" style="85" bestFit="1" customWidth="1"/>
    <col min="11785" max="11786" width="9.625" style="85" bestFit="1" customWidth="1"/>
    <col min="11787" max="11787" width="8.25" style="85" bestFit="1" customWidth="1"/>
    <col min="11788" max="11789" width="9.625" style="85" bestFit="1" customWidth="1"/>
    <col min="11790" max="11791" width="8.25" style="85" bestFit="1" customWidth="1"/>
    <col min="11792" max="11792" width="11" style="85" bestFit="1" customWidth="1"/>
    <col min="11793" max="11793" width="8" style="85" bestFit="1" customWidth="1"/>
    <col min="11794" max="11794" width="7.75" style="85" bestFit="1" customWidth="1"/>
    <col min="11795" max="11796" width="9.625" style="85" bestFit="1" customWidth="1"/>
    <col min="11797" max="11798" width="9.625" style="85" customWidth="1"/>
    <col min="11799" max="11799" width="9.25" style="85" bestFit="1" customWidth="1"/>
    <col min="11800" max="11800" width="11" style="85" bestFit="1" customWidth="1"/>
    <col min="11801" max="12033" width="9" style="85"/>
    <col min="12034" max="12034" width="4.625" style="85" bestFit="1" customWidth="1"/>
    <col min="12035" max="12035" width="7.5" style="85" bestFit="1" customWidth="1"/>
    <col min="12036" max="12036" width="6.25" style="85" customWidth="1"/>
    <col min="12037" max="12037" width="11" style="85" bestFit="1" customWidth="1"/>
    <col min="12038" max="12039" width="9.625" style="85" bestFit="1" customWidth="1"/>
    <col min="12040" max="12040" width="8.25" style="85" bestFit="1" customWidth="1"/>
    <col min="12041" max="12042" width="9.625" style="85" bestFit="1" customWidth="1"/>
    <col min="12043" max="12043" width="8.25" style="85" bestFit="1" customWidth="1"/>
    <col min="12044" max="12045" width="9.625" style="85" bestFit="1" customWidth="1"/>
    <col min="12046" max="12047" width="8.25" style="85" bestFit="1" customWidth="1"/>
    <col min="12048" max="12048" width="11" style="85" bestFit="1" customWidth="1"/>
    <col min="12049" max="12049" width="8" style="85" bestFit="1" customWidth="1"/>
    <col min="12050" max="12050" width="7.75" style="85" bestFit="1" customWidth="1"/>
    <col min="12051" max="12052" width="9.625" style="85" bestFit="1" customWidth="1"/>
    <col min="12053" max="12054" width="9.625" style="85" customWidth="1"/>
    <col min="12055" max="12055" width="9.25" style="85" bestFit="1" customWidth="1"/>
    <col min="12056" max="12056" width="11" style="85" bestFit="1" customWidth="1"/>
    <col min="12057" max="12289" width="9" style="85"/>
    <col min="12290" max="12290" width="4.625" style="85" bestFit="1" customWidth="1"/>
    <col min="12291" max="12291" width="7.5" style="85" bestFit="1" customWidth="1"/>
    <col min="12292" max="12292" width="6.25" style="85" customWidth="1"/>
    <col min="12293" max="12293" width="11" style="85" bestFit="1" customWidth="1"/>
    <col min="12294" max="12295" width="9.625" style="85" bestFit="1" customWidth="1"/>
    <col min="12296" max="12296" width="8.25" style="85" bestFit="1" customWidth="1"/>
    <col min="12297" max="12298" width="9.625" style="85" bestFit="1" customWidth="1"/>
    <col min="12299" max="12299" width="8.25" style="85" bestFit="1" customWidth="1"/>
    <col min="12300" max="12301" width="9.625" style="85" bestFit="1" customWidth="1"/>
    <col min="12302" max="12303" width="8.25" style="85" bestFit="1" customWidth="1"/>
    <col min="12304" max="12304" width="11" style="85" bestFit="1" customWidth="1"/>
    <col min="12305" max="12305" width="8" style="85" bestFit="1" customWidth="1"/>
    <col min="12306" max="12306" width="7.75" style="85" bestFit="1" customWidth="1"/>
    <col min="12307" max="12308" width="9.625" style="85" bestFit="1" customWidth="1"/>
    <col min="12309" max="12310" width="9.625" style="85" customWidth="1"/>
    <col min="12311" max="12311" width="9.25" style="85" bestFit="1" customWidth="1"/>
    <col min="12312" max="12312" width="11" style="85" bestFit="1" customWidth="1"/>
    <col min="12313" max="12545" width="9" style="85"/>
    <col min="12546" max="12546" width="4.625" style="85" bestFit="1" customWidth="1"/>
    <col min="12547" max="12547" width="7.5" style="85" bestFit="1" customWidth="1"/>
    <col min="12548" max="12548" width="6.25" style="85" customWidth="1"/>
    <col min="12549" max="12549" width="11" style="85" bestFit="1" customWidth="1"/>
    <col min="12550" max="12551" width="9.625" style="85" bestFit="1" customWidth="1"/>
    <col min="12552" max="12552" width="8.25" style="85" bestFit="1" customWidth="1"/>
    <col min="12553" max="12554" width="9.625" style="85" bestFit="1" customWidth="1"/>
    <col min="12555" max="12555" width="8.25" style="85" bestFit="1" customWidth="1"/>
    <col min="12556" max="12557" width="9.625" style="85" bestFit="1" customWidth="1"/>
    <col min="12558" max="12559" width="8.25" style="85" bestFit="1" customWidth="1"/>
    <col min="12560" max="12560" width="11" style="85" bestFit="1" customWidth="1"/>
    <col min="12561" max="12561" width="8" style="85" bestFit="1" customWidth="1"/>
    <col min="12562" max="12562" width="7.75" style="85" bestFit="1" customWidth="1"/>
    <col min="12563" max="12564" width="9.625" style="85" bestFit="1" customWidth="1"/>
    <col min="12565" max="12566" width="9.625" style="85" customWidth="1"/>
    <col min="12567" max="12567" width="9.25" style="85" bestFit="1" customWidth="1"/>
    <col min="12568" max="12568" width="11" style="85" bestFit="1" customWidth="1"/>
    <col min="12569" max="12801" width="9" style="85"/>
    <col min="12802" max="12802" width="4.625" style="85" bestFit="1" customWidth="1"/>
    <col min="12803" max="12803" width="7.5" style="85" bestFit="1" customWidth="1"/>
    <col min="12804" max="12804" width="6.25" style="85" customWidth="1"/>
    <col min="12805" max="12805" width="11" style="85" bestFit="1" customWidth="1"/>
    <col min="12806" max="12807" width="9.625" style="85" bestFit="1" customWidth="1"/>
    <col min="12808" max="12808" width="8.25" style="85" bestFit="1" customWidth="1"/>
    <col min="12809" max="12810" width="9.625" style="85" bestFit="1" customWidth="1"/>
    <col min="12811" max="12811" width="8.25" style="85" bestFit="1" customWidth="1"/>
    <col min="12812" max="12813" width="9.625" style="85" bestFit="1" customWidth="1"/>
    <col min="12814" max="12815" width="8.25" style="85" bestFit="1" customWidth="1"/>
    <col min="12816" max="12816" width="11" style="85" bestFit="1" customWidth="1"/>
    <col min="12817" max="12817" width="8" style="85" bestFit="1" customWidth="1"/>
    <col min="12818" max="12818" width="7.75" style="85" bestFit="1" customWidth="1"/>
    <col min="12819" max="12820" width="9.625" style="85" bestFit="1" customWidth="1"/>
    <col min="12821" max="12822" width="9.625" style="85" customWidth="1"/>
    <col min="12823" max="12823" width="9.25" style="85" bestFit="1" customWidth="1"/>
    <col min="12824" max="12824" width="11" style="85" bestFit="1" customWidth="1"/>
    <col min="12825" max="13057" width="9" style="85"/>
    <col min="13058" max="13058" width="4.625" style="85" bestFit="1" customWidth="1"/>
    <col min="13059" max="13059" width="7.5" style="85" bestFit="1" customWidth="1"/>
    <col min="13060" max="13060" width="6.25" style="85" customWidth="1"/>
    <col min="13061" max="13061" width="11" style="85" bestFit="1" customWidth="1"/>
    <col min="13062" max="13063" width="9.625" style="85" bestFit="1" customWidth="1"/>
    <col min="13064" max="13064" width="8.25" style="85" bestFit="1" customWidth="1"/>
    <col min="13065" max="13066" width="9.625" style="85" bestFit="1" customWidth="1"/>
    <col min="13067" max="13067" width="8.25" style="85" bestFit="1" customWidth="1"/>
    <col min="13068" max="13069" width="9.625" style="85" bestFit="1" customWidth="1"/>
    <col min="13070" max="13071" width="8.25" style="85" bestFit="1" customWidth="1"/>
    <col min="13072" max="13072" width="11" style="85" bestFit="1" customWidth="1"/>
    <col min="13073" max="13073" width="8" style="85" bestFit="1" customWidth="1"/>
    <col min="13074" max="13074" width="7.75" style="85" bestFit="1" customWidth="1"/>
    <col min="13075" max="13076" width="9.625" style="85" bestFit="1" customWidth="1"/>
    <col min="13077" max="13078" width="9.625" style="85" customWidth="1"/>
    <col min="13079" max="13079" width="9.25" style="85" bestFit="1" customWidth="1"/>
    <col min="13080" max="13080" width="11" style="85" bestFit="1" customWidth="1"/>
    <col min="13081" max="13313" width="9" style="85"/>
    <col min="13314" max="13314" width="4.625" style="85" bestFit="1" customWidth="1"/>
    <col min="13315" max="13315" width="7.5" style="85" bestFit="1" customWidth="1"/>
    <col min="13316" max="13316" width="6.25" style="85" customWidth="1"/>
    <col min="13317" max="13317" width="11" style="85" bestFit="1" customWidth="1"/>
    <col min="13318" max="13319" width="9.625" style="85" bestFit="1" customWidth="1"/>
    <col min="13320" max="13320" width="8.25" style="85" bestFit="1" customWidth="1"/>
    <col min="13321" max="13322" width="9.625" style="85" bestFit="1" customWidth="1"/>
    <col min="13323" max="13323" width="8.25" style="85" bestFit="1" customWidth="1"/>
    <col min="13324" max="13325" width="9.625" style="85" bestFit="1" customWidth="1"/>
    <col min="13326" max="13327" width="8.25" style="85" bestFit="1" customWidth="1"/>
    <col min="13328" max="13328" width="11" style="85" bestFit="1" customWidth="1"/>
    <col min="13329" max="13329" width="8" style="85" bestFit="1" customWidth="1"/>
    <col min="13330" max="13330" width="7.75" style="85" bestFit="1" customWidth="1"/>
    <col min="13331" max="13332" width="9.625" style="85" bestFit="1" customWidth="1"/>
    <col min="13333" max="13334" width="9.625" style="85" customWidth="1"/>
    <col min="13335" max="13335" width="9.25" style="85" bestFit="1" customWidth="1"/>
    <col min="13336" max="13336" width="11" style="85" bestFit="1" customWidth="1"/>
    <col min="13337" max="13569" width="9" style="85"/>
    <col min="13570" max="13570" width="4.625" style="85" bestFit="1" customWidth="1"/>
    <col min="13571" max="13571" width="7.5" style="85" bestFit="1" customWidth="1"/>
    <col min="13572" max="13572" width="6.25" style="85" customWidth="1"/>
    <col min="13573" max="13573" width="11" style="85" bestFit="1" customWidth="1"/>
    <col min="13574" max="13575" width="9.625" style="85" bestFit="1" customWidth="1"/>
    <col min="13576" max="13576" width="8.25" style="85" bestFit="1" customWidth="1"/>
    <col min="13577" max="13578" width="9.625" style="85" bestFit="1" customWidth="1"/>
    <col min="13579" max="13579" width="8.25" style="85" bestFit="1" customWidth="1"/>
    <col min="13580" max="13581" width="9.625" style="85" bestFit="1" customWidth="1"/>
    <col min="13582" max="13583" width="8.25" style="85" bestFit="1" customWidth="1"/>
    <col min="13584" max="13584" width="11" style="85" bestFit="1" customWidth="1"/>
    <col min="13585" max="13585" width="8" style="85" bestFit="1" customWidth="1"/>
    <col min="13586" max="13586" width="7.75" style="85" bestFit="1" customWidth="1"/>
    <col min="13587" max="13588" width="9.625" style="85" bestFit="1" customWidth="1"/>
    <col min="13589" max="13590" width="9.625" style="85" customWidth="1"/>
    <col min="13591" max="13591" width="9.25" style="85" bestFit="1" customWidth="1"/>
    <col min="13592" max="13592" width="11" style="85" bestFit="1" customWidth="1"/>
    <col min="13593" max="13825" width="9" style="85"/>
    <col min="13826" max="13826" width="4.625" style="85" bestFit="1" customWidth="1"/>
    <col min="13827" max="13827" width="7.5" style="85" bestFit="1" customWidth="1"/>
    <col min="13828" max="13828" width="6.25" style="85" customWidth="1"/>
    <col min="13829" max="13829" width="11" style="85" bestFit="1" customWidth="1"/>
    <col min="13830" max="13831" width="9.625" style="85" bestFit="1" customWidth="1"/>
    <col min="13832" max="13832" width="8.25" style="85" bestFit="1" customWidth="1"/>
    <col min="13833" max="13834" width="9.625" style="85" bestFit="1" customWidth="1"/>
    <col min="13835" max="13835" width="8.25" style="85" bestFit="1" customWidth="1"/>
    <col min="13836" max="13837" width="9.625" style="85" bestFit="1" customWidth="1"/>
    <col min="13838" max="13839" width="8.25" style="85" bestFit="1" customWidth="1"/>
    <col min="13840" max="13840" width="11" style="85" bestFit="1" customWidth="1"/>
    <col min="13841" max="13841" width="8" style="85" bestFit="1" customWidth="1"/>
    <col min="13842" max="13842" width="7.75" style="85" bestFit="1" customWidth="1"/>
    <col min="13843" max="13844" width="9.625" style="85" bestFit="1" customWidth="1"/>
    <col min="13845" max="13846" width="9.625" style="85" customWidth="1"/>
    <col min="13847" max="13847" width="9.25" style="85" bestFit="1" customWidth="1"/>
    <col min="13848" max="13848" width="11" style="85" bestFit="1" customWidth="1"/>
    <col min="13849" max="14081" width="9" style="85"/>
    <col min="14082" max="14082" width="4.625" style="85" bestFit="1" customWidth="1"/>
    <col min="14083" max="14083" width="7.5" style="85" bestFit="1" customWidth="1"/>
    <col min="14084" max="14084" width="6.25" style="85" customWidth="1"/>
    <col min="14085" max="14085" width="11" style="85" bestFit="1" customWidth="1"/>
    <col min="14086" max="14087" width="9.625" style="85" bestFit="1" customWidth="1"/>
    <col min="14088" max="14088" width="8.25" style="85" bestFit="1" customWidth="1"/>
    <col min="14089" max="14090" width="9.625" style="85" bestFit="1" customWidth="1"/>
    <col min="14091" max="14091" width="8.25" style="85" bestFit="1" customWidth="1"/>
    <col min="14092" max="14093" width="9.625" style="85" bestFit="1" customWidth="1"/>
    <col min="14094" max="14095" width="8.25" style="85" bestFit="1" customWidth="1"/>
    <col min="14096" max="14096" width="11" style="85" bestFit="1" customWidth="1"/>
    <col min="14097" max="14097" width="8" style="85" bestFit="1" customWidth="1"/>
    <col min="14098" max="14098" width="7.75" style="85" bestFit="1" customWidth="1"/>
    <col min="14099" max="14100" width="9.625" style="85" bestFit="1" customWidth="1"/>
    <col min="14101" max="14102" width="9.625" style="85" customWidth="1"/>
    <col min="14103" max="14103" width="9.25" style="85" bestFit="1" customWidth="1"/>
    <col min="14104" max="14104" width="11" style="85" bestFit="1" customWidth="1"/>
    <col min="14105" max="14337" width="9" style="85"/>
    <col min="14338" max="14338" width="4.625" style="85" bestFit="1" customWidth="1"/>
    <col min="14339" max="14339" width="7.5" style="85" bestFit="1" customWidth="1"/>
    <col min="14340" max="14340" width="6.25" style="85" customWidth="1"/>
    <col min="14341" max="14341" width="11" style="85" bestFit="1" customWidth="1"/>
    <col min="14342" max="14343" width="9.625" style="85" bestFit="1" customWidth="1"/>
    <col min="14344" max="14344" width="8.25" style="85" bestFit="1" customWidth="1"/>
    <col min="14345" max="14346" width="9.625" style="85" bestFit="1" customWidth="1"/>
    <col min="14347" max="14347" width="8.25" style="85" bestFit="1" customWidth="1"/>
    <col min="14348" max="14349" width="9.625" style="85" bestFit="1" customWidth="1"/>
    <col min="14350" max="14351" width="8.25" style="85" bestFit="1" customWidth="1"/>
    <col min="14352" max="14352" width="11" style="85" bestFit="1" customWidth="1"/>
    <col min="14353" max="14353" width="8" style="85" bestFit="1" customWidth="1"/>
    <col min="14354" max="14354" width="7.75" style="85" bestFit="1" customWidth="1"/>
    <col min="14355" max="14356" width="9.625" style="85" bestFit="1" customWidth="1"/>
    <col min="14357" max="14358" width="9.625" style="85" customWidth="1"/>
    <col min="14359" max="14359" width="9.25" style="85" bestFit="1" customWidth="1"/>
    <col min="14360" max="14360" width="11" style="85" bestFit="1" customWidth="1"/>
    <col min="14361" max="14593" width="9" style="85"/>
    <col min="14594" max="14594" width="4.625" style="85" bestFit="1" customWidth="1"/>
    <col min="14595" max="14595" width="7.5" style="85" bestFit="1" customWidth="1"/>
    <col min="14596" max="14596" width="6.25" style="85" customWidth="1"/>
    <col min="14597" max="14597" width="11" style="85" bestFit="1" customWidth="1"/>
    <col min="14598" max="14599" width="9.625" style="85" bestFit="1" customWidth="1"/>
    <col min="14600" max="14600" width="8.25" style="85" bestFit="1" customWidth="1"/>
    <col min="14601" max="14602" width="9.625" style="85" bestFit="1" customWidth="1"/>
    <col min="14603" max="14603" width="8.25" style="85" bestFit="1" customWidth="1"/>
    <col min="14604" max="14605" width="9.625" style="85" bestFit="1" customWidth="1"/>
    <col min="14606" max="14607" width="8.25" style="85" bestFit="1" customWidth="1"/>
    <col min="14608" max="14608" width="11" style="85" bestFit="1" customWidth="1"/>
    <col min="14609" max="14609" width="8" style="85" bestFit="1" customWidth="1"/>
    <col min="14610" max="14610" width="7.75" style="85" bestFit="1" customWidth="1"/>
    <col min="14611" max="14612" width="9.625" style="85" bestFit="1" customWidth="1"/>
    <col min="14613" max="14614" width="9.625" style="85" customWidth="1"/>
    <col min="14615" max="14615" width="9.25" style="85" bestFit="1" customWidth="1"/>
    <col min="14616" max="14616" width="11" style="85" bestFit="1" customWidth="1"/>
    <col min="14617" max="14849" width="9" style="85"/>
    <col min="14850" max="14850" width="4.625" style="85" bestFit="1" customWidth="1"/>
    <col min="14851" max="14851" width="7.5" style="85" bestFit="1" customWidth="1"/>
    <col min="14852" max="14852" width="6.25" style="85" customWidth="1"/>
    <col min="14853" max="14853" width="11" style="85" bestFit="1" customWidth="1"/>
    <col min="14854" max="14855" width="9.625" style="85" bestFit="1" customWidth="1"/>
    <col min="14856" max="14856" width="8.25" style="85" bestFit="1" customWidth="1"/>
    <col min="14857" max="14858" width="9.625" style="85" bestFit="1" customWidth="1"/>
    <col min="14859" max="14859" width="8.25" style="85" bestFit="1" customWidth="1"/>
    <col min="14860" max="14861" width="9.625" style="85" bestFit="1" customWidth="1"/>
    <col min="14862" max="14863" width="8.25" style="85" bestFit="1" customWidth="1"/>
    <col min="14864" max="14864" width="11" style="85" bestFit="1" customWidth="1"/>
    <col min="14865" max="14865" width="8" style="85" bestFit="1" customWidth="1"/>
    <col min="14866" max="14866" width="7.75" style="85" bestFit="1" customWidth="1"/>
    <col min="14867" max="14868" width="9.625" style="85" bestFit="1" customWidth="1"/>
    <col min="14869" max="14870" width="9.625" style="85" customWidth="1"/>
    <col min="14871" max="14871" width="9.25" style="85" bestFit="1" customWidth="1"/>
    <col min="14872" max="14872" width="11" style="85" bestFit="1" customWidth="1"/>
    <col min="14873" max="15105" width="9" style="85"/>
    <col min="15106" max="15106" width="4.625" style="85" bestFit="1" customWidth="1"/>
    <col min="15107" max="15107" width="7.5" style="85" bestFit="1" customWidth="1"/>
    <col min="15108" max="15108" width="6.25" style="85" customWidth="1"/>
    <col min="15109" max="15109" width="11" style="85" bestFit="1" customWidth="1"/>
    <col min="15110" max="15111" width="9.625" style="85" bestFit="1" customWidth="1"/>
    <col min="15112" max="15112" width="8.25" style="85" bestFit="1" customWidth="1"/>
    <col min="15113" max="15114" width="9.625" style="85" bestFit="1" customWidth="1"/>
    <col min="15115" max="15115" width="8.25" style="85" bestFit="1" customWidth="1"/>
    <col min="15116" max="15117" width="9.625" style="85" bestFit="1" customWidth="1"/>
    <col min="15118" max="15119" width="8.25" style="85" bestFit="1" customWidth="1"/>
    <col min="15120" max="15120" width="11" style="85" bestFit="1" customWidth="1"/>
    <col min="15121" max="15121" width="8" style="85" bestFit="1" customWidth="1"/>
    <col min="15122" max="15122" width="7.75" style="85" bestFit="1" customWidth="1"/>
    <col min="15123" max="15124" width="9.625" style="85" bestFit="1" customWidth="1"/>
    <col min="15125" max="15126" width="9.625" style="85" customWidth="1"/>
    <col min="15127" max="15127" width="9.25" style="85" bestFit="1" customWidth="1"/>
    <col min="15128" max="15128" width="11" style="85" bestFit="1" customWidth="1"/>
    <col min="15129" max="15361" width="9" style="85"/>
    <col min="15362" max="15362" width="4.625" style="85" bestFit="1" customWidth="1"/>
    <col min="15363" max="15363" width="7.5" style="85" bestFit="1" customWidth="1"/>
    <col min="15364" max="15364" width="6.25" style="85" customWidth="1"/>
    <col min="15365" max="15365" width="11" style="85" bestFit="1" customWidth="1"/>
    <col min="15366" max="15367" width="9.625" style="85" bestFit="1" customWidth="1"/>
    <col min="15368" max="15368" width="8.25" style="85" bestFit="1" customWidth="1"/>
    <col min="15369" max="15370" width="9.625" style="85" bestFit="1" customWidth="1"/>
    <col min="15371" max="15371" width="8.25" style="85" bestFit="1" customWidth="1"/>
    <col min="15372" max="15373" width="9.625" style="85" bestFit="1" customWidth="1"/>
    <col min="15374" max="15375" width="8.25" style="85" bestFit="1" customWidth="1"/>
    <col min="15376" max="15376" width="11" style="85" bestFit="1" customWidth="1"/>
    <col min="15377" max="15377" width="8" style="85" bestFit="1" customWidth="1"/>
    <col min="15378" max="15378" width="7.75" style="85" bestFit="1" customWidth="1"/>
    <col min="15379" max="15380" width="9.625" style="85" bestFit="1" customWidth="1"/>
    <col min="15381" max="15382" width="9.625" style="85" customWidth="1"/>
    <col min="15383" max="15383" width="9.25" style="85" bestFit="1" customWidth="1"/>
    <col min="15384" max="15384" width="11" style="85" bestFit="1" customWidth="1"/>
    <col min="15385" max="15617" width="9" style="85"/>
    <col min="15618" max="15618" width="4.625" style="85" bestFit="1" customWidth="1"/>
    <col min="15619" max="15619" width="7.5" style="85" bestFit="1" customWidth="1"/>
    <col min="15620" max="15620" width="6.25" style="85" customWidth="1"/>
    <col min="15621" max="15621" width="11" style="85" bestFit="1" customWidth="1"/>
    <col min="15622" max="15623" width="9.625" style="85" bestFit="1" customWidth="1"/>
    <col min="15624" max="15624" width="8.25" style="85" bestFit="1" customWidth="1"/>
    <col min="15625" max="15626" width="9.625" style="85" bestFit="1" customWidth="1"/>
    <col min="15627" max="15627" width="8.25" style="85" bestFit="1" customWidth="1"/>
    <col min="15628" max="15629" width="9.625" style="85" bestFit="1" customWidth="1"/>
    <col min="15630" max="15631" width="8.25" style="85" bestFit="1" customWidth="1"/>
    <col min="15632" max="15632" width="11" style="85" bestFit="1" customWidth="1"/>
    <col min="15633" max="15633" width="8" style="85" bestFit="1" customWidth="1"/>
    <col min="15634" max="15634" width="7.75" style="85" bestFit="1" customWidth="1"/>
    <col min="15635" max="15636" width="9.625" style="85" bestFit="1" customWidth="1"/>
    <col min="15637" max="15638" width="9.625" style="85" customWidth="1"/>
    <col min="15639" max="15639" width="9.25" style="85" bestFit="1" customWidth="1"/>
    <col min="15640" max="15640" width="11" style="85" bestFit="1" customWidth="1"/>
    <col min="15641" max="15873" width="9" style="85"/>
    <col min="15874" max="15874" width="4.625" style="85" bestFit="1" customWidth="1"/>
    <col min="15875" max="15875" width="7.5" style="85" bestFit="1" customWidth="1"/>
    <col min="15876" max="15876" width="6.25" style="85" customWidth="1"/>
    <col min="15877" max="15877" width="11" style="85" bestFit="1" customWidth="1"/>
    <col min="15878" max="15879" width="9.625" style="85" bestFit="1" customWidth="1"/>
    <col min="15880" max="15880" width="8.25" style="85" bestFit="1" customWidth="1"/>
    <col min="15881" max="15882" width="9.625" style="85" bestFit="1" customWidth="1"/>
    <col min="15883" max="15883" width="8.25" style="85" bestFit="1" customWidth="1"/>
    <col min="15884" max="15885" width="9.625" style="85" bestFit="1" customWidth="1"/>
    <col min="15886" max="15887" width="8.25" style="85" bestFit="1" customWidth="1"/>
    <col min="15888" max="15888" width="11" style="85" bestFit="1" customWidth="1"/>
    <col min="15889" max="15889" width="8" style="85" bestFit="1" customWidth="1"/>
    <col min="15890" max="15890" width="7.75" style="85" bestFit="1" customWidth="1"/>
    <col min="15891" max="15892" width="9.625" style="85" bestFit="1" customWidth="1"/>
    <col min="15893" max="15894" width="9.625" style="85" customWidth="1"/>
    <col min="15895" max="15895" width="9.25" style="85" bestFit="1" customWidth="1"/>
    <col min="15896" max="15896" width="11" style="85" bestFit="1" customWidth="1"/>
    <col min="15897" max="16129" width="9" style="85"/>
    <col min="16130" max="16130" width="4.625" style="85" bestFit="1" customWidth="1"/>
    <col min="16131" max="16131" width="7.5" style="85" bestFit="1" customWidth="1"/>
    <col min="16132" max="16132" width="6.25" style="85" customWidth="1"/>
    <col min="16133" max="16133" width="11" style="85" bestFit="1" customWidth="1"/>
    <col min="16134" max="16135" width="9.625" style="85" bestFit="1" customWidth="1"/>
    <col min="16136" max="16136" width="8.25" style="85" bestFit="1" customWidth="1"/>
    <col min="16137" max="16138" width="9.625" style="85" bestFit="1" customWidth="1"/>
    <col min="16139" max="16139" width="8.25" style="85" bestFit="1" customWidth="1"/>
    <col min="16140" max="16141" width="9.625" style="85" bestFit="1" customWidth="1"/>
    <col min="16142" max="16143" width="8.25" style="85" bestFit="1" customWidth="1"/>
    <col min="16144" max="16144" width="11" style="85" bestFit="1" customWidth="1"/>
    <col min="16145" max="16145" width="8" style="85" bestFit="1" customWidth="1"/>
    <col min="16146" max="16146" width="7.75" style="85" bestFit="1" customWidth="1"/>
    <col min="16147" max="16148" width="9.625" style="85" bestFit="1" customWidth="1"/>
    <col min="16149" max="16150" width="9.625" style="85" customWidth="1"/>
    <col min="16151" max="16151" width="9.25" style="85" bestFit="1" customWidth="1"/>
    <col min="16152" max="16152" width="11" style="85" bestFit="1" customWidth="1"/>
    <col min="16153" max="16384" width="9" style="85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136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68"/>
      <c r="V4" s="252"/>
      <c r="W4" s="252"/>
      <c r="X4" s="252"/>
    </row>
    <row r="5" spans="2:29" ht="20.25" customHeight="1" x14ac:dyDescent="0.3">
      <c r="B5" s="253" t="s">
        <v>148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73"/>
      <c r="Q5" s="69"/>
      <c r="R5" s="69"/>
      <c r="S5" s="69"/>
      <c r="T5" s="252"/>
      <c r="U5" s="6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99</v>
      </c>
      <c r="F7" s="243"/>
      <c r="G7" s="243"/>
      <c r="H7" s="243"/>
      <c r="I7" s="243"/>
      <c r="J7" s="243"/>
      <c r="K7" s="243"/>
      <c r="L7" s="243"/>
      <c r="M7" s="243"/>
      <c r="N7" s="242" t="s">
        <v>100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101</v>
      </c>
      <c r="AA7" s="250" t="s">
        <v>102</v>
      </c>
      <c r="AC7" s="234" t="s">
        <v>103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104</v>
      </c>
      <c r="G8" s="81" t="s">
        <v>105</v>
      </c>
      <c r="H8" s="81" t="s">
        <v>106</v>
      </c>
      <c r="I8" s="81" t="s">
        <v>77</v>
      </c>
      <c r="J8" s="82" t="s">
        <v>107</v>
      </c>
      <c r="K8" s="82" t="s">
        <v>108</v>
      </c>
      <c r="L8" s="82" t="s">
        <v>109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s="140" customFormat="1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5" si="0">SUM(E9:O9)</f>
        <v>2500000</v>
      </c>
      <c r="Q9" s="94">
        <f t="shared" ref="Q9:Q15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15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15" si="3">IFERROR(ROUNDDOWN((P9-AC9)*3.43%,-1),)</f>
        <v>75460</v>
      </c>
      <c r="U9" s="96">
        <f t="shared" ref="U9:U15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15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s="140" customFormat="1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4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s="140" customFormat="1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>
        <f t="shared" si="8"/>
        <v>99000</v>
      </c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229290</v>
      </c>
      <c r="X11" s="128">
        <f t="shared" si="7"/>
        <v>2270710</v>
      </c>
      <c r="Z11" s="98">
        <v>1</v>
      </c>
      <c r="AA11" s="99"/>
      <c r="AC11" s="100">
        <f t="shared" si="9"/>
        <v>300000</v>
      </c>
    </row>
    <row r="12" spans="2:29" s="140" customFormat="1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>
        <f>[1]직원인적급여카드!M5</f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f t="shared" si="0"/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s="140" customFormat="1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s="140" customFormat="1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>
        <f t="shared" si="8"/>
        <v>99000</v>
      </c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229290</v>
      </c>
      <c r="X14" s="128">
        <f t="shared" si="7"/>
        <v>2270710</v>
      </c>
      <c r="Z14" s="98">
        <v>1</v>
      </c>
      <c r="AA14" s="99"/>
      <c r="AC14" s="100">
        <f>IF(N15&gt;=100000,100000,N15)+IF(O14&gt;=200000,200000,O14)</f>
        <v>300000</v>
      </c>
    </row>
    <row r="15" spans="2:29" s="140" customFormat="1" ht="20.100000000000001" customHeight="1" x14ac:dyDescent="0.3">
      <c r="B15" s="101">
        <v>7</v>
      </c>
      <c r="C15" s="87" t="str">
        <f>[1]직원인적급여카드!B8</f>
        <v>이일복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95"/>
      <c r="T15" s="95">
        <f t="shared" si="3"/>
        <v>75460</v>
      </c>
      <c r="U15" s="96">
        <f t="shared" si="4"/>
        <v>8690</v>
      </c>
      <c r="V15" s="96">
        <f t="shared" ref="V15" si="10">IFERROR(IF(D15&lt;&gt;"대표이사",ROUNDDOWN((P15-AC15)*고용보험율,-1),0),)</f>
        <v>17600</v>
      </c>
      <c r="W15" s="93">
        <f t="shared" ref="W15" si="11">SUM(Q15:V15)</f>
        <v>130290</v>
      </c>
      <c r="X15" s="97">
        <f t="shared" si="7"/>
        <v>2369710</v>
      </c>
      <c r="Z15" s="98">
        <v>1</v>
      </c>
      <c r="AA15" s="99"/>
      <c r="AC15" s="100">
        <f t="shared" ref="AC15" si="12">IF(N15&gt;=100000,100000,N15)+IF(O15&gt;=200000,200000,O15)</f>
        <v>300000</v>
      </c>
    </row>
    <row r="16" spans="2:29" s="140" customFormat="1" ht="20.100000000000001" customHeight="1" x14ac:dyDescent="0.3">
      <c r="B16" s="101">
        <v>8</v>
      </c>
      <c r="C16" s="87" t="s">
        <v>44</v>
      </c>
      <c r="D16" s="88" t="s">
        <v>45</v>
      </c>
      <c r="E16" s="89">
        <v>1050000</v>
      </c>
      <c r="F16" s="102"/>
      <c r="G16" s="102"/>
      <c r="H16" s="102"/>
      <c r="I16" s="102"/>
      <c r="J16" s="103"/>
      <c r="K16" s="103"/>
      <c r="L16" s="103"/>
      <c r="M16" s="103"/>
      <c r="N16" s="89">
        <v>100000</v>
      </c>
      <c r="O16" s="104">
        <v>100000</v>
      </c>
      <c r="P16" s="93">
        <f t="shared" ref="P16:P20" si="13">SUM(E16:O16)</f>
        <v>1250000</v>
      </c>
      <c r="Q16" s="94">
        <f t="shared" ref="Q16:Q20" si="14">IFERROR(IF(P16-AC16&lt;=10000000,VLOOKUP((P16-AC16)/1000,간이세액표,IF(11&lt;Z16+AA16,13,2+Z16+AA16),TRUE),IF(P16-AC16&gt;14000000,VLOOKUP((P16-AC16)/1000,간이세액표,IF(11&lt;Z16+AA16,13,2+Z16+AA16),TRUE)+1372000+ROUNDDOWN(((P16-AC16-14000000)*98%)*38%,-1),VLOOKUP((P16-AC16)/1000,간이세액표,IF(11&lt;Z16+AA16,13,2+Z16+AA16),TRUE)+ROUNDDOWN(((P16-AC16-10000000)*98%)*35%,-1))),)</f>
        <v>0</v>
      </c>
      <c r="R16" s="95">
        <f t="shared" ref="R16:R20" si="15">ROUNDDOWN(Q16*10%,-1)</f>
        <v>0</v>
      </c>
      <c r="S16" s="95">
        <f t="shared" ref="S16" si="16">IFERROR(IF(AND(P16-AC16&gt;=월액최저,P16-AC16&lt;=월액최고),ROUNDDOWN((P16-AC16)*국민연금,-1),IF(P16-AC16&gt;=월액최고,최고연금,IF(AND(P16-AC16&lt;=월액최저,P16-AC16&gt;=1),최저연금,))),)</f>
        <v>47250</v>
      </c>
      <c r="T16" s="95">
        <f t="shared" ref="T16" si="17">IFERROR(ROUNDDOWN((P16-AC16)*3.43%,-1),)</f>
        <v>36010</v>
      </c>
      <c r="U16" s="96">
        <f t="shared" ref="U16" si="18">ROUNDDOWN(T16*11.52%,-1)</f>
        <v>4140</v>
      </c>
      <c r="V16" s="96">
        <f t="shared" ref="V16" si="19">IFERROR(IF(D16&lt;&gt;"대표이사",ROUNDDOWN((P16-AC16)*고용보험율,-1),0),)</f>
        <v>8400</v>
      </c>
      <c r="W16" s="93">
        <f t="shared" ref="W16" si="20">SUM(Q16:V16)</f>
        <v>95800</v>
      </c>
      <c r="X16" s="97">
        <f t="shared" ref="X16:X20" si="21">P16-W16</f>
        <v>1154200</v>
      </c>
      <c r="Z16" s="98">
        <v>1</v>
      </c>
      <c r="AA16" s="99"/>
      <c r="AC16" s="100">
        <f t="shared" ref="AC16" si="22">IF(N16&gt;=100000,100000,N16)+IF(O16&gt;=200000,200000,O16)</f>
        <v>200000</v>
      </c>
    </row>
    <row r="17" spans="2:29" ht="20.100000000000001" customHeight="1" x14ac:dyDescent="0.3">
      <c r="B17" s="101"/>
      <c r="C17" s="87" t="s">
        <v>116</v>
      </c>
      <c r="D17" s="88" t="s">
        <v>50</v>
      </c>
      <c r="E17" s="89"/>
      <c r="F17" s="102"/>
      <c r="G17" s="102"/>
      <c r="H17" s="102"/>
      <c r="I17" s="102"/>
      <c r="J17" s="103"/>
      <c r="K17" s="103"/>
      <c r="L17" s="103"/>
      <c r="M17" s="103"/>
      <c r="N17" s="89"/>
      <c r="O17" s="129"/>
      <c r="P17" s="124"/>
      <c r="Q17" s="125"/>
      <c r="R17" s="126"/>
      <c r="S17" s="126"/>
      <c r="T17" s="126"/>
      <c r="U17" s="127"/>
      <c r="V17" s="127"/>
      <c r="W17" s="124"/>
      <c r="X17" s="128">
        <f t="shared" si="21"/>
        <v>0</v>
      </c>
      <c r="Z17" s="98">
        <v>1</v>
      </c>
      <c r="AA17" s="99"/>
      <c r="AC17" s="100">
        <f t="shared" ref="AC17:AC20" si="23">IF(N17&gt;=100000,100000,N17)+IF(O17&gt;=200000,200000,O17)</f>
        <v>0</v>
      </c>
    </row>
    <row r="18" spans="2:29" ht="20.100000000000001" customHeight="1" x14ac:dyDescent="0.3">
      <c r="B18" s="101">
        <v>9</v>
      </c>
      <c r="C18" s="87" t="s">
        <v>117</v>
      </c>
      <c r="D18" s="88" t="s">
        <v>118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3"/>
        <v>2500000</v>
      </c>
      <c r="Q18" s="125">
        <f t="shared" si="14"/>
        <v>25950</v>
      </c>
      <c r="R18" s="126">
        <f t="shared" si="15"/>
        <v>2590</v>
      </c>
      <c r="S18" s="126">
        <f t="shared" ref="S18:S20" si="24">IFERROR(IF(AND(P18-AC18&gt;=월액최저,P18-AC18&lt;=월액최고),ROUNDDOWN((P18-AC18)*국민연금,-1),IF(P18-AC18&gt;=월액최고,최고연금,IF(AND(P18-AC18&lt;=월액최저,P18-AC18&gt;=1),최저연금,))),)</f>
        <v>99000</v>
      </c>
      <c r="T18" s="95">
        <f>IFERROR(ROUNDDOWN((P18-AC18)*3.43%,-1),)</f>
        <v>75460</v>
      </c>
      <c r="U18" s="96">
        <f>ROUNDDOWN(T18*11.52%,-1)</f>
        <v>8690</v>
      </c>
      <c r="V18" s="127">
        <f t="shared" ref="V18:V20" si="25">IFERROR(IF(D18&lt;&gt;"대표이사",ROUNDDOWN((P18-AC18)*고용보험율,-1),0),)</f>
        <v>17600</v>
      </c>
      <c r="W18" s="124">
        <f t="shared" ref="W18:W20" si="26">SUM(Q18:V18)</f>
        <v>229290</v>
      </c>
      <c r="X18" s="128">
        <f t="shared" si="21"/>
        <v>2270710</v>
      </c>
      <c r="Z18" s="98">
        <v>1</v>
      </c>
      <c r="AA18" s="99"/>
      <c r="AC18" s="100">
        <f t="shared" si="23"/>
        <v>300000</v>
      </c>
    </row>
    <row r="19" spans="2:29" ht="20.100000000000001" customHeight="1" x14ac:dyDescent="0.3">
      <c r="B19" s="101">
        <v>10</v>
      </c>
      <c r="C19" s="87" t="s">
        <v>119</v>
      </c>
      <c r="D19" s="88" t="s">
        <v>50</v>
      </c>
      <c r="E19" s="89">
        <v>2100000</v>
      </c>
      <c r="F19" s="106"/>
      <c r="G19" s="106"/>
      <c r="H19" s="106"/>
      <c r="I19" s="106"/>
      <c r="J19" s="107"/>
      <c r="K19" s="107"/>
      <c r="L19" s="107"/>
      <c r="M19" s="107"/>
      <c r="N19" s="89">
        <v>200000</v>
      </c>
      <c r="O19" s="130">
        <v>200000</v>
      </c>
      <c r="P19" s="124">
        <f t="shared" si="13"/>
        <v>2500000</v>
      </c>
      <c r="Q19" s="125">
        <f t="shared" si="14"/>
        <v>25950</v>
      </c>
      <c r="R19" s="126">
        <f t="shared" si="15"/>
        <v>2590</v>
      </c>
      <c r="S19" s="126"/>
      <c r="T19" s="95">
        <f>IFERROR(ROUNDDOWN((P19-AC19)*3.43%,-1),)</f>
        <v>75460</v>
      </c>
      <c r="U19" s="96">
        <f>ROUNDDOWN(T19*11.52%,-1)</f>
        <v>8690</v>
      </c>
      <c r="V19" s="127">
        <f t="shared" si="25"/>
        <v>17600</v>
      </c>
      <c r="W19" s="124">
        <f t="shared" si="26"/>
        <v>130290</v>
      </c>
      <c r="X19" s="128">
        <f t="shared" si="21"/>
        <v>2369710</v>
      </c>
      <c r="Z19" s="98">
        <v>1</v>
      </c>
      <c r="AA19" s="99"/>
      <c r="AC19" s="100">
        <f t="shared" si="23"/>
        <v>300000</v>
      </c>
    </row>
    <row r="20" spans="2:29" ht="20.100000000000001" customHeight="1" x14ac:dyDescent="0.3">
      <c r="B20" s="101">
        <v>11</v>
      </c>
      <c r="C20" s="87" t="s">
        <v>132</v>
      </c>
      <c r="D20" s="88" t="s">
        <v>133</v>
      </c>
      <c r="E20" s="89">
        <v>2100000</v>
      </c>
      <c r="F20" s="106"/>
      <c r="G20" s="106"/>
      <c r="H20" s="106"/>
      <c r="I20" s="106"/>
      <c r="J20" s="107"/>
      <c r="K20" s="107"/>
      <c r="L20" s="107"/>
      <c r="M20" s="107"/>
      <c r="N20" s="89">
        <v>200000</v>
      </c>
      <c r="O20" s="130">
        <v>200000</v>
      </c>
      <c r="P20" s="124">
        <f t="shared" si="13"/>
        <v>2500000</v>
      </c>
      <c r="Q20" s="125">
        <f t="shared" si="14"/>
        <v>25950</v>
      </c>
      <c r="R20" s="126">
        <f t="shared" si="15"/>
        <v>2590</v>
      </c>
      <c r="S20" s="126">
        <f t="shared" si="24"/>
        <v>99000</v>
      </c>
      <c r="T20" s="95">
        <f>IFERROR(ROUNDDOWN((P20-AC20)*3.43%,-1),)</f>
        <v>75460</v>
      </c>
      <c r="U20" s="96">
        <f>ROUNDDOWN(T20*11.52%,-1)</f>
        <v>8690</v>
      </c>
      <c r="V20" s="127">
        <f t="shared" si="25"/>
        <v>17600</v>
      </c>
      <c r="W20" s="124">
        <f t="shared" si="26"/>
        <v>229290</v>
      </c>
      <c r="X20" s="128">
        <f t="shared" si="21"/>
        <v>2270710</v>
      </c>
      <c r="Z20" s="98">
        <v>1</v>
      </c>
      <c r="AA20" s="99"/>
      <c r="AC20" s="100">
        <f t="shared" si="23"/>
        <v>300000</v>
      </c>
    </row>
    <row r="21" spans="2:29" ht="20.100000000000001" customHeight="1" x14ac:dyDescent="0.3">
      <c r="B21" s="216" t="s">
        <v>120</v>
      </c>
      <c r="C21" s="217"/>
      <c r="D21" s="218"/>
      <c r="E21" s="131">
        <f t="shared" ref="E21:X21" si="27">SUM(E9:E20)</f>
        <v>22050000</v>
      </c>
      <c r="F21" s="132">
        <f t="shared" si="27"/>
        <v>0</v>
      </c>
      <c r="G21" s="132">
        <f t="shared" si="27"/>
        <v>0</v>
      </c>
      <c r="H21" s="132">
        <f t="shared" si="27"/>
        <v>0</v>
      </c>
      <c r="I21" s="132">
        <f t="shared" si="27"/>
        <v>0</v>
      </c>
      <c r="J21" s="132">
        <f t="shared" si="27"/>
        <v>0</v>
      </c>
      <c r="K21" s="132">
        <f t="shared" si="27"/>
        <v>0</v>
      </c>
      <c r="L21" s="132">
        <f t="shared" si="27"/>
        <v>0</v>
      </c>
      <c r="M21" s="133">
        <f t="shared" si="27"/>
        <v>0</v>
      </c>
      <c r="N21" s="131">
        <f t="shared" si="27"/>
        <v>2100000</v>
      </c>
      <c r="O21" s="134">
        <f t="shared" si="27"/>
        <v>2100000</v>
      </c>
      <c r="P21" s="135">
        <f t="shared" si="27"/>
        <v>26250000</v>
      </c>
      <c r="Q21" s="131">
        <f t="shared" si="27"/>
        <v>259500</v>
      </c>
      <c r="R21" s="132">
        <f t="shared" si="27"/>
        <v>25900</v>
      </c>
      <c r="S21" s="132">
        <f t="shared" si="27"/>
        <v>740250</v>
      </c>
      <c r="T21" s="132">
        <f t="shared" si="27"/>
        <v>790610</v>
      </c>
      <c r="U21" s="133">
        <f t="shared" si="27"/>
        <v>91040</v>
      </c>
      <c r="V21" s="133">
        <f t="shared" si="27"/>
        <v>184400</v>
      </c>
      <c r="W21" s="135">
        <f t="shared" si="27"/>
        <v>2091700</v>
      </c>
      <c r="X21" s="136">
        <f t="shared" si="27"/>
        <v>24158300</v>
      </c>
    </row>
    <row r="22" spans="2:29" ht="20.25" customHeight="1" thickBot="1" x14ac:dyDescent="0.35">
      <c r="B22" s="219" t="s">
        <v>121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</row>
    <row r="23" spans="2:29" ht="15" customHeight="1" x14ac:dyDescent="0.3">
      <c r="B23" s="118"/>
      <c r="C23" s="119" t="s">
        <v>122</v>
      </c>
      <c r="D23" s="220" t="s">
        <v>123</v>
      </c>
      <c r="E23" s="221"/>
      <c r="F23" s="220" t="s">
        <v>124</v>
      </c>
      <c r="G23" s="221"/>
      <c r="H23" s="222" t="s">
        <v>125</v>
      </c>
      <c r="I23" s="223"/>
      <c r="J23" s="223"/>
      <c r="K23" s="223"/>
      <c r="L23" s="223"/>
      <c r="M23" s="223"/>
      <c r="N23" s="223"/>
      <c r="O23" s="223"/>
      <c r="P23" s="224"/>
      <c r="Q23" s="64"/>
      <c r="R23" s="64"/>
      <c r="S23" s="64"/>
      <c r="T23" s="64"/>
      <c r="U23" s="64"/>
      <c r="V23" s="64"/>
    </row>
    <row r="24" spans="2:29" ht="15" customHeight="1" x14ac:dyDescent="0.3">
      <c r="B24" s="225" t="s">
        <v>126</v>
      </c>
      <c r="C24" s="120" t="s">
        <v>44</v>
      </c>
      <c r="D24" s="197" t="s">
        <v>141</v>
      </c>
      <c r="E24" s="198"/>
      <c r="F24" s="204" t="s">
        <v>146</v>
      </c>
      <c r="G24" s="205"/>
      <c r="H24" s="206"/>
      <c r="I24" s="207"/>
      <c r="J24" s="207"/>
      <c r="K24" s="207"/>
      <c r="L24" s="207"/>
      <c r="M24" s="207"/>
      <c r="N24" s="207"/>
      <c r="O24" s="207"/>
      <c r="P24" s="208"/>
      <c r="Q24" s="64"/>
      <c r="R24" s="64"/>
      <c r="S24" s="64"/>
      <c r="T24" s="64"/>
      <c r="U24" s="64"/>
      <c r="V24" s="64"/>
    </row>
    <row r="25" spans="2:29" ht="15" customHeight="1" x14ac:dyDescent="0.3">
      <c r="B25" s="195"/>
      <c r="C25" s="120"/>
      <c r="D25" s="197"/>
      <c r="E25" s="198"/>
      <c r="F25" s="204"/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thickBot="1" x14ac:dyDescent="0.35">
      <c r="B26" s="226"/>
      <c r="C26" s="121"/>
      <c r="D26" s="227"/>
      <c r="E26" s="228"/>
      <c r="F26" s="229"/>
      <c r="G26" s="230"/>
      <c r="H26" s="231"/>
      <c r="I26" s="232"/>
      <c r="J26" s="232"/>
      <c r="K26" s="232"/>
      <c r="L26" s="232"/>
      <c r="M26" s="232"/>
      <c r="N26" s="232"/>
      <c r="O26" s="232"/>
      <c r="P26" s="233"/>
      <c r="Q26" s="64"/>
      <c r="R26" s="64"/>
      <c r="S26" s="64"/>
      <c r="T26" s="64"/>
      <c r="U26" s="64"/>
      <c r="V26" s="64"/>
    </row>
    <row r="27" spans="2:29" ht="15" customHeight="1" thickTop="1" x14ac:dyDescent="0.3">
      <c r="B27" s="195" t="s">
        <v>127</v>
      </c>
      <c r="C27" s="120"/>
      <c r="D27" s="197"/>
      <c r="E27" s="198"/>
      <c r="F27" s="199"/>
      <c r="G27" s="200"/>
      <c r="H27" s="201"/>
      <c r="I27" s="202"/>
      <c r="J27" s="202"/>
      <c r="K27" s="202"/>
      <c r="L27" s="202"/>
      <c r="M27" s="202"/>
      <c r="N27" s="202"/>
      <c r="O27" s="202"/>
      <c r="P27" s="203"/>
      <c r="Q27" s="64"/>
      <c r="R27" s="64"/>
      <c r="S27" s="64"/>
      <c r="T27" s="64"/>
      <c r="U27" s="64"/>
      <c r="V27" s="64"/>
    </row>
    <row r="28" spans="2:29" ht="15" customHeight="1" x14ac:dyDescent="0.3">
      <c r="B28" s="195"/>
      <c r="C28" s="120"/>
      <c r="D28" s="197"/>
      <c r="E28" s="198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thickBot="1" x14ac:dyDescent="0.35">
      <c r="B29" s="196"/>
      <c r="C29" s="122"/>
      <c r="D29" s="209"/>
      <c r="E29" s="210"/>
      <c r="F29" s="211"/>
      <c r="G29" s="212"/>
      <c r="H29" s="213"/>
      <c r="I29" s="214"/>
      <c r="J29" s="214"/>
      <c r="K29" s="214"/>
      <c r="L29" s="214"/>
      <c r="M29" s="214"/>
      <c r="N29" s="214"/>
      <c r="O29" s="214"/>
      <c r="P29" s="215"/>
      <c r="Q29" s="64"/>
      <c r="R29" s="64"/>
      <c r="S29" s="64"/>
      <c r="T29" s="64"/>
      <c r="U29" s="64"/>
      <c r="V29" s="64"/>
    </row>
    <row r="30" spans="2:29" ht="20.100000000000001" customHeight="1" x14ac:dyDescent="0.3">
      <c r="Q30" s="64"/>
      <c r="R30" s="64"/>
      <c r="S30" s="64"/>
      <c r="T30" s="64"/>
      <c r="U30" s="64"/>
      <c r="V30" s="64"/>
    </row>
    <row r="31" spans="2:29" s="64" customFormat="1" ht="20.100000000000001" customHeight="1" x14ac:dyDescent="0.3">
      <c r="B31" s="85"/>
      <c r="C31" s="85"/>
      <c r="D31" s="85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2:29" s="64" customFormat="1" ht="20.100000000000001" customHeight="1" x14ac:dyDescent="0.3">
      <c r="B32" s="85"/>
      <c r="C32" s="85"/>
      <c r="D32" s="85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85"/>
      <c r="C33" s="85"/>
      <c r="D33" s="85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85"/>
      <c r="C34" s="85"/>
      <c r="D34" s="85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85"/>
      <c r="C35" s="85"/>
      <c r="D35" s="85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85"/>
      <c r="C36" s="85"/>
      <c r="D36" s="85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85"/>
      <c r="C37" s="85"/>
      <c r="D37" s="85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85"/>
      <c r="C38" s="85"/>
      <c r="D38" s="85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85"/>
      <c r="C39" s="85"/>
      <c r="D39" s="85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85"/>
      <c r="C40" s="85"/>
      <c r="D40" s="85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85"/>
      <c r="C41" s="85"/>
      <c r="D41" s="85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85"/>
      <c r="C42" s="85"/>
      <c r="D42" s="85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85"/>
      <c r="C43" s="85"/>
      <c r="D43" s="85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85"/>
      <c r="C44" s="85"/>
      <c r="D44" s="85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85"/>
      <c r="C45" s="85"/>
      <c r="D45" s="85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85"/>
      <c r="C46" s="85"/>
      <c r="D46" s="85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85"/>
      <c r="C47" s="85"/>
      <c r="D47" s="85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85"/>
      <c r="C48" s="85"/>
      <c r="D48" s="85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85"/>
      <c r="C49" s="85"/>
      <c r="D49" s="85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85"/>
      <c r="C50" s="85"/>
      <c r="D50" s="85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85"/>
      <c r="C51" s="85"/>
      <c r="D51" s="85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85"/>
      <c r="C52" s="85"/>
      <c r="D52" s="85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85"/>
      <c r="C53" s="85"/>
      <c r="D53" s="85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85"/>
      <c r="C54" s="85"/>
      <c r="D54" s="85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85"/>
      <c r="C55" s="85"/>
      <c r="D55" s="85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85"/>
      <c r="C56" s="85"/>
      <c r="D56" s="85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85"/>
      <c r="C57" s="85"/>
      <c r="D57" s="85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85"/>
      <c r="C58" s="85"/>
      <c r="D58" s="85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85"/>
      <c r="C59" s="85"/>
      <c r="D59" s="85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85"/>
      <c r="C60" s="85"/>
      <c r="D60" s="85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85"/>
      <c r="C61" s="85"/>
      <c r="D61" s="85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85"/>
      <c r="C62" s="85"/>
      <c r="D62" s="85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85"/>
      <c r="C63" s="85"/>
      <c r="D63" s="85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85"/>
      <c r="C64" s="85"/>
      <c r="D64" s="85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85"/>
      <c r="C65" s="85"/>
      <c r="D65" s="85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85"/>
      <c r="C66" s="85"/>
      <c r="D66" s="85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85"/>
      <c r="C67" s="85"/>
      <c r="D67" s="85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85"/>
      <c r="C68" s="85"/>
      <c r="D68" s="85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85"/>
      <c r="C69" s="85"/>
      <c r="D69" s="85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85"/>
      <c r="C70" s="85"/>
      <c r="D70" s="85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85"/>
      <c r="C71" s="85"/>
      <c r="D71" s="85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85"/>
      <c r="C72" s="85"/>
      <c r="D72" s="85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85"/>
      <c r="C73" s="85"/>
      <c r="D73" s="85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85"/>
      <c r="C74" s="85"/>
      <c r="D74" s="85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85"/>
      <c r="C75" s="85"/>
      <c r="D75" s="85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85"/>
      <c r="C76" s="85"/>
      <c r="D76" s="85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85"/>
      <c r="C77" s="85"/>
      <c r="D77" s="85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85"/>
      <c r="C78" s="85"/>
      <c r="D78" s="85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85"/>
      <c r="C79" s="85"/>
      <c r="D79" s="85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85"/>
      <c r="C80" s="85"/>
      <c r="D80" s="85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85"/>
      <c r="C81" s="85"/>
      <c r="D81" s="85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85"/>
      <c r="C82" s="85"/>
      <c r="D82" s="85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85"/>
      <c r="C83" s="85"/>
      <c r="D83" s="85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85"/>
      <c r="C84" s="85"/>
      <c r="D84" s="85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85"/>
      <c r="C85" s="85"/>
      <c r="D85" s="85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85"/>
      <c r="C86" s="85"/>
      <c r="D86" s="85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85"/>
      <c r="C87" s="85"/>
      <c r="D87" s="85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85"/>
      <c r="C88" s="85"/>
      <c r="D88" s="85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85"/>
      <c r="C89" s="85"/>
      <c r="D89" s="85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85"/>
      <c r="C90" s="85"/>
      <c r="D90" s="85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85"/>
      <c r="C91" s="85"/>
      <c r="D91" s="85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85"/>
      <c r="C92" s="85"/>
      <c r="D92" s="85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85"/>
      <c r="C93" s="85"/>
      <c r="D93" s="85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85"/>
      <c r="C94" s="85"/>
      <c r="D94" s="85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85"/>
      <c r="C95" s="85"/>
      <c r="D95" s="85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85"/>
      <c r="C96" s="85"/>
      <c r="D96" s="85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85"/>
      <c r="C97" s="85"/>
      <c r="D97" s="85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85"/>
      <c r="C98" s="85"/>
      <c r="D98" s="85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85"/>
      <c r="C99" s="85"/>
      <c r="D99" s="85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85"/>
      <c r="C100" s="85"/>
      <c r="D100" s="85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85"/>
      <c r="C101" s="85"/>
      <c r="D101" s="85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85"/>
      <c r="C102" s="85"/>
      <c r="D102" s="85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85"/>
      <c r="C103" s="85"/>
      <c r="D103" s="85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85"/>
      <c r="C104" s="85"/>
      <c r="D104" s="85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85"/>
      <c r="C105" s="85"/>
      <c r="D105" s="85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85"/>
      <c r="C106" s="85"/>
      <c r="D106" s="85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85"/>
      <c r="C107" s="85"/>
      <c r="D107" s="85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85"/>
      <c r="C108" s="85"/>
      <c r="D108" s="85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85"/>
      <c r="C109" s="85"/>
      <c r="D109" s="85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85"/>
      <c r="C110" s="85"/>
      <c r="D110" s="85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85"/>
      <c r="C111" s="85"/>
      <c r="D111" s="85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85"/>
      <c r="C112" s="85"/>
      <c r="D112" s="85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85"/>
      <c r="C113" s="85"/>
      <c r="D113" s="85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85"/>
      <c r="C114" s="85"/>
      <c r="D114" s="85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85"/>
      <c r="C115" s="85"/>
      <c r="D115" s="85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85"/>
      <c r="C116" s="85"/>
      <c r="D116" s="85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85"/>
      <c r="C117" s="85"/>
      <c r="D117" s="85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85"/>
      <c r="C118" s="85"/>
      <c r="D118" s="85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85"/>
      <c r="C119" s="85"/>
      <c r="D119" s="85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85"/>
      <c r="C120" s="85"/>
      <c r="D120" s="85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85"/>
      <c r="C121" s="85"/>
      <c r="D121" s="85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85"/>
      <c r="C122" s="85"/>
      <c r="D122" s="85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85"/>
      <c r="C123" s="85"/>
      <c r="D123" s="85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85"/>
      <c r="C124" s="85"/>
      <c r="D124" s="85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85"/>
      <c r="C125" s="85"/>
      <c r="D125" s="85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85"/>
      <c r="C126" s="85"/>
      <c r="D126" s="85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85"/>
      <c r="C127" s="85"/>
      <c r="D127" s="85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85"/>
      <c r="C128" s="85"/>
      <c r="D128" s="85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85"/>
      <c r="C129" s="85"/>
      <c r="D129" s="85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85"/>
      <c r="C130" s="85"/>
      <c r="D130" s="85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85"/>
      <c r="C131" s="85"/>
      <c r="D131" s="85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85"/>
      <c r="C132" s="85"/>
      <c r="D132" s="85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85"/>
      <c r="C133" s="85"/>
      <c r="D133" s="85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85"/>
      <c r="C134" s="85"/>
      <c r="D134" s="85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85"/>
      <c r="C135" s="85"/>
      <c r="D135" s="85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85"/>
      <c r="C136" s="85"/>
      <c r="D136" s="85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85"/>
      <c r="C137" s="85"/>
      <c r="D137" s="85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85"/>
      <c r="C138" s="85"/>
      <c r="D138" s="85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85"/>
      <c r="C139" s="85"/>
      <c r="D139" s="85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85"/>
      <c r="C140" s="85"/>
      <c r="D140" s="85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85"/>
      <c r="C141" s="85"/>
      <c r="D141" s="85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85"/>
      <c r="C142" s="85"/>
      <c r="D142" s="85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85"/>
      <c r="C143" s="85"/>
      <c r="D143" s="85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85"/>
      <c r="C144" s="85"/>
      <c r="D144" s="85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85"/>
      <c r="C145" s="85"/>
      <c r="D145" s="85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85"/>
      <c r="C146" s="85"/>
      <c r="D146" s="85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85"/>
      <c r="C147" s="85"/>
      <c r="D147" s="85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85"/>
      <c r="C148" s="85"/>
      <c r="D148" s="85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85"/>
      <c r="C149" s="85"/>
      <c r="D149" s="85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85"/>
      <c r="C150" s="85"/>
      <c r="D150" s="85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85"/>
      <c r="C151" s="85"/>
      <c r="D151" s="85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85"/>
      <c r="C152" s="85"/>
      <c r="D152" s="85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85"/>
      <c r="C153" s="85"/>
      <c r="D153" s="85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85"/>
      <c r="C154" s="85"/>
      <c r="D154" s="85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85"/>
      <c r="C155" s="85"/>
      <c r="D155" s="85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85"/>
      <c r="C156" s="85"/>
      <c r="D156" s="85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85"/>
      <c r="C157" s="85"/>
      <c r="D157" s="85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85"/>
      <c r="C158" s="85"/>
      <c r="D158" s="85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85"/>
      <c r="C159" s="85"/>
      <c r="D159" s="85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85"/>
      <c r="C160" s="85"/>
      <c r="D160" s="85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85"/>
      <c r="C161" s="85"/>
      <c r="D161" s="85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85"/>
      <c r="C162" s="85"/>
      <c r="D162" s="85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85"/>
      <c r="C163" s="85"/>
      <c r="D163" s="85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85"/>
      <c r="C164" s="85"/>
      <c r="D164" s="85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85"/>
      <c r="C165" s="85"/>
      <c r="D165" s="85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85"/>
      <c r="C166" s="85"/>
      <c r="D166" s="85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85"/>
      <c r="C167" s="85"/>
      <c r="D167" s="85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85"/>
      <c r="C168" s="85"/>
      <c r="D168" s="85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85"/>
      <c r="C169" s="85"/>
      <c r="D169" s="85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85"/>
      <c r="C170" s="85"/>
      <c r="D170" s="85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85"/>
      <c r="C171" s="85"/>
      <c r="D171" s="85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85"/>
      <c r="C172" s="85"/>
      <c r="D172" s="85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85"/>
      <c r="C173" s="85"/>
      <c r="D173" s="85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85"/>
      <c r="C174" s="85"/>
      <c r="D174" s="85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85"/>
      <c r="C175" s="85"/>
      <c r="D175" s="85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85"/>
      <c r="C176" s="85"/>
      <c r="D176" s="85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85"/>
      <c r="C177" s="85"/>
      <c r="D177" s="85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85"/>
      <c r="C178" s="85"/>
      <c r="D178" s="85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85"/>
      <c r="C179" s="85"/>
      <c r="D179" s="85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85"/>
      <c r="C180" s="85"/>
      <c r="D180" s="85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85"/>
      <c r="C181" s="85"/>
      <c r="D181" s="85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85"/>
      <c r="C182" s="85"/>
      <c r="D182" s="85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85"/>
      <c r="C183" s="85"/>
      <c r="D183" s="85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85"/>
      <c r="C184" s="85"/>
      <c r="D184" s="85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85"/>
      <c r="C185" s="85"/>
      <c r="D185" s="85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85"/>
      <c r="C186" s="85"/>
      <c r="D186" s="85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85"/>
      <c r="C187" s="85"/>
      <c r="D187" s="85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85"/>
      <c r="C188" s="85"/>
      <c r="D188" s="85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85"/>
      <c r="C189" s="85"/>
      <c r="D189" s="85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85"/>
      <c r="C190" s="85"/>
      <c r="D190" s="85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85"/>
      <c r="C191" s="85"/>
      <c r="D191" s="85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85"/>
      <c r="C192" s="85"/>
      <c r="D192" s="85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85"/>
      <c r="C193" s="85"/>
      <c r="D193" s="85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85"/>
      <c r="C194" s="85"/>
      <c r="D194" s="85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85"/>
      <c r="C195" s="85"/>
      <c r="D195" s="85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85"/>
      <c r="C196" s="85"/>
      <c r="D196" s="85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85"/>
      <c r="C197" s="85"/>
      <c r="D197" s="85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85"/>
      <c r="C198" s="85"/>
      <c r="D198" s="85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85"/>
      <c r="C199" s="85"/>
      <c r="D199" s="85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85"/>
      <c r="C200" s="85"/>
      <c r="D200" s="85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85"/>
      <c r="C201" s="85"/>
      <c r="D201" s="85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85"/>
      <c r="C202" s="85"/>
      <c r="D202" s="85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85"/>
      <c r="C203" s="85"/>
      <c r="D203" s="85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85"/>
      <c r="C204" s="85"/>
      <c r="D204" s="85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85"/>
      <c r="C205" s="85"/>
      <c r="D205" s="85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85"/>
      <c r="C206" s="85"/>
      <c r="D206" s="85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85"/>
      <c r="C207" s="85"/>
      <c r="D207" s="85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85"/>
      <c r="C208" s="85"/>
      <c r="D208" s="85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85"/>
      <c r="C209" s="85"/>
      <c r="D209" s="85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85"/>
      <c r="C210" s="85"/>
      <c r="D210" s="85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85"/>
      <c r="C211" s="85"/>
      <c r="D211" s="85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85"/>
      <c r="C212" s="85"/>
      <c r="D212" s="85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85"/>
      <c r="C213" s="85"/>
      <c r="D213" s="85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85"/>
      <c r="C214" s="85"/>
      <c r="D214" s="85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85"/>
      <c r="C215" s="85"/>
      <c r="D215" s="85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85"/>
      <c r="C216" s="85"/>
      <c r="D216" s="85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85"/>
      <c r="C217" s="85"/>
      <c r="D217" s="85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85"/>
      <c r="C218" s="85"/>
      <c r="D218" s="85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85"/>
      <c r="C219" s="85"/>
      <c r="D219" s="85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85"/>
      <c r="C220" s="85"/>
      <c r="D220" s="85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85"/>
      <c r="C221" s="85"/>
      <c r="D221" s="85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85"/>
      <c r="C222" s="85"/>
      <c r="D222" s="85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85"/>
      <c r="C223" s="85"/>
      <c r="D223" s="85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85"/>
      <c r="C224" s="85"/>
      <c r="D224" s="85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85"/>
      <c r="C225" s="85"/>
      <c r="D225" s="85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85"/>
      <c r="C226" s="85"/>
      <c r="D226" s="85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85"/>
      <c r="C227" s="85"/>
      <c r="D227" s="85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85"/>
      <c r="C228" s="85"/>
      <c r="D228" s="85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85"/>
      <c r="C229" s="85"/>
      <c r="D229" s="85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85"/>
      <c r="C230" s="85"/>
      <c r="D230" s="85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85"/>
      <c r="C231" s="85"/>
      <c r="D231" s="85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85"/>
      <c r="C232" s="85"/>
      <c r="D232" s="85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85"/>
      <c r="C233" s="85"/>
      <c r="D233" s="85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85"/>
      <c r="C234" s="85"/>
      <c r="D234" s="85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85"/>
      <c r="C235" s="85"/>
      <c r="D235" s="85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85"/>
      <c r="C236" s="85"/>
      <c r="D236" s="85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85"/>
      <c r="C237" s="85"/>
      <c r="D237" s="85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85"/>
      <c r="C238" s="85"/>
      <c r="D238" s="85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85"/>
      <c r="C239" s="85"/>
      <c r="D239" s="85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85"/>
      <c r="C240" s="85"/>
      <c r="D240" s="85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85"/>
      <c r="C241" s="85"/>
      <c r="D241" s="85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85"/>
      <c r="C242" s="85"/>
      <c r="D242" s="85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85"/>
      <c r="C243" s="85"/>
      <c r="D243" s="85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85"/>
      <c r="C244" s="85"/>
      <c r="D244" s="85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85"/>
      <c r="C245" s="85"/>
      <c r="D245" s="85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85"/>
      <c r="C246" s="85"/>
      <c r="D246" s="85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85"/>
      <c r="C247" s="85"/>
      <c r="D247" s="85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85"/>
      <c r="C248" s="85"/>
      <c r="D248" s="85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85"/>
      <c r="C249" s="85"/>
      <c r="D249" s="85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85"/>
      <c r="C250" s="85"/>
      <c r="D250" s="85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85"/>
      <c r="C251" s="85"/>
      <c r="D251" s="85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85"/>
      <c r="C252" s="85"/>
      <c r="D252" s="85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85"/>
      <c r="C253" s="85"/>
      <c r="D253" s="85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85"/>
      <c r="C254" s="85"/>
      <c r="D254" s="85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85"/>
      <c r="C255" s="85"/>
      <c r="D255" s="85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85"/>
      <c r="C256" s="85"/>
      <c r="D256" s="85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85"/>
      <c r="C257" s="85"/>
      <c r="D257" s="85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85"/>
      <c r="C258" s="85"/>
      <c r="D258" s="85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85"/>
      <c r="C259" s="85"/>
      <c r="D259" s="85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85"/>
      <c r="C260" s="85"/>
      <c r="D260" s="85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85"/>
      <c r="C261" s="85"/>
      <c r="D261" s="85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85"/>
      <c r="C262" s="85"/>
      <c r="D262" s="85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85"/>
      <c r="C263" s="85"/>
      <c r="D263" s="85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85"/>
      <c r="C264" s="85"/>
      <c r="D264" s="85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85"/>
      <c r="C265" s="85"/>
      <c r="D265" s="85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85"/>
      <c r="C266" s="85"/>
      <c r="D266" s="85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85"/>
      <c r="C267" s="85"/>
      <c r="D267" s="85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85"/>
      <c r="C268" s="85"/>
      <c r="D268" s="85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85"/>
      <c r="C269" s="85"/>
      <c r="D269" s="85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85"/>
      <c r="C270" s="85"/>
      <c r="D270" s="85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85"/>
      <c r="C271" s="85"/>
      <c r="D271" s="85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85"/>
      <c r="C272" s="85"/>
      <c r="D272" s="85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85"/>
      <c r="C273" s="85"/>
      <c r="D273" s="85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85"/>
      <c r="C274" s="85"/>
      <c r="D274" s="85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85"/>
      <c r="C275" s="85"/>
      <c r="D275" s="85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85"/>
      <c r="C276" s="85"/>
      <c r="D276" s="85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85"/>
      <c r="C277" s="85"/>
      <c r="D277" s="85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</sheetData>
  <mergeCells count="45">
    <mergeCell ref="B27:B29"/>
    <mergeCell ref="D27:E27"/>
    <mergeCell ref="F27:G27"/>
    <mergeCell ref="H27:P27"/>
    <mergeCell ref="D28:E28"/>
    <mergeCell ref="F28:G28"/>
    <mergeCell ref="H28:P28"/>
    <mergeCell ref="D29:E29"/>
    <mergeCell ref="F29:G29"/>
    <mergeCell ref="H29:P29"/>
    <mergeCell ref="B21:D21"/>
    <mergeCell ref="B22:X22"/>
    <mergeCell ref="D23:E23"/>
    <mergeCell ref="F23:G23"/>
    <mergeCell ref="H23:P23"/>
    <mergeCell ref="B24:B26"/>
    <mergeCell ref="D24:E24"/>
    <mergeCell ref="F24:G24"/>
    <mergeCell ref="H24:P24"/>
    <mergeCell ref="D25:E25"/>
    <mergeCell ref="F25:G25"/>
    <mergeCell ref="H25:P25"/>
    <mergeCell ref="D26:E26"/>
    <mergeCell ref="F26:G26"/>
    <mergeCell ref="H26:P26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7"/>
  <sheetViews>
    <sheetView workbookViewId="0">
      <selection sqref="A1:XFD1048576"/>
    </sheetView>
  </sheetViews>
  <sheetFormatPr defaultRowHeight="13.5" x14ac:dyDescent="0.3"/>
  <cols>
    <col min="1" max="1" width="1.625" style="137" customWidth="1"/>
    <col min="2" max="2" width="4.625" style="137" bestFit="1" customWidth="1"/>
    <col min="3" max="3" width="7.625" style="137" bestFit="1" customWidth="1"/>
    <col min="4" max="4" width="8" style="137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37" customWidth="1"/>
    <col min="26" max="26" width="8.375" style="137" customWidth="1"/>
    <col min="27" max="27" width="7.25" style="137" customWidth="1"/>
    <col min="28" max="28" width="3.875" style="137" customWidth="1"/>
    <col min="29" max="29" width="0.5" style="137" customWidth="1"/>
    <col min="30" max="257" width="9" style="137"/>
    <col min="258" max="258" width="4.625" style="137" bestFit="1" customWidth="1"/>
    <col min="259" max="259" width="7.5" style="137" bestFit="1" customWidth="1"/>
    <col min="260" max="260" width="6.25" style="137" customWidth="1"/>
    <col min="261" max="261" width="11" style="137" bestFit="1" customWidth="1"/>
    <col min="262" max="263" width="9.625" style="137" bestFit="1" customWidth="1"/>
    <col min="264" max="264" width="8.25" style="137" bestFit="1" customWidth="1"/>
    <col min="265" max="266" width="9.625" style="137" bestFit="1" customWidth="1"/>
    <col min="267" max="267" width="8.25" style="137" bestFit="1" customWidth="1"/>
    <col min="268" max="269" width="9.625" style="137" bestFit="1" customWidth="1"/>
    <col min="270" max="271" width="8.25" style="137" bestFit="1" customWidth="1"/>
    <col min="272" max="272" width="11" style="137" bestFit="1" customWidth="1"/>
    <col min="273" max="273" width="8" style="137" bestFit="1" customWidth="1"/>
    <col min="274" max="274" width="7.75" style="137" bestFit="1" customWidth="1"/>
    <col min="275" max="276" width="9.625" style="137" bestFit="1" customWidth="1"/>
    <col min="277" max="278" width="9.625" style="137" customWidth="1"/>
    <col min="279" max="279" width="9.25" style="137" bestFit="1" customWidth="1"/>
    <col min="280" max="280" width="11" style="137" bestFit="1" customWidth="1"/>
    <col min="281" max="513" width="9" style="137"/>
    <col min="514" max="514" width="4.625" style="137" bestFit="1" customWidth="1"/>
    <col min="515" max="515" width="7.5" style="137" bestFit="1" customWidth="1"/>
    <col min="516" max="516" width="6.25" style="137" customWidth="1"/>
    <col min="517" max="517" width="11" style="137" bestFit="1" customWidth="1"/>
    <col min="518" max="519" width="9.625" style="137" bestFit="1" customWidth="1"/>
    <col min="520" max="520" width="8.25" style="137" bestFit="1" customWidth="1"/>
    <col min="521" max="522" width="9.625" style="137" bestFit="1" customWidth="1"/>
    <col min="523" max="523" width="8.25" style="137" bestFit="1" customWidth="1"/>
    <col min="524" max="525" width="9.625" style="137" bestFit="1" customWidth="1"/>
    <col min="526" max="527" width="8.25" style="137" bestFit="1" customWidth="1"/>
    <col min="528" max="528" width="11" style="137" bestFit="1" customWidth="1"/>
    <col min="529" max="529" width="8" style="137" bestFit="1" customWidth="1"/>
    <col min="530" max="530" width="7.75" style="137" bestFit="1" customWidth="1"/>
    <col min="531" max="532" width="9.625" style="137" bestFit="1" customWidth="1"/>
    <col min="533" max="534" width="9.625" style="137" customWidth="1"/>
    <col min="535" max="535" width="9.25" style="137" bestFit="1" customWidth="1"/>
    <col min="536" max="536" width="11" style="137" bestFit="1" customWidth="1"/>
    <col min="537" max="769" width="9" style="137"/>
    <col min="770" max="770" width="4.625" style="137" bestFit="1" customWidth="1"/>
    <col min="771" max="771" width="7.5" style="137" bestFit="1" customWidth="1"/>
    <col min="772" max="772" width="6.25" style="137" customWidth="1"/>
    <col min="773" max="773" width="11" style="137" bestFit="1" customWidth="1"/>
    <col min="774" max="775" width="9.625" style="137" bestFit="1" customWidth="1"/>
    <col min="776" max="776" width="8.25" style="137" bestFit="1" customWidth="1"/>
    <col min="777" max="778" width="9.625" style="137" bestFit="1" customWidth="1"/>
    <col min="779" max="779" width="8.25" style="137" bestFit="1" customWidth="1"/>
    <col min="780" max="781" width="9.625" style="137" bestFit="1" customWidth="1"/>
    <col min="782" max="783" width="8.25" style="137" bestFit="1" customWidth="1"/>
    <col min="784" max="784" width="11" style="137" bestFit="1" customWidth="1"/>
    <col min="785" max="785" width="8" style="137" bestFit="1" customWidth="1"/>
    <col min="786" max="786" width="7.75" style="137" bestFit="1" customWidth="1"/>
    <col min="787" max="788" width="9.625" style="137" bestFit="1" customWidth="1"/>
    <col min="789" max="790" width="9.625" style="137" customWidth="1"/>
    <col min="791" max="791" width="9.25" style="137" bestFit="1" customWidth="1"/>
    <col min="792" max="792" width="11" style="137" bestFit="1" customWidth="1"/>
    <col min="793" max="1025" width="9" style="137"/>
    <col min="1026" max="1026" width="4.625" style="137" bestFit="1" customWidth="1"/>
    <col min="1027" max="1027" width="7.5" style="137" bestFit="1" customWidth="1"/>
    <col min="1028" max="1028" width="6.25" style="137" customWidth="1"/>
    <col min="1029" max="1029" width="11" style="137" bestFit="1" customWidth="1"/>
    <col min="1030" max="1031" width="9.625" style="137" bestFit="1" customWidth="1"/>
    <col min="1032" max="1032" width="8.25" style="137" bestFit="1" customWidth="1"/>
    <col min="1033" max="1034" width="9.625" style="137" bestFit="1" customWidth="1"/>
    <col min="1035" max="1035" width="8.25" style="137" bestFit="1" customWidth="1"/>
    <col min="1036" max="1037" width="9.625" style="137" bestFit="1" customWidth="1"/>
    <col min="1038" max="1039" width="8.25" style="137" bestFit="1" customWidth="1"/>
    <col min="1040" max="1040" width="11" style="137" bestFit="1" customWidth="1"/>
    <col min="1041" max="1041" width="8" style="137" bestFit="1" customWidth="1"/>
    <col min="1042" max="1042" width="7.75" style="137" bestFit="1" customWidth="1"/>
    <col min="1043" max="1044" width="9.625" style="137" bestFit="1" customWidth="1"/>
    <col min="1045" max="1046" width="9.625" style="137" customWidth="1"/>
    <col min="1047" max="1047" width="9.25" style="137" bestFit="1" customWidth="1"/>
    <col min="1048" max="1048" width="11" style="137" bestFit="1" customWidth="1"/>
    <col min="1049" max="1281" width="9" style="137"/>
    <col min="1282" max="1282" width="4.625" style="137" bestFit="1" customWidth="1"/>
    <col min="1283" max="1283" width="7.5" style="137" bestFit="1" customWidth="1"/>
    <col min="1284" max="1284" width="6.25" style="137" customWidth="1"/>
    <col min="1285" max="1285" width="11" style="137" bestFit="1" customWidth="1"/>
    <col min="1286" max="1287" width="9.625" style="137" bestFit="1" customWidth="1"/>
    <col min="1288" max="1288" width="8.25" style="137" bestFit="1" customWidth="1"/>
    <col min="1289" max="1290" width="9.625" style="137" bestFit="1" customWidth="1"/>
    <col min="1291" max="1291" width="8.25" style="137" bestFit="1" customWidth="1"/>
    <col min="1292" max="1293" width="9.625" style="137" bestFit="1" customWidth="1"/>
    <col min="1294" max="1295" width="8.25" style="137" bestFit="1" customWidth="1"/>
    <col min="1296" max="1296" width="11" style="137" bestFit="1" customWidth="1"/>
    <col min="1297" max="1297" width="8" style="137" bestFit="1" customWidth="1"/>
    <col min="1298" max="1298" width="7.75" style="137" bestFit="1" customWidth="1"/>
    <col min="1299" max="1300" width="9.625" style="137" bestFit="1" customWidth="1"/>
    <col min="1301" max="1302" width="9.625" style="137" customWidth="1"/>
    <col min="1303" max="1303" width="9.25" style="137" bestFit="1" customWidth="1"/>
    <col min="1304" max="1304" width="11" style="137" bestFit="1" customWidth="1"/>
    <col min="1305" max="1537" width="9" style="137"/>
    <col min="1538" max="1538" width="4.625" style="137" bestFit="1" customWidth="1"/>
    <col min="1539" max="1539" width="7.5" style="137" bestFit="1" customWidth="1"/>
    <col min="1540" max="1540" width="6.25" style="137" customWidth="1"/>
    <col min="1541" max="1541" width="11" style="137" bestFit="1" customWidth="1"/>
    <col min="1542" max="1543" width="9.625" style="137" bestFit="1" customWidth="1"/>
    <col min="1544" max="1544" width="8.25" style="137" bestFit="1" customWidth="1"/>
    <col min="1545" max="1546" width="9.625" style="137" bestFit="1" customWidth="1"/>
    <col min="1547" max="1547" width="8.25" style="137" bestFit="1" customWidth="1"/>
    <col min="1548" max="1549" width="9.625" style="137" bestFit="1" customWidth="1"/>
    <col min="1550" max="1551" width="8.25" style="137" bestFit="1" customWidth="1"/>
    <col min="1552" max="1552" width="11" style="137" bestFit="1" customWidth="1"/>
    <col min="1553" max="1553" width="8" style="137" bestFit="1" customWidth="1"/>
    <col min="1554" max="1554" width="7.75" style="137" bestFit="1" customWidth="1"/>
    <col min="1555" max="1556" width="9.625" style="137" bestFit="1" customWidth="1"/>
    <col min="1557" max="1558" width="9.625" style="137" customWidth="1"/>
    <col min="1559" max="1559" width="9.25" style="137" bestFit="1" customWidth="1"/>
    <col min="1560" max="1560" width="11" style="137" bestFit="1" customWidth="1"/>
    <col min="1561" max="1793" width="9" style="137"/>
    <col min="1794" max="1794" width="4.625" style="137" bestFit="1" customWidth="1"/>
    <col min="1795" max="1795" width="7.5" style="137" bestFit="1" customWidth="1"/>
    <col min="1796" max="1796" width="6.25" style="137" customWidth="1"/>
    <col min="1797" max="1797" width="11" style="137" bestFit="1" customWidth="1"/>
    <col min="1798" max="1799" width="9.625" style="137" bestFit="1" customWidth="1"/>
    <col min="1800" max="1800" width="8.25" style="137" bestFit="1" customWidth="1"/>
    <col min="1801" max="1802" width="9.625" style="137" bestFit="1" customWidth="1"/>
    <col min="1803" max="1803" width="8.25" style="137" bestFit="1" customWidth="1"/>
    <col min="1804" max="1805" width="9.625" style="137" bestFit="1" customWidth="1"/>
    <col min="1806" max="1807" width="8.25" style="137" bestFit="1" customWidth="1"/>
    <col min="1808" max="1808" width="11" style="137" bestFit="1" customWidth="1"/>
    <col min="1809" max="1809" width="8" style="137" bestFit="1" customWidth="1"/>
    <col min="1810" max="1810" width="7.75" style="137" bestFit="1" customWidth="1"/>
    <col min="1811" max="1812" width="9.625" style="137" bestFit="1" customWidth="1"/>
    <col min="1813" max="1814" width="9.625" style="137" customWidth="1"/>
    <col min="1815" max="1815" width="9.25" style="137" bestFit="1" customWidth="1"/>
    <col min="1816" max="1816" width="11" style="137" bestFit="1" customWidth="1"/>
    <col min="1817" max="2049" width="9" style="137"/>
    <col min="2050" max="2050" width="4.625" style="137" bestFit="1" customWidth="1"/>
    <col min="2051" max="2051" width="7.5" style="137" bestFit="1" customWidth="1"/>
    <col min="2052" max="2052" width="6.25" style="137" customWidth="1"/>
    <col min="2053" max="2053" width="11" style="137" bestFit="1" customWidth="1"/>
    <col min="2054" max="2055" width="9.625" style="137" bestFit="1" customWidth="1"/>
    <col min="2056" max="2056" width="8.25" style="137" bestFit="1" customWidth="1"/>
    <col min="2057" max="2058" width="9.625" style="137" bestFit="1" customWidth="1"/>
    <col min="2059" max="2059" width="8.25" style="137" bestFit="1" customWidth="1"/>
    <col min="2060" max="2061" width="9.625" style="137" bestFit="1" customWidth="1"/>
    <col min="2062" max="2063" width="8.25" style="137" bestFit="1" customWidth="1"/>
    <col min="2064" max="2064" width="11" style="137" bestFit="1" customWidth="1"/>
    <col min="2065" max="2065" width="8" style="137" bestFit="1" customWidth="1"/>
    <col min="2066" max="2066" width="7.75" style="137" bestFit="1" customWidth="1"/>
    <col min="2067" max="2068" width="9.625" style="137" bestFit="1" customWidth="1"/>
    <col min="2069" max="2070" width="9.625" style="137" customWidth="1"/>
    <col min="2071" max="2071" width="9.25" style="137" bestFit="1" customWidth="1"/>
    <col min="2072" max="2072" width="11" style="137" bestFit="1" customWidth="1"/>
    <col min="2073" max="2305" width="9" style="137"/>
    <col min="2306" max="2306" width="4.625" style="137" bestFit="1" customWidth="1"/>
    <col min="2307" max="2307" width="7.5" style="137" bestFit="1" customWidth="1"/>
    <col min="2308" max="2308" width="6.25" style="137" customWidth="1"/>
    <col min="2309" max="2309" width="11" style="137" bestFit="1" customWidth="1"/>
    <col min="2310" max="2311" width="9.625" style="137" bestFit="1" customWidth="1"/>
    <col min="2312" max="2312" width="8.25" style="137" bestFit="1" customWidth="1"/>
    <col min="2313" max="2314" width="9.625" style="137" bestFit="1" customWidth="1"/>
    <col min="2315" max="2315" width="8.25" style="137" bestFit="1" customWidth="1"/>
    <col min="2316" max="2317" width="9.625" style="137" bestFit="1" customWidth="1"/>
    <col min="2318" max="2319" width="8.25" style="137" bestFit="1" customWidth="1"/>
    <col min="2320" max="2320" width="11" style="137" bestFit="1" customWidth="1"/>
    <col min="2321" max="2321" width="8" style="137" bestFit="1" customWidth="1"/>
    <col min="2322" max="2322" width="7.75" style="137" bestFit="1" customWidth="1"/>
    <col min="2323" max="2324" width="9.625" style="137" bestFit="1" customWidth="1"/>
    <col min="2325" max="2326" width="9.625" style="137" customWidth="1"/>
    <col min="2327" max="2327" width="9.25" style="137" bestFit="1" customWidth="1"/>
    <col min="2328" max="2328" width="11" style="137" bestFit="1" customWidth="1"/>
    <col min="2329" max="2561" width="9" style="137"/>
    <col min="2562" max="2562" width="4.625" style="137" bestFit="1" customWidth="1"/>
    <col min="2563" max="2563" width="7.5" style="137" bestFit="1" customWidth="1"/>
    <col min="2564" max="2564" width="6.25" style="137" customWidth="1"/>
    <col min="2565" max="2565" width="11" style="137" bestFit="1" customWidth="1"/>
    <col min="2566" max="2567" width="9.625" style="137" bestFit="1" customWidth="1"/>
    <col min="2568" max="2568" width="8.25" style="137" bestFit="1" customWidth="1"/>
    <col min="2569" max="2570" width="9.625" style="137" bestFit="1" customWidth="1"/>
    <col min="2571" max="2571" width="8.25" style="137" bestFit="1" customWidth="1"/>
    <col min="2572" max="2573" width="9.625" style="137" bestFit="1" customWidth="1"/>
    <col min="2574" max="2575" width="8.25" style="137" bestFit="1" customWidth="1"/>
    <col min="2576" max="2576" width="11" style="137" bestFit="1" customWidth="1"/>
    <col min="2577" max="2577" width="8" style="137" bestFit="1" customWidth="1"/>
    <col min="2578" max="2578" width="7.75" style="137" bestFit="1" customWidth="1"/>
    <col min="2579" max="2580" width="9.625" style="137" bestFit="1" customWidth="1"/>
    <col min="2581" max="2582" width="9.625" style="137" customWidth="1"/>
    <col min="2583" max="2583" width="9.25" style="137" bestFit="1" customWidth="1"/>
    <col min="2584" max="2584" width="11" style="137" bestFit="1" customWidth="1"/>
    <col min="2585" max="2817" width="9" style="137"/>
    <col min="2818" max="2818" width="4.625" style="137" bestFit="1" customWidth="1"/>
    <col min="2819" max="2819" width="7.5" style="137" bestFit="1" customWidth="1"/>
    <col min="2820" max="2820" width="6.25" style="137" customWidth="1"/>
    <col min="2821" max="2821" width="11" style="137" bestFit="1" customWidth="1"/>
    <col min="2822" max="2823" width="9.625" style="137" bestFit="1" customWidth="1"/>
    <col min="2824" max="2824" width="8.25" style="137" bestFit="1" customWidth="1"/>
    <col min="2825" max="2826" width="9.625" style="137" bestFit="1" customWidth="1"/>
    <col min="2827" max="2827" width="8.25" style="137" bestFit="1" customWidth="1"/>
    <col min="2828" max="2829" width="9.625" style="137" bestFit="1" customWidth="1"/>
    <col min="2830" max="2831" width="8.25" style="137" bestFit="1" customWidth="1"/>
    <col min="2832" max="2832" width="11" style="137" bestFit="1" customWidth="1"/>
    <col min="2833" max="2833" width="8" style="137" bestFit="1" customWidth="1"/>
    <col min="2834" max="2834" width="7.75" style="137" bestFit="1" customWidth="1"/>
    <col min="2835" max="2836" width="9.625" style="137" bestFit="1" customWidth="1"/>
    <col min="2837" max="2838" width="9.625" style="137" customWidth="1"/>
    <col min="2839" max="2839" width="9.25" style="137" bestFit="1" customWidth="1"/>
    <col min="2840" max="2840" width="11" style="137" bestFit="1" customWidth="1"/>
    <col min="2841" max="3073" width="9" style="137"/>
    <col min="3074" max="3074" width="4.625" style="137" bestFit="1" customWidth="1"/>
    <col min="3075" max="3075" width="7.5" style="137" bestFit="1" customWidth="1"/>
    <col min="3076" max="3076" width="6.25" style="137" customWidth="1"/>
    <col min="3077" max="3077" width="11" style="137" bestFit="1" customWidth="1"/>
    <col min="3078" max="3079" width="9.625" style="137" bestFit="1" customWidth="1"/>
    <col min="3080" max="3080" width="8.25" style="137" bestFit="1" customWidth="1"/>
    <col min="3081" max="3082" width="9.625" style="137" bestFit="1" customWidth="1"/>
    <col min="3083" max="3083" width="8.25" style="137" bestFit="1" customWidth="1"/>
    <col min="3084" max="3085" width="9.625" style="137" bestFit="1" customWidth="1"/>
    <col min="3086" max="3087" width="8.25" style="137" bestFit="1" customWidth="1"/>
    <col min="3088" max="3088" width="11" style="137" bestFit="1" customWidth="1"/>
    <col min="3089" max="3089" width="8" style="137" bestFit="1" customWidth="1"/>
    <col min="3090" max="3090" width="7.75" style="137" bestFit="1" customWidth="1"/>
    <col min="3091" max="3092" width="9.625" style="137" bestFit="1" customWidth="1"/>
    <col min="3093" max="3094" width="9.625" style="137" customWidth="1"/>
    <col min="3095" max="3095" width="9.25" style="137" bestFit="1" customWidth="1"/>
    <col min="3096" max="3096" width="11" style="137" bestFit="1" customWidth="1"/>
    <col min="3097" max="3329" width="9" style="137"/>
    <col min="3330" max="3330" width="4.625" style="137" bestFit="1" customWidth="1"/>
    <col min="3331" max="3331" width="7.5" style="137" bestFit="1" customWidth="1"/>
    <col min="3332" max="3332" width="6.25" style="137" customWidth="1"/>
    <col min="3333" max="3333" width="11" style="137" bestFit="1" customWidth="1"/>
    <col min="3334" max="3335" width="9.625" style="137" bestFit="1" customWidth="1"/>
    <col min="3336" max="3336" width="8.25" style="137" bestFit="1" customWidth="1"/>
    <col min="3337" max="3338" width="9.625" style="137" bestFit="1" customWidth="1"/>
    <col min="3339" max="3339" width="8.25" style="137" bestFit="1" customWidth="1"/>
    <col min="3340" max="3341" width="9.625" style="137" bestFit="1" customWidth="1"/>
    <col min="3342" max="3343" width="8.25" style="137" bestFit="1" customWidth="1"/>
    <col min="3344" max="3344" width="11" style="137" bestFit="1" customWidth="1"/>
    <col min="3345" max="3345" width="8" style="137" bestFit="1" customWidth="1"/>
    <col min="3346" max="3346" width="7.75" style="137" bestFit="1" customWidth="1"/>
    <col min="3347" max="3348" width="9.625" style="137" bestFit="1" customWidth="1"/>
    <col min="3349" max="3350" width="9.625" style="137" customWidth="1"/>
    <col min="3351" max="3351" width="9.25" style="137" bestFit="1" customWidth="1"/>
    <col min="3352" max="3352" width="11" style="137" bestFit="1" customWidth="1"/>
    <col min="3353" max="3585" width="9" style="137"/>
    <col min="3586" max="3586" width="4.625" style="137" bestFit="1" customWidth="1"/>
    <col min="3587" max="3587" width="7.5" style="137" bestFit="1" customWidth="1"/>
    <col min="3588" max="3588" width="6.25" style="137" customWidth="1"/>
    <col min="3589" max="3589" width="11" style="137" bestFit="1" customWidth="1"/>
    <col min="3590" max="3591" width="9.625" style="137" bestFit="1" customWidth="1"/>
    <col min="3592" max="3592" width="8.25" style="137" bestFit="1" customWidth="1"/>
    <col min="3593" max="3594" width="9.625" style="137" bestFit="1" customWidth="1"/>
    <col min="3595" max="3595" width="8.25" style="137" bestFit="1" customWidth="1"/>
    <col min="3596" max="3597" width="9.625" style="137" bestFit="1" customWidth="1"/>
    <col min="3598" max="3599" width="8.25" style="137" bestFit="1" customWidth="1"/>
    <col min="3600" max="3600" width="11" style="137" bestFit="1" customWidth="1"/>
    <col min="3601" max="3601" width="8" style="137" bestFit="1" customWidth="1"/>
    <col min="3602" max="3602" width="7.75" style="137" bestFit="1" customWidth="1"/>
    <col min="3603" max="3604" width="9.625" style="137" bestFit="1" customWidth="1"/>
    <col min="3605" max="3606" width="9.625" style="137" customWidth="1"/>
    <col min="3607" max="3607" width="9.25" style="137" bestFit="1" customWidth="1"/>
    <col min="3608" max="3608" width="11" style="137" bestFit="1" customWidth="1"/>
    <col min="3609" max="3841" width="9" style="137"/>
    <col min="3842" max="3842" width="4.625" style="137" bestFit="1" customWidth="1"/>
    <col min="3843" max="3843" width="7.5" style="137" bestFit="1" customWidth="1"/>
    <col min="3844" max="3844" width="6.25" style="137" customWidth="1"/>
    <col min="3845" max="3845" width="11" style="137" bestFit="1" customWidth="1"/>
    <col min="3846" max="3847" width="9.625" style="137" bestFit="1" customWidth="1"/>
    <col min="3848" max="3848" width="8.25" style="137" bestFit="1" customWidth="1"/>
    <col min="3849" max="3850" width="9.625" style="137" bestFit="1" customWidth="1"/>
    <col min="3851" max="3851" width="8.25" style="137" bestFit="1" customWidth="1"/>
    <col min="3852" max="3853" width="9.625" style="137" bestFit="1" customWidth="1"/>
    <col min="3854" max="3855" width="8.25" style="137" bestFit="1" customWidth="1"/>
    <col min="3856" max="3856" width="11" style="137" bestFit="1" customWidth="1"/>
    <col min="3857" max="3857" width="8" style="137" bestFit="1" customWidth="1"/>
    <col min="3858" max="3858" width="7.75" style="137" bestFit="1" customWidth="1"/>
    <col min="3859" max="3860" width="9.625" style="137" bestFit="1" customWidth="1"/>
    <col min="3861" max="3862" width="9.625" style="137" customWidth="1"/>
    <col min="3863" max="3863" width="9.25" style="137" bestFit="1" customWidth="1"/>
    <col min="3864" max="3864" width="11" style="137" bestFit="1" customWidth="1"/>
    <col min="3865" max="4097" width="9" style="137"/>
    <col min="4098" max="4098" width="4.625" style="137" bestFit="1" customWidth="1"/>
    <col min="4099" max="4099" width="7.5" style="137" bestFit="1" customWidth="1"/>
    <col min="4100" max="4100" width="6.25" style="137" customWidth="1"/>
    <col min="4101" max="4101" width="11" style="137" bestFit="1" customWidth="1"/>
    <col min="4102" max="4103" width="9.625" style="137" bestFit="1" customWidth="1"/>
    <col min="4104" max="4104" width="8.25" style="137" bestFit="1" customWidth="1"/>
    <col min="4105" max="4106" width="9.625" style="137" bestFit="1" customWidth="1"/>
    <col min="4107" max="4107" width="8.25" style="137" bestFit="1" customWidth="1"/>
    <col min="4108" max="4109" width="9.625" style="137" bestFit="1" customWidth="1"/>
    <col min="4110" max="4111" width="8.25" style="137" bestFit="1" customWidth="1"/>
    <col min="4112" max="4112" width="11" style="137" bestFit="1" customWidth="1"/>
    <col min="4113" max="4113" width="8" style="137" bestFit="1" customWidth="1"/>
    <col min="4114" max="4114" width="7.75" style="137" bestFit="1" customWidth="1"/>
    <col min="4115" max="4116" width="9.625" style="137" bestFit="1" customWidth="1"/>
    <col min="4117" max="4118" width="9.625" style="137" customWidth="1"/>
    <col min="4119" max="4119" width="9.25" style="137" bestFit="1" customWidth="1"/>
    <col min="4120" max="4120" width="11" style="137" bestFit="1" customWidth="1"/>
    <col min="4121" max="4353" width="9" style="137"/>
    <col min="4354" max="4354" width="4.625" style="137" bestFit="1" customWidth="1"/>
    <col min="4355" max="4355" width="7.5" style="137" bestFit="1" customWidth="1"/>
    <col min="4356" max="4356" width="6.25" style="137" customWidth="1"/>
    <col min="4357" max="4357" width="11" style="137" bestFit="1" customWidth="1"/>
    <col min="4358" max="4359" width="9.625" style="137" bestFit="1" customWidth="1"/>
    <col min="4360" max="4360" width="8.25" style="137" bestFit="1" customWidth="1"/>
    <col min="4361" max="4362" width="9.625" style="137" bestFit="1" customWidth="1"/>
    <col min="4363" max="4363" width="8.25" style="137" bestFit="1" customWidth="1"/>
    <col min="4364" max="4365" width="9.625" style="137" bestFit="1" customWidth="1"/>
    <col min="4366" max="4367" width="8.25" style="137" bestFit="1" customWidth="1"/>
    <col min="4368" max="4368" width="11" style="137" bestFit="1" customWidth="1"/>
    <col min="4369" max="4369" width="8" style="137" bestFit="1" customWidth="1"/>
    <col min="4370" max="4370" width="7.75" style="137" bestFit="1" customWidth="1"/>
    <col min="4371" max="4372" width="9.625" style="137" bestFit="1" customWidth="1"/>
    <col min="4373" max="4374" width="9.625" style="137" customWidth="1"/>
    <col min="4375" max="4375" width="9.25" style="137" bestFit="1" customWidth="1"/>
    <col min="4376" max="4376" width="11" style="137" bestFit="1" customWidth="1"/>
    <col min="4377" max="4609" width="9" style="137"/>
    <col min="4610" max="4610" width="4.625" style="137" bestFit="1" customWidth="1"/>
    <col min="4611" max="4611" width="7.5" style="137" bestFit="1" customWidth="1"/>
    <col min="4612" max="4612" width="6.25" style="137" customWidth="1"/>
    <col min="4613" max="4613" width="11" style="137" bestFit="1" customWidth="1"/>
    <col min="4614" max="4615" width="9.625" style="137" bestFit="1" customWidth="1"/>
    <col min="4616" max="4616" width="8.25" style="137" bestFit="1" customWidth="1"/>
    <col min="4617" max="4618" width="9.625" style="137" bestFit="1" customWidth="1"/>
    <col min="4619" max="4619" width="8.25" style="137" bestFit="1" customWidth="1"/>
    <col min="4620" max="4621" width="9.625" style="137" bestFit="1" customWidth="1"/>
    <col min="4622" max="4623" width="8.25" style="137" bestFit="1" customWidth="1"/>
    <col min="4624" max="4624" width="11" style="137" bestFit="1" customWidth="1"/>
    <col min="4625" max="4625" width="8" style="137" bestFit="1" customWidth="1"/>
    <col min="4626" max="4626" width="7.75" style="137" bestFit="1" customWidth="1"/>
    <col min="4627" max="4628" width="9.625" style="137" bestFit="1" customWidth="1"/>
    <col min="4629" max="4630" width="9.625" style="137" customWidth="1"/>
    <col min="4631" max="4631" width="9.25" style="137" bestFit="1" customWidth="1"/>
    <col min="4632" max="4632" width="11" style="137" bestFit="1" customWidth="1"/>
    <col min="4633" max="4865" width="9" style="137"/>
    <col min="4866" max="4866" width="4.625" style="137" bestFit="1" customWidth="1"/>
    <col min="4867" max="4867" width="7.5" style="137" bestFit="1" customWidth="1"/>
    <col min="4868" max="4868" width="6.25" style="137" customWidth="1"/>
    <col min="4869" max="4869" width="11" style="137" bestFit="1" customWidth="1"/>
    <col min="4870" max="4871" width="9.625" style="137" bestFit="1" customWidth="1"/>
    <col min="4872" max="4872" width="8.25" style="137" bestFit="1" customWidth="1"/>
    <col min="4873" max="4874" width="9.625" style="137" bestFit="1" customWidth="1"/>
    <col min="4875" max="4875" width="8.25" style="137" bestFit="1" customWidth="1"/>
    <col min="4876" max="4877" width="9.625" style="137" bestFit="1" customWidth="1"/>
    <col min="4878" max="4879" width="8.25" style="137" bestFit="1" customWidth="1"/>
    <col min="4880" max="4880" width="11" style="137" bestFit="1" customWidth="1"/>
    <col min="4881" max="4881" width="8" style="137" bestFit="1" customWidth="1"/>
    <col min="4882" max="4882" width="7.75" style="137" bestFit="1" customWidth="1"/>
    <col min="4883" max="4884" width="9.625" style="137" bestFit="1" customWidth="1"/>
    <col min="4885" max="4886" width="9.625" style="137" customWidth="1"/>
    <col min="4887" max="4887" width="9.25" style="137" bestFit="1" customWidth="1"/>
    <col min="4888" max="4888" width="11" style="137" bestFit="1" customWidth="1"/>
    <col min="4889" max="5121" width="9" style="137"/>
    <col min="5122" max="5122" width="4.625" style="137" bestFit="1" customWidth="1"/>
    <col min="5123" max="5123" width="7.5" style="137" bestFit="1" customWidth="1"/>
    <col min="5124" max="5124" width="6.25" style="137" customWidth="1"/>
    <col min="5125" max="5125" width="11" style="137" bestFit="1" customWidth="1"/>
    <col min="5126" max="5127" width="9.625" style="137" bestFit="1" customWidth="1"/>
    <col min="5128" max="5128" width="8.25" style="137" bestFit="1" customWidth="1"/>
    <col min="5129" max="5130" width="9.625" style="137" bestFit="1" customWidth="1"/>
    <col min="5131" max="5131" width="8.25" style="137" bestFit="1" customWidth="1"/>
    <col min="5132" max="5133" width="9.625" style="137" bestFit="1" customWidth="1"/>
    <col min="5134" max="5135" width="8.25" style="137" bestFit="1" customWidth="1"/>
    <col min="5136" max="5136" width="11" style="137" bestFit="1" customWidth="1"/>
    <col min="5137" max="5137" width="8" style="137" bestFit="1" customWidth="1"/>
    <col min="5138" max="5138" width="7.75" style="137" bestFit="1" customWidth="1"/>
    <col min="5139" max="5140" width="9.625" style="137" bestFit="1" customWidth="1"/>
    <col min="5141" max="5142" width="9.625" style="137" customWidth="1"/>
    <col min="5143" max="5143" width="9.25" style="137" bestFit="1" customWidth="1"/>
    <col min="5144" max="5144" width="11" style="137" bestFit="1" customWidth="1"/>
    <col min="5145" max="5377" width="9" style="137"/>
    <col min="5378" max="5378" width="4.625" style="137" bestFit="1" customWidth="1"/>
    <col min="5379" max="5379" width="7.5" style="137" bestFit="1" customWidth="1"/>
    <col min="5380" max="5380" width="6.25" style="137" customWidth="1"/>
    <col min="5381" max="5381" width="11" style="137" bestFit="1" customWidth="1"/>
    <col min="5382" max="5383" width="9.625" style="137" bestFit="1" customWidth="1"/>
    <col min="5384" max="5384" width="8.25" style="137" bestFit="1" customWidth="1"/>
    <col min="5385" max="5386" width="9.625" style="137" bestFit="1" customWidth="1"/>
    <col min="5387" max="5387" width="8.25" style="137" bestFit="1" customWidth="1"/>
    <col min="5388" max="5389" width="9.625" style="137" bestFit="1" customWidth="1"/>
    <col min="5390" max="5391" width="8.25" style="137" bestFit="1" customWidth="1"/>
    <col min="5392" max="5392" width="11" style="137" bestFit="1" customWidth="1"/>
    <col min="5393" max="5393" width="8" style="137" bestFit="1" customWidth="1"/>
    <col min="5394" max="5394" width="7.75" style="137" bestFit="1" customWidth="1"/>
    <col min="5395" max="5396" width="9.625" style="137" bestFit="1" customWidth="1"/>
    <col min="5397" max="5398" width="9.625" style="137" customWidth="1"/>
    <col min="5399" max="5399" width="9.25" style="137" bestFit="1" customWidth="1"/>
    <col min="5400" max="5400" width="11" style="137" bestFit="1" customWidth="1"/>
    <col min="5401" max="5633" width="9" style="137"/>
    <col min="5634" max="5634" width="4.625" style="137" bestFit="1" customWidth="1"/>
    <col min="5635" max="5635" width="7.5" style="137" bestFit="1" customWidth="1"/>
    <col min="5636" max="5636" width="6.25" style="137" customWidth="1"/>
    <col min="5637" max="5637" width="11" style="137" bestFit="1" customWidth="1"/>
    <col min="5638" max="5639" width="9.625" style="137" bestFit="1" customWidth="1"/>
    <col min="5640" max="5640" width="8.25" style="137" bestFit="1" customWidth="1"/>
    <col min="5641" max="5642" width="9.625" style="137" bestFit="1" customWidth="1"/>
    <col min="5643" max="5643" width="8.25" style="137" bestFit="1" customWidth="1"/>
    <col min="5644" max="5645" width="9.625" style="137" bestFit="1" customWidth="1"/>
    <col min="5646" max="5647" width="8.25" style="137" bestFit="1" customWidth="1"/>
    <col min="5648" max="5648" width="11" style="137" bestFit="1" customWidth="1"/>
    <col min="5649" max="5649" width="8" style="137" bestFit="1" customWidth="1"/>
    <col min="5650" max="5650" width="7.75" style="137" bestFit="1" customWidth="1"/>
    <col min="5651" max="5652" width="9.625" style="137" bestFit="1" customWidth="1"/>
    <col min="5653" max="5654" width="9.625" style="137" customWidth="1"/>
    <col min="5655" max="5655" width="9.25" style="137" bestFit="1" customWidth="1"/>
    <col min="5656" max="5656" width="11" style="137" bestFit="1" customWidth="1"/>
    <col min="5657" max="5889" width="9" style="137"/>
    <col min="5890" max="5890" width="4.625" style="137" bestFit="1" customWidth="1"/>
    <col min="5891" max="5891" width="7.5" style="137" bestFit="1" customWidth="1"/>
    <col min="5892" max="5892" width="6.25" style="137" customWidth="1"/>
    <col min="5893" max="5893" width="11" style="137" bestFit="1" customWidth="1"/>
    <col min="5894" max="5895" width="9.625" style="137" bestFit="1" customWidth="1"/>
    <col min="5896" max="5896" width="8.25" style="137" bestFit="1" customWidth="1"/>
    <col min="5897" max="5898" width="9.625" style="137" bestFit="1" customWidth="1"/>
    <col min="5899" max="5899" width="8.25" style="137" bestFit="1" customWidth="1"/>
    <col min="5900" max="5901" width="9.625" style="137" bestFit="1" customWidth="1"/>
    <col min="5902" max="5903" width="8.25" style="137" bestFit="1" customWidth="1"/>
    <col min="5904" max="5904" width="11" style="137" bestFit="1" customWidth="1"/>
    <col min="5905" max="5905" width="8" style="137" bestFit="1" customWidth="1"/>
    <col min="5906" max="5906" width="7.75" style="137" bestFit="1" customWidth="1"/>
    <col min="5907" max="5908" width="9.625" style="137" bestFit="1" customWidth="1"/>
    <col min="5909" max="5910" width="9.625" style="137" customWidth="1"/>
    <col min="5911" max="5911" width="9.25" style="137" bestFit="1" customWidth="1"/>
    <col min="5912" max="5912" width="11" style="137" bestFit="1" customWidth="1"/>
    <col min="5913" max="6145" width="9" style="137"/>
    <col min="6146" max="6146" width="4.625" style="137" bestFit="1" customWidth="1"/>
    <col min="6147" max="6147" width="7.5" style="137" bestFit="1" customWidth="1"/>
    <col min="6148" max="6148" width="6.25" style="137" customWidth="1"/>
    <col min="6149" max="6149" width="11" style="137" bestFit="1" customWidth="1"/>
    <col min="6150" max="6151" width="9.625" style="137" bestFit="1" customWidth="1"/>
    <col min="6152" max="6152" width="8.25" style="137" bestFit="1" customWidth="1"/>
    <col min="6153" max="6154" width="9.625" style="137" bestFit="1" customWidth="1"/>
    <col min="6155" max="6155" width="8.25" style="137" bestFit="1" customWidth="1"/>
    <col min="6156" max="6157" width="9.625" style="137" bestFit="1" customWidth="1"/>
    <col min="6158" max="6159" width="8.25" style="137" bestFit="1" customWidth="1"/>
    <col min="6160" max="6160" width="11" style="137" bestFit="1" customWidth="1"/>
    <col min="6161" max="6161" width="8" style="137" bestFit="1" customWidth="1"/>
    <col min="6162" max="6162" width="7.75" style="137" bestFit="1" customWidth="1"/>
    <col min="6163" max="6164" width="9.625" style="137" bestFit="1" customWidth="1"/>
    <col min="6165" max="6166" width="9.625" style="137" customWidth="1"/>
    <col min="6167" max="6167" width="9.25" style="137" bestFit="1" customWidth="1"/>
    <col min="6168" max="6168" width="11" style="137" bestFit="1" customWidth="1"/>
    <col min="6169" max="6401" width="9" style="137"/>
    <col min="6402" max="6402" width="4.625" style="137" bestFit="1" customWidth="1"/>
    <col min="6403" max="6403" width="7.5" style="137" bestFit="1" customWidth="1"/>
    <col min="6404" max="6404" width="6.25" style="137" customWidth="1"/>
    <col min="6405" max="6405" width="11" style="137" bestFit="1" customWidth="1"/>
    <col min="6406" max="6407" width="9.625" style="137" bestFit="1" customWidth="1"/>
    <col min="6408" max="6408" width="8.25" style="137" bestFit="1" customWidth="1"/>
    <col min="6409" max="6410" width="9.625" style="137" bestFit="1" customWidth="1"/>
    <col min="6411" max="6411" width="8.25" style="137" bestFit="1" customWidth="1"/>
    <col min="6412" max="6413" width="9.625" style="137" bestFit="1" customWidth="1"/>
    <col min="6414" max="6415" width="8.25" style="137" bestFit="1" customWidth="1"/>
    <col min="6416" max="6416" width="11" style="137" bestFit="1" customWidth="1"/>
    <col min="6417" max="6417" width="8" style="137" bestFit="1" customWidth="1"/>
    <col min="6418" max="6418" width="7.75" style="137" bestFit="1" customWidth="1"/>
    <col min="6419" max="6420" width="9.625" style="137" bestFit="1" customWidth="1"/>
    <col min="6421" max="6422" width="9.625" style="137" customWidth="1"/>
    <col min="6423" max="6423" width="9.25" style="137" bestFit="1" customWidth="1"/>
    <col min="6424" max="6424" width="11" style="137" bestFit="1" customWidth="1"/>
    <col min="6425" max="6657" width="9" style="137"/>
    <col min="6658" max="6658" width="4.625" style="137" bestFit="1" customWidth="1"/>
    <col min="6659" max="6659" width="7.5" style="137" bestFit="1" customWidth="1"/>
    <col min="6660" max="6660" width="6.25" style="137" customWidth="1"/>
    <col min="6661" max="6661" width="11" style="137" bestFit="1" customWidth="1"/>
    <col min="6662" max="6663" width="9.625" style="137" bestFit="1" customWidth="1"/>
    <col min="6664" max="6664" width="8.25" style="137" bestFit="1" customWidth="1"/>
    <col min="6665" max="6666" width="9.625" style="137" bestFit="1" customWidth="1"/>
    <col min="6667" max="6667" width="8.25" style="137" bestFit="1" customWidth="1"/>
    <col min="6668" max="6669" width="9.625" style="137" bestFit="1" customWidth="1"/>
    <col min="6670" max="6671" width="8.25" style="137" bestFit="1" customWidth="1"/>
    <col min="6672" max="6672" width="11" style="137" bestFit="1" customWidth="1"/>
    <col min="6673" max="6673" width="8" style="137" bestFit="1" customWidth="1"/>
    <col min="6674" max="6674" width="7.75" style="137" bestFit="1" customWidth="1"/>
    <col min="6675" max="6676" width="9.625" style="137" bestFit="1" customWidth="1"/>
    <col min="6677" max="6678" width="9.625" style="137" customWidth="1"/>
    <col min="6679" max="6679" width="9.25" style="137" bestFit="1" customWidth="1"/>
    <col min="6680" max="6680" width="11" style="137" bestFit="1" customWidth="1"/>
    <col min="6681" max="6913" width="9" style="137"/>
    <col min="6914" max="6914" width="4.625" style="137" bestFit="1" customWidth="1"/>
    <col min="6915" max="6915" width="7.5" style="137" bestFit="1" customWidth="1"/>
    <col min="6916" max="6916" width="6.25" style="137" customWidth="1"/>
    <col min="6917" max="6917" width="11" style="137" bestFit="1" customWidth="1"/>
    <col min="6918" max="6919" width="9.625" style="137" bestFit="1" customWidth="1"/>
    <col min="6920" max="6920" width="8.25" style="137" bestFit="1" customWidth="1"/>
    <col min="6921" max="6922" width="9.625" style="137" bestFit="1" customWidth="1"/>
    <col min="6923" max="6923" width="8.25" style="137" bestFit="1" customWidth="1"/>
    <col min="6924" max="6925" width="9.625" style="137" bestFit="1" customWidth="1"/>
    <col min="6926" max="6927" width="8.25" style="137" bestFit="1" customWidth="1"/>
    <col min="6928" max="6928" width="11" style="137" bestFit="1" customWidth="1"/>
    <col min="6929" max="6929" width="8" style="137" bestFit="1" customWidth="1"/>
    <col min="6930" max="6930" width="7.75" style="137" bestFit="1" customWidth="1"/>
    <col min="6931" max="6932" width="9.625" style="137" bestFit="1" customWidth="1"/>
    <col min="6933" max="6934" width="9.625" style="137" customWidth="1"/>
    <col min="6935" max="6935" width="9.25" style="137" bestFit="1" customWidth="1"/>
    <col min="6936" max="6936" width="11" style="137" bestFit="1" customWidth="1"/>
    <col min="6937" max="7169" width="9" style="137"/>
    <col min="7170" max="7170" width="4.625" style="137" bestFit="1" customWidth="1"/>
    <col min="7171" max="7171" width="7.5" style="137" bestFit="1" customWidth="1"/>
    <col min="7172" max="7172" width="6.25" style="137" customWidth="1"/>
    <col min="7173" max="7173" width="11" style="137" bestFit="1" customWidth="1"/>
    <col min="7174" max="7175" width="9.625" style="137" bestFit="1" customWidth="1"/>
    <col min="7176" max="7176" width="8.25" style="137" bestFit="1" customWidth="1"/>
    <col min="7177" max="7178" width="9.625" style="137" bestFit="1" customWidth="1"/>
    <col min="7179" max="7179" width="8.25" style="137" bestFit="1" customWidth="1"/>
    <col min="7180" max="7181" width="9.625" style="137" bestFit="1" customWidth="1"/>
    <col min="7182" max="7183" width="8.25" style="137" bestFit="1" customWidth="1"/>
    <col min="7184" max="7184" width="11" style="137" bestFit="1" customWidth="1"/>
    <col min="7185" max="7185" width="8" style="137" bestFit="1" customWidth="1"/>
    <col min="7186" max="7186" width="7.75" style="137" bestFit="1" customWidth="1"/>
    <col min="7187" max="7188" width="9.625" style="137" bestFit="1" customWidth="1"/>
    <col min="7189" max="7190" width="9.625" style="137" customWidth="1"/>
    <col min="7191" max="7191" width="9.25" style="137" bestFit="1" customWidth="1"/>
    <col min="7192" max="7192" width="11" style="137" bestFit="1" customWidth="1"/>
    <col min="7193" max="7425" width="9" style="137"/>
    <col min="7426" max="7426" width="4.625" style="137" bestFit="1" customWidth="1"/>
    <col min="7427" max="7427" width="7.5" style="137" bestFit="1" customWidth="1"/>
    <col min="7428" max="7428" width="6.25" style="137" customWidth="1"/>
    <col min="7429" max="7429" width="11" style="137" bestFit="1" customWidth="1"/>
    <col min="7430" max="7431" width="9.625" style="137" bestFit="1" customWidth="1"/>
    <col min="7432" max="7432" width="8.25" style="137" bestFit="1" customWidth="1"/>
    <col min="7433" max="7434" width="9.625" style="137" bestFit="1" customWidth="1"/>
    <col min="7435" max="7435" width="8.25" style="137" bestFit="1" customWidth="1"/>
    <col min="7436" max="7437" width="9.625" style="137" bestFit="1" customWidth="1"/>
    <col min="7438" max="7439" width="8.25" style="137" bestFit="1" customWidth="1"/>
    <col min="7440" max="7440" width="11" style="137" bestFit="1" customWidth="1"/>
    <col min="7441" max="7441" width="8" style="137" bestFit="1" customWidth="1"/>
    <col min="7442" max="7442" width="7.75" style="137" bestFit="1" customWidth="1"/>
    <col min="7443" max="7444" width="9.625" style="137" bestFit="1" customWidth="1"/>
    <col min="7445" max="7446" width="9.625" style="137" customWidth="1"/>
    <col min="7447" max="7447" width="9.25" style="137" bestFit="1" customWidth="1"/>
    <col min="7448" max="7448" width="11" style="137" bestFit="1" customWidth="1"/>
    <col min="7449" max="7681" width="9" style="137"/>
    <col min="7682" max="7682" width="4.625" style="137" bestFit="1" customWidth="1"/>
    <col min="7683" max="7683" width="7.5" style="137" bestFit="1" customWidth="1"/>
    <col min="7684" max="7684" width="6.25" style="137" customWidth="1"/>
    <col min="7685" max="7685" width="11" style="137" bestFit="1" customWidth="1"/>
    <col min="7686" max="7687" width="9.625" style="137" bestFit="1" customWidth="1"/>
    <col min="7688" max="7688" width="8.25" style="137" bestFit="1" customWidth="1"/>
    <col min="7689" max="7690" width="9.625" style="137" bestFit="1" customWidth="1"/>
    <col min="7691" max="7691" width="8.25" style="137" bestFit="1" customWidth="1"/>
    <col min="7692" max="7693" width="9.625" style="137" bestFit="1" customWidth="1"/>
    <col min="7694" max="7695" width="8.25" style="137" bestFit="1" customWidth="1"/>
    <col min="7696" max="7696" width="11" style="137" bestFit="1" customWidth="1"/>
    <col min="7697" max="7697" width="8" style="137" bestFit="1" customWidth="1"/>
    <col min="7698" max="7698" width="7.75" style="137" bestFit="1" customWidth="1"/>
    <col min="7699" max="7700" width="9.625" style="137" bestFit="1" customWidth="1"/>
    <col min="7701" max="7702" width="9.625" style="137" customWidth="1"/>
    <col min="7703" max="7703" width="9.25" style="137" bestFit="1" customWidth="1"/>
    <col min="7704" max="7704" width="11" style="137" bestFit="1" customWidth="1"/>
    <col min="7705" max="7937" width="9" style="137"/>
    <col min="7938" max="7938" width="4.625" style="137" bestFit="1" customWidth="1"/>
    <col min="7939" max="7939" width="7.5" style="137" bestFit="1" customWidth="1"/>
    <col min="7940" max="7940" width="6.25" style="137" customWidth="1"/>
    <col min="7941" max="7941" width="11" style="137" bestFit="1" customWidth="1"/>
    <col min="7942" max="7943" width="9.625" style="137" bestFit="1" customWidth="1"/>
    <col min="7944" max="7944" width="8.25" style="137" bestFit="1" customWidth="1"/>
    <col min="7945" max="7946" width="9.625" style="137" bestFit="1" customWidth="1"/>
    <col min="7947" max="7947" width="8.25" style="137" bestFit="1" customWidth="1"/>
    <col min="7948" max="7949" width="9.625" style="137" bestFit="1" customWidth="1"/>
    <col min="7950" max="7951" width="8.25" style="137" bestFit="1" customWidth="1"/>
    <col min="7952" max="7952" width="11" style="137" bestFit="1" customWidth="1"/>
    <col min="7953" max="7953" width="8" style="137" bestFit="1" customWidth="1"/>
    <col min="7954" max="7954" width="7.75" style="137" bestFit="1" customWidth="1"/>
    <col min="7955" max="7956" width="9.625" style="137" bestFit="1" customWidth="1"/>
    <col min="7957" max="7958" width="9.625" style="137" customWidth="1"/>
    <col min="7959" max="7959" width="9.25" style="137" bestFit="1" customWidth="1"/>
    <col min="7960" max="7960" width="11" style="137" bestFit="1" customWidth="1"/>
    <col min="7961" max="8193" width="9" style="137"/>
    <col min="8194" max="8194" width="4.625" style="137" bestFit="1" customWidth="1"/>
    <col min="8195" max="8195" width="7.5" style="137" bestFit="1" customWidth="1"/>
    <col min="8196" max="8196" width="6.25" style="137" customWidth="1"/>
    <col min="8197" max="8197" width="11" style="137" bestFit="1" customWidth="1"/>
    <col min="8198" max="8199" width="9.625" style="137" bestFit="1" customWidth="1"/>
    <col min="8200" max="8200" width="8.25" style="137" bestFit="1" customWidth="1"/>
    <col min="8201" max="8202" width="9.625" style="137" bestFit="1" customWidth="1"/>
    <col min="8203" max="8203" width="8.25" style="137" bestFit="1" customWidth="1"/>
    <col min="8204" max="8205" width="9.625" style="137" bestFit="1" customWidth="1"/>
    <col min="8206" max="8207" width="8.25" style="137" bestFit="1" customWidth="1"/>
    <col min="8208" max="8208" width="11" style="137" bestFit="1" customWidth="1"/>
    <col min="8209" max="8209" width="8" style="137" bestFit="1" customWidth="1"/>
    <col min="8210" max="8210" width="7.75" style="137" bestFit="1" customWidth="1"/>
    <col min="8211" max="8212" width="9.625" style="137" bestFit="1" customWidth="1"/>
    <col min="8213" max="8214" width="9.625" style="137" customWidth="1"/>
    <col min="8215" max="8215" width="9.25" style="137" bestFit="1" customWidth="1"/>
    <col min="8216" max="8216" width="11" style="137" bestFit="1" customWidth="1"/>
    <col min="8217" max="8449" width="9" style="137"/>
    <col min="8450" max="8450" width="4.625" style="137" bestFit="1" customWidth="1"/>
    <col min="8451" max="8451" width="7.5" style="137" bestFit="1" customWidth="1"/>
    <col min="8452" max="8452" width="6.25" style="137" customWidth="1"/>
    <col min="8453" max="8453" width="11" style="137" bestFit="1" customWidth="1"/>
    <col min="8454" max="8455" width="9.625" style="137" bestFit="1" customWidth="1"/>
    <col min="8456" max="8456" width="8.25" style="137" bestFit="1" customWidth="1"/>
    <col min="8457" max="8458" width="9.625" style="137" bestFit="1" customWidth="1"/>
    <col min="8459" max="8459" width="8.25" style="137" bestFit="1" customWidth="1"/>
    <col min="8460" max="8461" width="9.625" style="137" bestFit="1" customWidth="1"/>
    <col min="8462" max="8463" width="8.25" style="137" bestFit="1" customWidth="1"/>
    <col min="8464" max="8464" width="11" style="137" bestFit="1" customWidth="1"/>
    <col min="8465" max="8465" width="8" style="137" bestFit="1" customWidth="1"/>
    <col min="8466" max="8466" width="7.75" style="137" bestFit="1" customWidth="1"/>
    <col min="8467" max="8468" width="9.625" style="137" bestFit="1" customWidth="1"/>
    <col min="8469" max="8470" width="9.625" style="137" customWidth="1"/>
    <col min="8471" max="8471" width="9.25" style="137" bestFit="1" customWidth="1"/>
    <col min="8472" max="8472" width="11" style="137" bestFit="1" customWidth="1"/>
    <col min="8473" max="8705" width="9" style="137"/>
    <col min="8706" max="8706" width="4.625" style="137" bestFit="1" customWidth="1"/>
    <col min="8707" max="8707" width="7.5" style="137" bestFit="1" customWidth="1"/>
    <col min="8708" max="8708" width="6.25" style="137" customWidth="1"/>
    <col min="8709" max="8709" width="11" style="137" bestFit="1" customWidth="1"/>
    <col min="8710" max="8711" width="9.625" style="137" bestFit="1" customWidth="1"/>
    <col min="8712" max="8712" width="8.25" style="137" bestFit="1" customWidth="1"/>
    <col min="8713" max="8714" width="9.625" style="137" bestFit="1" customWidth="1"/>
    <col min="8715" max="8715" width="8.25" style="137" bestFit="1" customWidth="1"/>
    <col min="8716" max="8717" width="9.625" style="137" bestFit="1" customWidth="1"/>
    <col min="8718" max="8719" width="8.25" style="137" bestFit="1" customWidth="1"/>
    <col min="8720" max="8720" width="11" style="137" bestFit="1" customWidth="1"/>
    <col min="8721" max="8721" width="8" style="137" bestFit="1" customWidth="1"/>
    <col min="8722" max="8722" width="7.75" style="137" bestFit="1" customWidth="1"/>
    <col min="8723" max="8724" width="9.625" style="137" bestFit="1" customWidth="1"/>
    <col min="8725" max="8726" width="9.625" style="137" customWidth="1"/>
    <col min="8727" max="8727" width="9.25" style="137" bestFit="1" customWidth="1"/>
    <col min="8728" max="8728" width="11" style="137" bestFit="1" customWidth="1"/>
    <col min="8729" max="8961" width="9" style="137"/>
    <col min="8962" max="8962" width="4.625" style="137" bestFit="1" customWidth="1"/>
    <col min="8963" max="8963" width="7.5" style="137" bestFit="1" customWidth="1"/>
    <col min="8964" max="8964" width="6.25" style="137" customWidth="1"/>
    <col min="8965" max="8965" width="11" style="137" bestFit="1" customWidth="1"/>
    <col min="8966" max="8967" width="9.625" style="137" bestFit="1" customWidth="1"/>
    <col min="8968" max="8968" width="8.25" style="137" bestFit="1" customWidth="1"/>
    <col min="8969" max="8970" width="9.625" style="137" bestFit="1" customWidth="1"/>
    <col min="8971" max="8971" width="8.25" style="137" bestFit="1" customWidth="1"/>
    <col min="8972" max="8973" width="9.625" style="137" bestFit="1" customWidth="1"/>
    <col min="8974" max="8975" width="8.25" style="137" bestFit="1" customWidth="1"/>
    <col min="8976" max="8976" width="11" style="137" bestFit="1" customWidth="1"/>
    <col min="8977" max="8977" width="8" style="137" bestFit="1" customWidth="1"/>
    <col min="8978" max="8978" width="7.75" style="137" bestFit="1" customWidth="1"/>
    <col min="8979" max="8980" width="9.625" style="137" bestFit="1" customWidth="1"/>
    <col min="8981" max="8982" width="9.625" style="137" customWidth="1"/>
    <col min="8983" max="8983" width="9.25" style="137" bestFit="1" customWidth="1"/>
    <col min="8984" max="8984" width="11" style="137" bestFit="1" customWidth="1"/>
    <col min="8985" max="9217" width="9" style="137"/>
    <col min="9218" max="9218" width="4.625" style="137" bestFit="1" customWidth="1"/>
    <col min="9219" max="9219" width="7.5" style="137" bestFit="1" customWidth="1"/>
    <col min="9220" max="9220" width="6.25" style="137" customWidth="1"/>
    <col min="9221" max="9221" width="11" style="137" bestFit="1" customWidth="1"/>
    <col min="9222" max="9223" width="9.625" style="137" bestFit="1" customWidth="1"/>
    <col min="9224" max="9224" width="8.25" style="137" bestFit="1" customWidth="1"/>
    <col min="9225" max="9226" width="9.625" style="137" bestFit="1" customWidth="1"/>
    <col min="9227" max="9227" width="8.25" style="137" bestFit="1" customWidth="1"/>
    <col min="9228" max="9229" width="9.625" style="137" bestFit="1" customWidth="1"/>
    <col min="9230" max="9231" width="8.25" style="137" bestFit="1" customWidth="1"/>
    <col min="9232" max="9232" width="11" style="137" bestFit="1" customWidth="1"/>
    <col min="9233" max="9233" width="8" style="137" bestFit="1" customWidth="1"/>
    <col min="9234" max="9234" width="7.75" style="137" bestFit="1" customWidth="1"/>
    <col min="9235" max="9236" width="9.625" style="137" bestFit="1" customWidth="1"/>
    <col min="9237" max="9238" width="9.625" style="137" customWidth="1"/>
    <col min="9239" max="9239" width="9.25" style="137" bestFit="1" customWidth="1"/>
    <col min="9240" max="9240" width="11" style="137" bestFit="1" customWidth="1"/>
    <col min="9241" max="9473" width="9" style="137"/>
    <col min="9474" max="9474" width="4.625" style="137" bestFit="1" customWidth="1"/>
    <col min="9475" max="9475" width="7.5" style="137" bestFit="1" customWidth="1"/>
    <col min="9476" max="9476" width="6.25" style="137" customWidth="1"/>
    <col min="9477" max="9477" width="11" style="137" bestFit="1" customWidth="1"/>
    <col min="9478" max="9479" width="9.625" style="137" bestFit="1" customWidth="1"/>
    <col min="9480" max="9480" width="8.25" style="137" bestFit="1" customWidth="1"/>
    <col min="9481" max="9482" width="9.625" style="137" bestFit="1" customWidth="1"/>
    <col min="9483" max="9483" width="8.25" style="137" bestFit="1" customWidth="1"/>
    <col min="9484" max="9485" width="9.625" style="137" bestFit="1" customWidth="1"/>
    <col min="9486" max="9487" width="8.25" style="137" bestFit="1" customWidth="1"/>
    <col min="9488" max="9488" width="11" style="137" bestFit="1" customWidth="1"/>
    <col min="9489" max="9489" width="8" style="137" bestFit="1" customWidth="1"/>
    <col min="9490" max="9490" width="7.75" style="137" bestFit="1" customWidth="1"/>
    <col min="9491" max="9492" width="9.625" style="137" bestFit="1" customWidth="1"/>
    <col min="9493" max="9494" width="9.625" style="137" customWidth="1"/>
    <col min="9495" max="9495" width="9.25" style="137" bestFit="1" customWidth="1"/>
    <col min="9496" max="9496" width="11" style="137" bestFit="1" customWidth="1"/>
    <col min="9497" max="9729" width="9" style="137"/>
    <col min="9730" max="9730" width="4.625" style="137" bestFit="1" customWidth="1"/>
    <col min="9731" max="9731" width="7.5" style="137" bestFit="1" customWidth="1"/>
    <col min="9732" max="9732" width="6.25" style="137" customWidth="1"/>
    <col min="9733" max="9733" width="11" style="137" bestFit="1" customWidth="1"/>
    <col min="9734" max="9735" width="9.625" style="137" bestFit="1" customWidth="1"/>
    <col min="9736" max="9736" width="8.25" style="137" bestFit="1" customWidth="1"/>
    <col min="9737" max="9738" width="9.625" style="137" bestFit="1" customWidth="1"/>
    <col min="9739" max="9739" width="8.25" style="137" bestFit="1" customWidth="1"/>
    <col min="9740" max="9741" width="9.625" style="137" bestFit="1" customWidth="1"/>
    <col min="9742" max="9743" width="8.25" style="137" bestFit="1" customWidth="1"/>
    <col min="9744" max="9744" width="11" style="137" bestFit="1" customWidth="1"/>
    <col min="9745" max="9745" width="8" style="137" bestFit="1" customWidth="1"/>
    <col min="9746" max="9746" width="7.75" style="137" bestFit="1" customWidth="1"/>
    <col min="9747" max="9748" width="9.625" style="137" bestFit="1" customWidth="1"/>
    <col min="9749" max="9750" width="9.625" style="137" customWidth="1"/>
    <col min="9751" max="9751" width="9.25" style="137" bestFit="1" customWidth="1"/>
    <col min="9752" max="9752" width="11" style="137" bestFit="1" customWidth="1"/>
    <col min="9753" max="9985" width="9" style="137"/>
    <col min="9986" max="9986" width="4.625" style="137" bestFit="1" customWidth="1"/>
    <col min="9987" max="9987" width="7.5" style="137" bestFit="1" customWidth="1"/>
    <col min="9988" max="9988" width="6.25" style="137" customWidth="1"/>
    <col min="9989" max="9989" width="11" style="137" bestFit="1" customWidth="1"/>
    <col min="9990" max="9991" width="9.625" style="137" bestFit="1" customWidth="1"/>
    <col min="9992" max="9992" width="8.25" style="137" bestFit="1" customWidth="1"/>
    <col min="9993" max="9994" width="9.625" style="137" bestFit="1" customWidth="1"/>
    <col min="9995" max="9995" width="8.25" style="137" bestFit="1" customWidth="1"/>
    <col min="9996" max="9997" width="9.625" style="137" bestFit="1" customWidth="1"/>
    <col min="9998" max="9999" width="8.25" style="137" bestFit="1" customWidth="1"/>
    <col min="10000" max="10000" width="11" style="137" bestFit="1" customWidth="1"/>
    <col min="10001" max="10001" width="8" style="137" bestFit="1" customWidth="1"/>
    <col min="10002" max="10002" width="7.75" style="137" bestFit="1" customWidth="1"/>
    <col min="10003" max="10004" width="9.625" style="137" bestFit="1" customWidth="1"/>
    <col min="10005" max="10006" width="9.625" style="137" customWidth="1"/>
    <col min="10007" max="10007" width="9.25" style="137" bestFit="1" customWidth="1"/>
    <col min="10008" max="10008" width="11" style="137" bestFit="1" customWidth="1"/>
    <col min="10009" max="10241" width="9" style="137"/>
    <col min="10242" max="10242" width="4.625" style="137" bestFit="1" customWidth="1"/>
    <col min="10243" max="10243" width="7.5" style="137" bestFit="1" customWidth="1"/>
    <col min="10244" max="10244" width="6.25" style="137" customWidth="1"/>
    <col min="10245" max="10245" width="11" style="137" bestFit="1" customWidth="1"/>
    <col min="10246" max="10247" width="9.625" style="137" bestFit="1" customWidth="1"/>
    <col min="10248" max="10248" width="8.25" style="137" bestFit="1" customWidth="1"/>
    <col min="10249" max="10250" width="9.625" style="137" bestFit="1" customWidth="1"/>
    <col min="10251" max="10251" width="8.25" style="137" bestFit="1" customWidth="1"/>
    <col min="10252" max="10253" width="9.625" style="137" bestFit="1" customWidth="1"/>
    <col min="10254" max="10255" width="8.25" style="137" bestFit="1" customWidth="1"/>
    <col min="10256" max="10256" width="11" style="137" bestFit="1" customWidth="1"/>
    <col min="10257" max="10257" width="8" style="137" bestFit="1" customWidth="1"/>
    <col min="10258" max="10258" width="7.75" style="137" bestFit="1" customWidth="1"/>
    <col min="10259" max="10260" width="9.625" style="137" bestFit="1" customWidth="1"/>
    <col min="10261" max="10262" width="9.625" style="137" customWidth="1"/>
    <col min="10263" max="10263" width="9.25" style="137" bestFit="1" customWidth="1"/>
    <col min="10264" max="10264" width="11" style="137" bestFit="1" customWidth="1"/>
    <col min="10265" max="10497" width="9" style="137"/>
    <col min="10498" max="10498" width="4.625" style="137" bestFit="1" customWidth="1"/>
    <col min="10499" max="10499" width="7.5" style="137" bestFit="1" customWidth="1"/>
    <col min="10500" max="10500" width="6.25" style="137" customWidth="1"/>
    <col min="10501" max="10501" width="11" style="137" bestFit="1" customWidth="1"/>
    <col min="10502" max="10503" width="9.625" style="137" bestFit="1" customWidth="1"/>
    <col min="10504" max="10504" width="8.25" style="137" bestFit="1" customWidth="1"/>
    <col min="10505" max="10506" width="9.625" style="137" bestFit="1" customWidth="1"/>
    <col min="10507" max="10507" width="8.25" style="137" bestFit="1" customWidth="1"/>
    <col min="10508" max="10509" width="9.625" style="137" bestFit="1" customWidth="1"/>
    <col min="10510" max="10511" width="8.25" style="137" bestFit="1" customWidth="1"/>
    <col min="10512" max="10512" width="11" style="137" bestFit="1" customWidth="1"/>
    <col min="10513" max="10513" width="8" style="137" bestFit="1" customWidth="1"/>
    <col min="10514" max="10514" width="7.75" style="137" bestFit="1" customWidth="1"/>
    <col min="10515" max="10516" width="9.625" style="137" bestFit="1" customWidth="1"/>
    <col min="10517" max="10518" width="9.625" style="137" customWidth="1"/>
    <col min="10519" max="10519" width="9.25" style="137" bestFit="1" customWidth="1"/>
    <col min="10520" max="10520" width="11" style="137" bestFit="1" customWidth="1"/>
    <col min="10521" max="10753" width="9" style="137"/>
    <col min="10754" max="10754" width="4.625" style="137" bestFit="1" customWidth="1"/>
    <col min="10755" max="10755" width="7.5" style="137" bestFit="1" customWidth="1"/>
    <col min="10756" max="10756" width="6.25" style="137" customWidth="1"/>
    <col min="10757" max="10757" width="11" style="137" bestFit="1" customWidth="1"/>
    <col min="10758" max="10759" width="9.625" style="137" bestFit="1" customWidth="1"/>
    <col min="10760" max="10760" width="8.25" style="137" bestFit="1" customWidth="1"/>
    <col min="10761" max="10762" width="9.625" style="137" bestFit="1" customWidth="1"/>
    <col min="10763" max="10763" width="8.25" style="137" bestFit="1" customWidth="1"/>
    <col min="10764" max="10765" width="9.625" style="137" bestFit="1" customWidth="1"/>
    <col min="10766" max="10767" width="8.25" style="137" bestFit="1" customWidth="1"/>
    <col min="10768" max="10768" width="11" style="137" bestFit="1" customWidth="1"/>
    <col min="10769" max="10769" width="8" style="137" bestFit="1" customWidth="1"/>
    <col min="10770" max="10770" width="7.75" style="137" bestFit="1" customWidth="1"/>
    <col min="10771" max="10772" width="9.625" style="137" bestFit="1" customWidth="1"/>
    <col min="10773" max="10774" width="9.625" style="137" customWidth="1"/>
    <col min="10775" max="10775" width="9.25" style="137" bestFit="1" customWidth="1"/>
    <col min="10776" max="10776" width="11" style="137" bestFit="1" customWidth="1"/>
    <col min="10777" max="11009" width="9" style="137"/>
    <col min="11010" max="11010" width="4.625" style="137" bestFit="1" customWidth="1"/>
    <col min="11011" max="11011" width="7.5" style="137" bestFit="1" customWidth="1"/>
    <col min="11012" max="11012" width="6.25" style="137" customWidth="1"/>
    <col min="11013" max="11013" width="11" style="137" bestFit="1" customWidth="1"/>
    <col min="11014" max="11015" width="9.625" style="137" bestFit="1" customWidth="1"/>
    <col min="11016" max="11016" width="8.25" style="137" bestFit="1" customWidth="1"/>
    <col min="11017" max="11018" width="9.625" style="137" bestFit="1" customWidth="1"/>
    <col min="11019" max="11019" width="8.25" style="137" bestFit="1" customWidth="1"/>
    <col min="11020" max="11021" width="9.625" style="137" bestFit="1" customWidth="1"/>
    <col min="11022" max="11023" width="8.25" style="137" bestFit="1" customWidth="1"/>
    <col min="11024" max="11024" width="11" style="137" bestFit="1" customWidth="1"/>
    <col min="11025" max="11025" width="8" style="137" bestFit="1" customWidth="1"/>
    <col min="11026" max="11026" width="7.75" style="137" bestFit="1" customWidth="1"/>
    <col min="11027" max="11028" width="9.625" style="137" bestFit="1" customWidth="1"/>
    <col min="11029" max="11030" width="9.625" style="137" customWidth="1"/>
    <col min="11031" max="11031" width="9.25" style="137" bestFit="1" customWidth="1"/>
    <col min="11032" max="11032" width="11" style="137" bestFit="1" customWidth="1"/>
    <col min="11033" max="11265" width="9" style="137"/>
    <col min="11266" max="11266" width="4.625" style="137" bestFit="1" customWidth="1"/>
    <col min="11267" max="11267" width="7.5" style="137" bestFit="1" customWidth="1"/>
    <col min="11268" max="11268" width="6.25" style="137" customWidth="1"/>
    <col min="11269" max="11269" width="11" style="137" bestFit="1" customWidth="1"/>
    <col min="11270" max="11271" width="9.625" style="137" bestFit="1" customWidth="1"/>
    <col min="11272" max="11272" width="8.25" style="137" bestFit="1" customWidth="1"/>
    <col min="11273" max="11274" width="9.625" style="137" bestFit="1" customWidth="1"/>
    <col min="11275" max="11275" width="8.25" style="137" bestFit="1" customWidth="1"/>
    <col min="11276" max="11277" width="9.625" style="137" bestFit="1" customWidth="1"/>
    <col min="11278" max="11279" width="8.25" style="137" bestFit="1" customWidth="1"/>
    <col min="11280" max="11280" width="11" style="137" bestFit="1" customWidth="1"/>
    <col min="11281" max="11281" width="8" style="137" bestFit="1" customWidth="1"/>
    <col min="11282" max="11282" width="7.75" style="137" bestFit="1" customWidth="1"/>
    <col min="11283" max="11284" width="9.625" style="137" bestFit="1" customWidth="1"/>
    <col min="11285" max="11286" width="9.625" style="137" customWidth="1"/>
    <col min="11287" max="11287" width="9.25" style="137" bestFit="1" customWidth="1"/>
    <col min="11288" max="11288" width="11" style="137" bestFit="1" customWidth="1"/>
    <col min="11289" max="11521" width="9" style="137"/>
    <col min="11522" max="11522" width="4.625" style="137" bestFit="1" customWidth="1"/>
    <col min="11523" max="11523" width="7.5" style="137" bestFit="1" customWidth="1"/>
    <col min="11524" max="11524" width="6.25" style="137" customWidth="1"/>
    <col min="11525" max="11525" width="11" style="137" bestFit="1" customWidth="1"/>
    <col min="11526" max="11527" width="9.625" style="137" bestFit="1" customWidth="1"/>
    <col min="11528" max="11528" width="8.25" style="137" bestFit="1" customWidth="1"/>
    <col min="11529" max="11530" width="9.625" style="137" bestFit="1" customWidth="1"/>
    <col min="11531" max="11531" width="8.25" style="137" bestFit="1" customWidth="1"/>
    <col min="11532" max="11533" width="9.625" style="137" bestFit="1" customWidth="1"/>
    <col min="11534" max="11535" width="8.25" style="137" bestFit="1" customWidth="1"/>
    <col min="11536" max="11536" width="11" style="137" bestFit="1" customWidth="1"/>
    <col min="11537" max="11537" width="8" style="137" bestFit="1" customWidth="1"/>
    <col min="11538" max="11538" width="7.75" style="137" bestFit="1" customWidth="1"/>
    <col min="11539" max="11540" width="9.625" style="137" bestFit="1" customWidth="1"/>
    <col min="11541" max="11542" width="9.625" style="137" customWidth="1"/>
    <col min="11543" max="11543" width="9.25" style="137" bestFit="1" customWidth="1"/>
    <col min="11544" max="11544" width="11" style="137" bestFit="1" customWidth="1"/>
    <col min="11545" max="11777" width="9" style="137"/>
    <col min="11778" max="11778" width="4.625" style="137" bestFit="1" customWidth="1"/>
    <col min="11779" max="11779" width="7.5" style="137" bestFit="1" customWidth="1"/>
    <col min="11780" max="11780" width="6.25" style="137" customWidth="1"/>
    <col min="11781" max="11781" width="11" style="137" bestFit="1" customWidth="1"/>
    <col min="11782" max="11783" width="9.625" style="137" bestFit="1" customWidth="1"/>
    <col min="11784" max="11784" width="8.25" style="137" bestFit="1" customWidth="1"/>
    <col min="11785" max="11786" width="9.625" style="137" bestFit="1" customWidth="1"/>
    <col min="11787" max="11787" width="8.25" style="137" bestFit="1" customWidth="1"/>
    <col min="11788" max="11789" width="9.625" style="137" bestFit="1" customWidth="1"/>
    <col min="11790" max="11791" width="8.25" style="137" bestFit="1" customWidth="1"/>
    <col min="11792" max="11792" width="11" style="137" bestFit="1" customWidth="1"/>
    <col min="11793" max="11793" width="8" style="137" bestFit="1" customWidth="1"/>
    <col min="11794" max="11794" width="7.75" style="137" bestFit="1" customWidth="1"/>
    <col min="11795" max="11796" width="9.625" style="137" bestFit="1" customWidth="1"/>
    <col min="11797" max="11798" width="9.625" style="137" customWidth="1"/>
    <col min="11799" max="11799" width="9.25" style="137" bestFit="1" customWidth="1"/>
    <col min="11800" max="11800" width="11" style="137" bestFit="1" customWidth="1"/>
    <col min="11801" max="12033" width="9" style="137"/>
    <col min="12034" max="12034" width="4.625" style="137" bestFit="1" customWidth="1"/>
    <col min="12035" max="12035" width="7.5" style="137" bestFit="1" customWidth="1"/>
    <col min="12036" max="12036" width="6.25" style="137" customWidth="1"/>
    <col min="12037" max="12037" width="11" style="137" bestFit="1" customWidth="1"/>
    <col min="12038" max="12039" width="9.625" style="137" bestFit="1" customWidth="1"/>
    <col min="12040" max="12040" width="8.25" style="137" bestFit="1" customWidth="1"/>
    <col min="12041" max="12042" width="9.625" style="137" bestFit="1" customWidth="1"/>
    <col min="12043" max="12043" width="8.25" style="137" bestFit="1" customWidth="1"/>
    <col min="12044" max="12045" width="9.625" style="137" bestFit="1" customWidth="1"/>
    <col min="12046" max="12047" width="8.25" style="137" bestFit="1" customWidth="1"/>
    <col min="12048" max="12048" width="11" style="137" bestFit="1" customWidth="1"/>
    <col min="12049" max="12049" width="8" style="137" bestFit="1" customWidth="1"/>
    <col min="12050" max="12050" width="7.75" style="137" bestFit="1" customWidth="1"/>
    <col min="12051" max="12052" width="9.625" style="137" bestFit="1" customWidth="1"/>
    <col min="12053" max="12054" width="9.625" style="137" customWidth="1"/>
    <col min="12055" max="12055" width="9.25" style="137" bestFit="1" customWidth="1"/>
    <col min="12056" max="12056" width="11" style="137" bestFit="1" customWidth="1"/>
    <col min="12057" max="12289" width="9" style="137"/>
    <col min="12290" max="12290" width="4.625" style="137" bestFit="1" customWidth="1"/>
    <col min="12291" max="12291" width="7.5" style="137" bestFit="1" customWidth="1"/>
    <col min="12292" max="12292" width="6.25" style="137" customWidth="1"/>
    <col min="12293" max="12293" width="11" style="137" bestFit="1" customWidth="1"/>
    <col min="12294" max="12295" width="9.625" style="137" bestFit="1" customWidth="1"/>
    <col min="12296" max="12296" width="8.25" style="137" bestFit="1" customWidth="1"/>
    <col min="12297" max="12298" width="9.625" style="137" bestFit="1" customWidth="1"/>
    <col min="12299" max="12299" width="8.25" style="137" bestFit="1" customWidth="1"/>
    <col min="12300" max="12301" width="9.625" style="137" bestFit="1" customWidth="1"/>
    <col min="12302" max="12303" width="8.25" style="137" bestFit="1" customWidth="1"/>
    <col min="12304" max="12304" width="11" style="137" bestFit="1" customWidth="1"/>
    <col min="12305" max="12305" width="8" style="137" bestFit="1" customWidth="1"/>
    <col min="12306" max="12306" width="7.75" style="137" bestFit="1" customWidth="1"/>
    <col min="12307" max="12308" width="9.625" style="137" bestFit="1" customWidth="1"/>
    <col min="12309" max="12310" width="9.625" style="137" customWidth="1"/>
    <col min="12311" max="12311" width="9.25" style="137" bestFit="1" customWidth="1"/>
    <col min="12312" max="12312" width="11" style="137" bestFit="1" customWidth="1"/>
    <col min="12313" max="12545" width="9" style="137"/>
    <col min="12546" max="12546" width="4.625" style="137" bestFit="1" customWidth="1"/>
    <col min="12547" max="12547" width="7.5" style="137" bestFit="1" customWidth="1"/>
    <col min="12548" max="12548" width="6.25" style="137" customWidth="1"/>
    <col min="12549" max="12549" width="11" style="137" bestFit="1" customWidth="1"/>
    <col min="12550" max="12551" width="9.625" style="137" bestFit="1" customWidth="1"/>
    <col min="12552" max="12552" width="8.25" style="137" bestFit="1" customWidth="1"/>
    <col min="12553" max="12554" width="9.625" style="137" bestFit="1" customWidth="1"/>
    <col min="12555" max="12555" width="8.25" style="137" bestFit="1" customWidth="1"/>
    <col min="12556" max="12557" width="9.625" style="137" bestFit="1" customWidth="1"/>
    <col min="12558" max="12559" width="8.25" style="137" bestFit="1" customWidth="1"/>
    <col min="12560" max="12560" width="11" style="137" bestFit="1" customWidth="1"/>
    <col min="12561" max="12561" width="8" style="137" bestFit="1" customWidth="1"/>
    <col min="12562" max="12562" width="7.75" style="137" bestFit="1" customWidth="1"/>
    <col min="12563" max="12564" width="9.625" style="137" bestFit="1" customWidth="1"/>
    <col min="12565" max="12566" width="9.625" style="137" customWidth="1"/>
    <col min="12567" max="12567" width="9.25" style="137" bestFit="1" customWidth="1"/>
    <col min="12568" max="12568" width="11" style="137" bestFit="1" customWidth="1"/>
    <col min="12569" max="12801" width="9" style="137"/>
    <col min="12802" max="12802" width="4.625" style="137" bestFit="1" customWidth="1"/>
    <col min="12803" max="12803" width="7.5" style="137" bestFit="1" customWidth="1"/>
    <col min="12804" max="12804" width="6.25" style="137" customWidth="1"/>
    <col min="12805" max="12805" width="11" style="137" bestFit="1" customWidth="1"/>
    <col min="12806" max="12807" width="9.625" style="137" bestFit="1" customWidth="1"/>
    <col min="12808" max="12808" width="8.25" style="137" bestFit="1" customWidth="1"/>
    <col min="12809" max="12810" width="9.625" style="137" bestFit="1" customWidth="1"/>
    <col min="12811" max="12811" width="8.25" style="137" bestFit="1" customWidth="1"/>
    <col min="12812" max="12813" width="9.625" style="137" bestFit="1" customWidth="1"/>
    <col min="12814" max="12815" width="8.25" style="137" bestFit="1" customWidth="1"/>
    <col min="12816" max="12816" width="11" style="137" bestFit="1" customWidth="1"/>
    <col min="12817" max="12817" width="8" style="137" bestFit="1" customWidth="1"/>
    <col min="12818" max="12818" width="7.75" style="137" bestFit="1" customWidth="1"/>
    <col min="12819" max="12820" width="9.625" style="137" bestFit="1" customWidth="1"/>
    <col min="12821" max="12822" width="9.625" style="137" customWidth="1"/>
    <col min="12823" max="12823" width="9.25" style="137" bestFit="1" customWidth="1"/>
    <col min="12824" max="12824" width="11" style="137" bestFit="1" customWidth="1"/>
    <col min="12825" max="13057" width="9" style="137"/>
    <col min="13058" max="13058" width="4.625" style="137" bestFit="1" customWidth="1"/>
    <col min="13059" max="13059" width="7.5" style="137" bestFit="1" customWidth="1"/>
    <col min="13060" max="13060" width="6.25" style="137" customWidth="1"/>
    <col min="13061" max="13061" width="11" style="137" bestFit="1" customWidth="1"/>
    <col min="13062" max="13063" width="9.625" style="137" bestFit="1" customWidth="1"/>
    <col min="13064" max="13064" width="8.25" style="137" bestFit="1" customWidth="1"/>
    <col min="13065" max="13066" width="9.625" style="137" bestFit="1" customWidth="1"/>
    <col min="13067" max="13067" width="8.25" style="137" bestFit="1" customWidth="1"/>
    <col min="13068" max="13069" width="9.625" style="137" bestFit="1" customWidth="1"/>
    <col min="13070" max="13071" width="8.25" style="137" bestFit="1" customWidth="1"/>
    <col min="13072" max="13072" width="11" style="137" bestFit="1" customWidth="1"/>
    <col min="13073" max="13073" width="8" style="137" bestFit="1" customWidth="1"/>
    <col min="13074" max="13074" width="7.75" style="137" bestFit="1" customWidth="1"/>
    <col min="13075" max="13076" width="9.625" style="137" bestFit="1" customWidth="1"/>
    <col min="13077" max="13078" width="9.625" style="137" customWidth="1"/>
    <col min="13079" max="13079" width="9.25" style="137" bestFit="1" customWidth="1"/>
    <col min="13080" max="13080" width="11" style="137" bestFit="1" customWidth="1"/>
    <col min="13081" max="13313" width="9" style="137"/>
    <col min="13314" max="13314" width="4.625" style="137" bestFit="1" customWidth="1"/>
    <col min="13315" max="13315" width="7.5" style="137" bestFit="1" customWidth="1"/>
    <col min="13316" max="13316" width="6.25" style="137" customWidth="1"/>
    <col min="13317" max="13317" width="11" style="137" bestFit="1" customWidth="1"/>
    <col min="13318" max="13319" width="9.625" style="137" bestFit="1" customWidth="1"/>
    <col min="13320" max="13320" width="8.25" style="137" bestFit="1" customWidth="1"/>
    <col min="13321" max="13322" width="9.625" style="137" bestFit="1" customWidth="1"/>
    <col min="13323" max="13323" width="8.25" style="137" bestFit="1" customWidth="1"/>
    <col min="13324" max="13325" width="9.625" style="137" bestFit="1" customWidth="1"/>
    <col min="13326" max="13327" width="8.25" style="137" bestFit="1" customWidth="1"/>
    <col min="13328" max="13328" width="11" style="137" bestFit="1" customWidth="1"/>
    <col min="13329" max="13329" width="8" style="137" bestFit="1" customWidth="1"/>
    <col min="13330" max="13330" width="7.75" style="137" bestFit="1" customWidth="1"/>
    <col min="13331" max="13332" width="9.625" style="137" bestFit="1" customWidth="1"/>
    <col min="13333" max="13334" width="9.625" style="137" customWidth="1"/>
    <col min="13335" max="13335" width="9.25" style="137" bestFit="1" customWidth="1"/>
    <col min="13336" max="13336" width="11" style="137" bestFit="1" customWidth="1"/>
    <col min="13337" max="13569" width="9" style="137"/>
    <col min="13570" max="13570" width="4.625" style="137" bestFit="1" customWidth="1"/>
    <col min="13571" max="13571" width="7.5" style="137" bestFit="1" customWidth="1"/>
    <col min="13572" max="13572" width="6.25" style="137" customWidth="1"/>
    <col min="13573" max="13573" width="11" style="137" bestFit="1" customWidth="1"/>
    <col min="13574" max="13575" width="9.625" style="137" bestFit="1" customWidth="1"/>
    <col min="13576" max="13576" width="8.25" style="137" bestFit="1" customWidth="1"/>
    <col min="13577" max="13578" width="9.625" style="137" bestFit="1" customWidth="1"/>
    <col min="13579" max="13579" width="8.25" style="137" bestFit="1" customWidth="1"/>
    <col min="13580" max="13581" width="9.625" style="137" bestFit="1" customWidth="1"/>
    <col min="13582" max="13583" width="8.25" style="137" bestFit="1" customWidth="1"/>
    <col min="13584" max="13584" width="11" style="137" bestFit="1" customWidth="1"/>
    <col min="13585" max="13585" width="8" style="137" bestFit="1" customWidth="1"/>
    <col min="13586" max="13586" width="7.75" style="137" bestFit="1" customWidth="1"/>
    <col min="13587" max="13588" width="9.625" style="137" bestFit="1" customWidth="1"/>
    <col min="13589" max="13590" width="9.625" style="137" customWidth="1"/>
    <col min="13591" max="13591" width="9.25" style="137" bestFit="1" customWidth="1"/>
    <col min="13592" max="13592" width="11" style="137" bestFit="1" customWidth="1"/>
    <col min="13593" max="13825" width="9" style="137"/>
    <col min="13826" max="13826" width="4.625" style="137" bestFit="1" customWidth="1"/>
    <col min="13827" max="13827" width="7.5" style="137" bestFit="1" customWidth="1"/>
    <col min="13828" max="13828" width="6.25" style="137" customWidth="1"/>
    <col min="13829" max="13829" width="11" style="137" bestFit="1" customWidth="1"/>
    <col min="13830" max="13831" width="9.625" style="137" bestFit="1" customWidth="1"/>
    <col min="13832" max="13832" width="8.25" style="137" bestFit="1" customWidth="1"/>
    <col min="13833" max="13834" width="9.625" style="137" bestFit="1" customWidth="1"/>
    <col min="13835" max="13835" width="8.25" style="137" bestFit="1" customWidth="1"/>
    <col min="13836" max="13837" width="9.625" style="137" bestFit="1" customWidth="1"/>
    <col min="13838" max="13839" width="8.25" style="137" bestFit="1" customWidth="1"/>
    <col min="13840" max="13840" width="11" style="137" bestFit="1" customWidth="1"/>
    <col min="13841" max="13841" width="8" style="137" bestFit="1" customWidth="1"/>
    <col min="13842" max="13842" width="7.75" style="137" bestFit="1" customWidth="1"/>
    <col min="13843" max="13844" width="9.625" style="137" bestFit="1" customWidth="1"/>
    <col min="13845" max="13846" width="9.625" style="137" customWidth="1"/>
    <col min="13847" max="13847" width="9.25" style="137" bestFit="1" customWidth="1"/>
    <col min="13848" max="13848" width="11" style="137" bestFit="1" customWidth="1"/>
    <col min="13849" max="14081" width="9" style="137"/>
    <col min="14082" max="14082" width="4.625" style="137" bestFit="1" customWidth="1"/>
    <col min="14083" max="14083" width="7.5" style="137" bestFit="1" customWidth="1"/>
    <col min="14084" max="14084" width="6.25" style="137" customWidth="1"/>
    <col min="14085" max="14085" width="11" style="137" bestFit="1" customWidth="1"/>
    <col min="14086" max="14087" width="9.625" style="137" bestFit="1" customWidth="1"/>
    <col min="14088" max="14088" width="8.25" style="137" bestFit="1" customWidth="1"/>
    <col min="14089" max="14090" width="9.625" style="137" bestFit="1" customWidth="1"/>
    <col min="14091" max="14091" width="8.25" style="137" bestFit="1" customWidth="1"/>
    <col min="14092" max="14093" width="9.625" style="137" bestFit="1" customWidth="1"/>
    <col min="14094" max="14095" width="8.25" style="137" bestFit="1" customWidth="1"/>
    <col min="14096" max="14096" width="11" style="137" bestFit="1" customWidth="1"/>
    <col min="14097" max="14097" width="8" style="137" bestFit="1" customWidth="1"/>
    <col min="14098" max="14098" width="7.75" style="137" bestFit="1" customWidth="1"/>
    <col min="14099" max="14100" width="9.625" style="137" bestFit="1" customWidth="1"/>
    <col min="14101" max="14102" width="9.625" style="137" customWidth="1"/>
    <col min="14103" max="14103" width="9.25" style="137" bestFit="1" customWidth="1"/>
    <col min="14104" max="14104" width="11" style="137" bestFit="1" customWidth="1"/>
    <col min="14105" max="14337" width="9" style="137"/>
    <col min="14338" max="14338" width="4.625" style="137" bestFit="1" customWidth="1"/>
    <col min="14339" max="14339" width="7.5" style="137" bestFit="1" customWidth="1"/>
    <col min="14340" max="14340" width="6.25" style="137" customWidth="1"/>
    <col min="14341" max="14341" width="11" style="137" bestFit="1" customWidth="1"/>
    <col min="14342" max="14343" width="9.625" style="137" bestFit="1" customWidth="1"/>
    <col min="14344" max="14344" width="8.25" style="137" bestFit="1" customWidth="1"/>
    <col min="14345" max="14346" width="9.625" style="137" bestFit="1" customWidth="1"/>
    <col min="14347" max="14347" width="8.25" style="137" bestFit="1" customWidth="1"/>
    <col min="14348" max="14349" width="9.625" style="137" bestFit="1" customWidth="1"/>
    <col min="14350" max="14351" width="8.25" style="137" bestFit="1" customWidth="1"/>
    <col min="14352" max="14352" width="11" style="137" bestFit="1" customWidth="1"/>
    <col min="14353" max="14353" width="8" style="137" bestFit="1" customWidth="1"/>
    <col min="14354" max="14354" width="7.75" style="137" bestFit="1" customWidth="1"/>
    <col min="14355" max="14356" width="9.625" style="137" bestFit="1" customWidth="1"/>
    <col min="14357" max="14358" width="9.625" style="137" customWidth="1"/>
    <col min="14359" max="14359" width="9.25" style="137" bestFit="1" customWidth="1"/>
    <col min="14360" max="14360" width="11" style="137" bestFit="1" customWidth="1"/>
    <col min="14361" max="14593" width="9" style="137"/>
    <col min="14594" max="14594" width="4.625" style="137" bestFit="1" customWidth="1"/>
    <col min="14595" max="14595" width="7.5" style="137" bestFit="1" customWidth="1"/>
    <col min="14596" max="14596" width="6.25" style="137" customWidth="1"/>
    <col min="14597" max="14597" width="11" style="137" bestFit="1" customWidth="1"/>
    <col min="14598" max="14599" width="9.625" style="137" bestFit="1" customWidth="1"/>
    <col min="14600" max="14600" width="8.25" style="137" bestFit="1" customWidth="1"/>
    <col min="14601" max="14602" width="9.625" style="137" bestFit="1" customWidth="1"/>
    <col min="14603" max="14603" width="8.25" style="137" bestFit="1" customWidth="1"/>
    <col min="14604" max="14605" width="9.625" style="137" bestFit="1" customWidth="1"/>
    <col min="14606" max="14607" width="8.25" style="137" bestFit="1" customWidth="1"/>
    <col min="14608" max="14608" width="11" style="137" bestFit="1" customWidth="1"/>
    <col min="14609" max="14609" width="8" style="137" bestFit="1" customWidth="1"/>
    <col min="14610" max="14610" width="7.75" style="137" bestFit="1" customWidth="1"/>
    <col min="14611" max="14612" width="9.625" style="137" bestFit="1" customWidth="1"/>
    <col min="14613" max="14614" width="9.625" style="137" customWidth="1"/>
    <col min="14615" max="14615" width="9.25" style="137" bestFit="1" customWidth="1"/>
    <col min="14616" max="14616" width="11" style="137" bestFit="1" customWidth="1"/>
    <col min="14617" max="14849" width="9" style="137"/>
    <col min="14850" max="14850" width="4.625" style="137" bestFit="1" customWidth="1"/>
    <col min="14851" max="14851" width="7.5" style="137" bestFit="1" customWidth="1"/>
    <col min="14852" max="14852" width="6.25" style="137" customWidth="1"/>
    <col min="14853" max="14853" width="11" style="137" bestFit="1" customWidth="1"/>
    <col min="14854" max="14855" width="9.625" style="137" bestFit="1" customWidth="1"/>
    <col min="14856" max="14856" width="8.25" style="137" bestFit="1" customWidth="1"/>
    <col min="14857" max="14858" width="9.625" style="137" bestFit="1" customWidth="1"/>
    <col min="14859" max="14859" width="8.25" style="137" bestFit="1" customWidth="1"/>
    <col min="14860" max="14861" width="9.625" style="137" bestFit="1" customWidth="1"/>
    <col min="14862" max="14863" width="8.25" style="137" bestFit="1" customWidth="1"/>
    <col min="14864" max="14864" width="11" style="137" bestFit="1" customWidth="1"/>
    <col min="14865" max="14865" width="8" style="137" bestFit="1" customWidth="1"/>
    <col min="14866" max="14866" width="7.75" style="137" bestFit="1" customWidth="1"/>
    <col min="14867" max="14868" width="9.625" style="137" bestFit="1" customWidth="1"/>
    <col min="14869" max="14870" width="9.625" style="137" customWidth="1"/>
    <col min="14871" max="14871" width="9.25" style="137" bestFit="1" customWidth="1"/>
    <col min="14872" max="14872" width="11" style="137" bestFit="1" customWidth="1"/>
    <col min="14873" max="15105" width="9" style="137"/>
    <col min="15106" max="15106" width="4.625" style="137" bestFit="1" customWidth="1"/>
    <col min="15107" max="15107" width="7.5" style="137" bestFit="1" customWidth="1"/>
    <col min="15108" max="15108" width="6.25" style="137" customWidth="1"/>
    <col min="15109" max="15109" width="11" style="137" bestFit="1" customWidth="1"/>
    <col min="15110" max="15111" width="9.625" style="137" bestFit="1" customWidth="1"/>
    <col min="15112" max="15112" width="8.25" style="137" bestFit="1" customWidth="1"/>
    <col min="15113" max="15114" width="9.625" style="137" bestFit="1" customWidth="1"/>
    <col min="15115" max="15115" width="8.25" style="137" bestFit="1" customWidth="1"/>
    <col min="15116" max="15117" width="9.625" style="137" bestFit="1" customWidth="1"/>
    <col min="15118" max="15119" width="8.25" style="137" bestFit="1" customWidth="1"/>
    <col min="15120" max="15120" width="11" style="137" bestFit="1" customWidth="1"/>
    <col min="15121" max="15121" width="8" style="137" bestFit="1" customWidth="1"/>
    <col min="15122" max="15122" width="7.75" style="137" bestFit="1" customWidth="1"/>
    <col min="15123" max="15124" width="9.625" style="137" bestFit="1" customWidth="1"/>
    <col min="15125" max="15126" width="9.625" style="137" customWidth="1"/>
    <col min="15127" max="15127" width="9.25" style="137" bestFit="1" customWidth="1"/>
    <col min="15128" max="15128" width="11" style="137" bestFit="1" customWidth="1"/>
    <col min="15129" max="15361" width="9" style="137"/>
    <col min="15362" max="15362" width="4.625" style="137" bestFit="1" customWidth="1"/>
    <col min="15363" max="15363" width="7.5" style="137" bestFit="1" customWidth="1"/>
    <col min="15364" max="15364" width="6.25" style="137" customWidth="1"/>
    <col min="15365" max="15365" width="11" style="137" bestFit="1" customWidth="1"/>
    <col min="15366" max="15367" width="9.625" style="137" bestFit="1" customWidth="1"/>
    <col min="15368" max="15368" width="8.25" style="137" bestFit="1" customWidth="1"/>
    <col min="15369" max="15370" width="9.625" style="137" bestFit="1" customWidth="1"/>
    <col min="15371" max="15371" width="8.25" style="137" bestFit="1" customWidth="1"/>
    <col min="15372" max="15373" width="9.625" style="137" bestFit="1" customWidth="1"/>
    <col min="15374" max="15375" width="8.25" style="137" bestFit="1" customWidth="1"/>
    <col min="15376" max="15376" width="11" style="137" bestFit="1" customWidth="1"/>
    <col min="15377" max="15377" width="8" style="137" bestFit="1" customWidth="1"/>
    <col min="15378" max="15378" width="7.75" style="137" bestFit="1" customWidth="1"/>
    <col min="15379" max="15380" width="9.625" style="137" bestFit="1" customWidth="1"/>
    <col min="15381" max="15382" width="9.625" style="137" customWidth="1"/>
    <col min="15383" max="15383" width="9.25" style="137" bestFit="1" customWidth="1"/>
    <col min="15384" max="15384" width="11" style="137" bestFit="1" customWidth="1"/>
    <col min="15385" max="15617" width="9" style="137"/>
    <col min="15618" max="15618" width="4.625" style="137" bestFit="1" customWidth="1"/>
    <col min="15619" max="15619" width="7.5" style="137" bestFit="1" customWidth="1"/>
    <col min="15620" max="15620" width="6.25" style="137" customWidth="1"/>
    <col min="15621" max="15621" width="11" style="137" bestFit="1" customWidth="1"/>
    <col min="15622" max="15623" width="9.625" style="137" bestFit="1" customWidth="1"/>
    <col min="15624" max="15624" width="8.25" style="137" bestFit="1" customWidth="1"/>
    <col min="15625" max="15626" width="9.625" style="137" bestFit="1" customWidth="1"/>
    <col min="15627" max="15627" width="8.25" style="137" bestFit="1" customWidth="1"/>
    <col min="15628" max="15629" width="9.625" style="137" bestFit="1" customWidth="1"/>
    <col min="15630" max="15631" width="8.25" style="137" bestFit="1" customWidth="1"/>
    <col min="15632" max="15632" width="11" style="137" bestFit="1" customWidth="1"/>
    <col min="15633" max="15633" width="8" style="137" bestFit="1" customWidth="1"/>
    <col min="15634" max="15634" width="7.75" style="137" bestFit="1" customWidth="1"/>
    <col min="15635" max="15636" width="9.625" style="137" bestFit="1" customWidth="1"/>
    <col min="15637" max="15638" width="9.625" style="137" customWidth="1"/>
    <col min="15639" max="15639" width="9.25" style="137" bestFit="1" customWidth="1"/>
    <col min="15640" max="15640" width="11" style="137" bestFit="1" customWidth="1"/>
    <col min="15641" max="15873" width="9" style="137"/>
    <col min="15874" max="15874" width="4.625" style="137" bestFit="1" customWidth="1"/>
    <col min="15875" max="15875" width="7.5" style="137" bestFit="1" customWidth="1"/>
    <col min="15876" max="15876" width="6.25" style="137" customWidth="1"/>
    <col min="15877" max="15877" width="11" style="137" bestFit="1" customWidth="1"/>
    <col min="15878" max="15879" width="9.625" style="137" bestFit="1" customWidth="1"/>
    <col min="15880" max="15880" width="8.25" style="137" bestFit="1" customWidth="1"/>
    <col min="15881" max="15882" width="9.625" style="137" bestFit="1" customWidth="1"/>
    <col min="15883" max="15883" width="8.25" style="137" bestFit="1" customWidth="1"/>
    <col min="15884" max="15885" width="9.625" style="137" bestFit="1" customWidth="1"/>
    <col min="15886" max="15887" width="8.25" style="137" bestFit="1" customWidth="1"/>
    <col min="15888" max="15888" width="11" style="137" bestFit="1" customWidth="1"/>
    <col min="15889" max="15889" width="8" style="137" bestFit="1" customWidth="1"/>
    <col min="15890" max="15890" width="7.75" style="137" bestFit="1" customWidth="1"/>
    <col min="15891" max="15892" width="9.625" style="137" bestFit="1" customWidth="1"/>
    <col min="15893" max="15894" width="9.625" style="137" customWidth="1"/>
    <col min="15895" max="15895" width="9.25" style="137" bestFit="1" customWidth="1"/>
    <col min="15896" max="15896" width="11" style="137" bestFit="1" customWidth="1"/>
    <col min="15897" max="16129" width="9" style="137"/>
    <col min="16130" max="16130" width="4.625" style="137" bestFit="1" customWidth="1"/>
    <col min="16131" max="16131" width="7.5" style="137" bestFit="1" customWidth="1"/>
    <col min="16132" max="16132" width="6.25" style="137" customWidth="1"/>
    <col min="16133" max="16133" width="11" style="137" bestFit="1" customWidth="1"/>
    <col min="16134" max="16135" width="9.625" style="137" bestFit="1" customWidth="1"/>
    <col min="16136" max="16136" width="8.25" style="137" bestFit="1" customWidth="1"/>
    <col min="16137" max="16138" width="9.625" style="137" bestFit="1" customWidth="1"/>
    <col min="16139" max="16139" width="8.25" style="137" bestFit="1" customWidth="1"/>
    <col min="16140" max="16141" width="9.625" style="137" bestFit="1" customWidth="1"/>
    <col min="16142" max="16143" width="8.25" style="137" bestFit="1" customWidth="1"/>
    <col min="16144" max="16144" width="11" style="137" bestFit="1" customWidth="1"/>
    <col min="16145" max="16145" width="8" style="137" bestFit="1" customWidth="1"/>
    <col min="16146" max="16146" width="7.75" style="137" bestFit="1" customWidth="1"/>
    <col min="16147" max="16148" width="9.625" style="137" bestFit="1" customWidth="1"/>
    <col min="16149" max="16150" width="9.625" style="137" customWidth="1"/>
    <col min="16151" max="16151" width="9.25" style="137" bestFit="1" customWidth="1"/>
    <col min="16152" max="16152" width="11" style="137" bestFit="1" customWidth="1"/>
    <col min="16153" max="16384" width="9" style="137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142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38"/>
      <c r="V4" s="252"/>
      <c r="W4" s="252"/>
      <c r="X4" s="252"/>
    </row>
    <row r="5" spans="2:29" ht="20.25" customHeight="1" x14ac:dyDescent="0.3">
      <c r="B5" s="253" t="s">
        <v>147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39"/>
      <c r="Q5" s="69"/>
      <c r="R5" s="69"/>
      <c r="S5" s="69"/>
      <c r="T5" s="252"/>
      <c r="U5" s="13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99</v>
      </c>
      <c r="F7" s="243"/>
      <c r="G7" s="243"/>
      <c r="H7" s="243"/>
      <c r="I7" s="243"/>
      <c r="J7" s="243"/>
      <c r="K7" s="243"/>
      <c r="L7" s="243"/>
      <c r="M7" s="243"/>
      <c r="N7" s="242" t="s">
        <v>100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101</v>
      </c>
      <c r="AA7" s="250" t="s">
        <v>102</v>
      </c>
      <c r="AC7" s="234" t="s">
        <v>103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104</v>
      </c>
      <c r="G8" s="81" t="s">
        <v>105</v>
      </c>
      <c r="H8" s="81" t="s">
        <v>106</v>
      </c>
      <c r="I8" s="81" t="s">
        <v>77</v>
      </c>
      <c r="J8" s="82" t="s">
        <v>107</v>
      </c>
      <c r="K8" s="82" t="s">
        <v>108</v>
      </c>
      <c r="L8" s="82" t="s">
        <v>109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s="140" customFormat="1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5" si="0">SUM(E9:O9)</f>
        <v>2500000</v>
      </c>
      <c r="Q9" s="94">
        <f t="shared" ref="Q9:Q15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15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0" si="3">IFERROR(ROUNDDOWN((P9-AC9)*3.43%,-1),)</f>
        <v>75460</v>
      </c>
      <c r="U9" s="96">
        <f t="shared" ref="U9:U20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15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s="140" customFormat="1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4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s="140" customFormat="1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>
        <f t="shared" si="8"/>
        <v>99000</v>
      </c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229290</v>
      </c>
      <c r="X11" s="128">
        <f t="shared" si="7"/>
        <v>2270710</v>
      </c>
      <c r="Z11" s="98">
        <v>1</v>
      </c>
      <c r="AA11" s="99"/>
      <c r="AC11" s="100">
        <f t="shared" si="9"/>
        <v>300000</v>
      </c>
    </row>
    <row r="12" spans="2:29" s="140" customFormat="1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>
        <f>[1]직원인적급여카드!M5</f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f t="shared" si="0"/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s="140" customFormat="1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s="140" customFormat="1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>
        <f t="shared" si="8"/>
        <v>99000</v>
      </c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229290</v>
      </c>
      <c r="X14" s="128">
        <f t="shared" si="7"/>
        <v>2270710</v>
      </c>
      <c r="Z14" s="98">
        <v>1</v>
      </c>
      <c r="AA14" s="99"/>
      <c r="AC14" s="100">
        <f>IF(N15&gt;=100000,100000,N15)+IF(O14&gt;=200000,200000,O14)</f>
        <v>300000</v>
      </c>
    </row>
    <row r="15" spans="2:29" s="140" customFormat="1" ht="20.100000000000001" customHeight="1" x14ac:dyDescent="0.3">
      <c r="B15" s="101">
        <v>7</v>
      </c>
      <c r="C15" s="87" t="str">
        <f>[1]직원인적급여카드!B8</f>
        <v>이일복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95"/>
      <c r="T15" s="95">
        <f t="shared" si="3"/>
        <v>75460</v>
      </c>
      <c r="U15" s="96">
        <f t="shared" si="4"/>
        <v>8690</v>
      </c>
      <c r="V15" s="96">
        <f t="shared" ref="V15" si="10">IFERROR(IF(D15&lt;&gt;"대표이사",ROUNDDOWN((P15-AC15)*고용보험율,-1),0),)</f>
        <v>17600</v>
      </c>
      <c r="W15" s="93">
        <f t="shared" ref="W15" si="11">SUM(Q15:V15)</f>
        <v>130290</v>
      </c>
      <c r="X15" s="97">
        <f t="shared" si="7"/>
        <v>2369710</v>
      </c>
      <c r="Z15" s="98">
        <v>1</v>
      </c>
      <c r="AA15" s="99"/>
      <c r="AC15" s="100">
        <f t="shared" ref="AC15" si="12">IF(N15&gt;=100000,100000,N15)+IF(O15&gt;=200000,200000,O15)</f>
        <v>300000</v>
      </c>
    </row>
    <row r="16" spans="2:29" s="140" customFormat="1" ht="20.100000000000001" customHeight="1" x14ac:dyDescent="0.3">
      <c r="B16" s="101">
        <v>8</v>
      </c>
      <c r="C16" s="87" t="s">
        <v>44</v>
      </c>
      <c r="D16" s="88" t="s">
        <v>45</v>
      </c>
      <c r="E16" s="89"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04">
        <v>200000</v>
      </c>
      <c r="P16" s="93">
        <f t="shared" ref="P16:P20" si="13">SUM(E16:O16)</f>
        <v>2500000</v>
      </c>
      <c r="Q16" s="94">
        <f t="shared" ref="Q16:Q20" si="14">IFERROR(IF(P16-AC16&lt;=10000000,VLOOKUP((P16-AC16)/1000,간이세액표,IF(11&lt;Z16+AA16,13,2+Z16+AA16),TRUE),IF(P16-AC16&gt;14000000,VLOOKUP((P16-AC16)/1000,간이세액표,IF(11&lt;Z16+AA16,13,2+Z16+AA16),TRUE)+1372000+ROUNDDOWN(((P16-AC16-14000000)*98%)*38%,-1),VLOOKUP((P16-AC16)/1000,간이세액표,IF(11&lt;Z16+AA16,13,2+Z16+AA16),TRUE)+ROUNDDOWN(((P16-AC16-10000000)*98%)*35%,-1))),)</f>
        <v>25950</v>
      </c>
      <c r="R16" s="95">
        <f t="shared" ref="R16:R20" si="15">ROUNDDOWN(Q16*10%,-1)</f>
        <v>2590</v>
      </c>
      <c r="S16" s="95">
        <f t="shared" ref="S16" si="16">IFERROR(IF(AND(P16-AC16&gt;=월액최저,P16-AC16&lt;=월액최고),ROUNDDOWN((P16-AC16)*국민연금,-1),IF(P16-AC16&gt;=월액최고,최고연금,IF(AND(P16-AC16&lt;=월액최저,P16-AC16&gt;=1),최저연금,))),)</f>
        <v>99000</v>
      </c>
      <c r="T16" s="95">
        <f t="shared" si="3"/>
        <v>75460</v>
      </c>
      <c r="U16" s="96">
        <f t="shared" si="4"/>
        <v>8690</v>
      </c>
      <c r="V16" s="96">
        <f t="shared" ref="V16" si="17">IFERROR(IF(D16&lt;&gt;"대표이사",ROUNDDOWN((P16-AC16)*고용보험율,-1),0),)</f>
        <v>17600</v>
      </c>
      <c r="W16" s="93">
        <f t="shared" ref="W16" si="18">SUM(Q16:V16)</f>
        <v>229290</v>
      </c>
      <c r="X16" s="97">
        <f t="shared" ref="X16:X20" si="19">P16-W16</f>
        <v>2270710</v>
      </c>
      <c r="Z16" s="98">
        <v>1</v>
      </c>
      <c r="AA16" s="99"/>
      <c r="AC16" s="100">
        <f t="shared" ref="AC16" si="20">IF(N16&gt;=100000,100000,N16)+IF(O16&gt;=200000,200000,O16)</f>
        <v>300000</v>
      </c>
    </row>
    <row r="17" spans="2:29" ht="20.100000000000001" customHeight="1" x14ac:dyDescent="0.3">
      <c r="B17" s="101">
        <v>9</v>
      </c>
      <c r="C17" s="87" t="s">
        <v>143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" si="21">SUM(E17:O17)</f>
        <v>2500000</v>
      </c>
      <c r="Q17" s="125">
        <f t="shared" ref="Q17" si="22">IFERROR(IF(P17-AC17&lt;=10000000,VLOOKUP((P17-AC17)/1000,간이세액표,IF(11&lt;Z17+AA17,13,2+Z17+AA17),TRUE),IF(P17-AC17&gt;14000000,VLOOKUP((P17-AC17)/1000,간이세액표,IF(11&lt;Z17+AA17,13,2+Z17+AA17),TRUE)+1372000+ROUNDDOWN(((P17-AC17-14000000)*98%)*38%,-1),VLOOKUP((P17-AC17)/1000,간이세액표,IF(11&lt;Z17+AA17,13,2+Z17+AA17),TRUE)+ROUNDDOWN(((P17-AC17-10000000)*98%)*35%,-1))),)</f>
        <v>25950</v>
      </c>
      <c r="R17" s="126">
        <f t="shared" ref="R17" si="23">ROUNDDOWN(Q17*10%,-1)</f>
        <v>2590</v>
      </c>
      <c r="S17" s="126">
        <f t="shared" ref="S17" si="24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ref="V17" si="25">IFERROR(IF(D17&lt;&gt;"대표이사",ROUNDDOWN((P17-AC17)*고용보험율,-1),0),)</f>
        <v>17600</v>
      </c>
      <c r="W17" s="124">
        <f t="shared" ref="W17" si="26">SUM(Q17:V17)</f>
        <v>229290</v>
      </c>
      <c r="X17" s="128">
        <f t="shared" ref="X17" si="27">P17-W17</f>
        <v>2270710</v>
      </c>
      <c r="Z17" s="98">
        <v>1</v>
      </c>
      <c r="AA17" s="99"/>
      <c r="AC17" s="100">
        <f t="shared" ref="AC17:AC20" si="28">IF(N17&gt;=100000,100000,N17)+IF(O17&gt;=200000,200000,O17)</f>
        <v>300000</v>
      </c>
    </row>
    <row r="18" spans="2:29" ht="20.100000000000001" customHeight="1" x14ac:dyDescent="0.3">
      <c r="B18" s="101">
        <v>10</v>
      </c>
      <c r="C18" s="87" t="s">
        <v>117</v>
      </c>
      <c r="D18" s="88" t="s">
        <v>118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3"/>
        <v>2500000</v>
      </c>
      <c r="Q18" s="125">
        <f t="shared" si="14"/>
        <v>25950</v>
      </c>
      <c r="R18" s="126">
        <f t="shared" si="15"/>
        <v>2590</v>
      </c>
      <c r="S18" s="126">
        <f t="shared" ref="S18:S20" si="29">IFERROR(IF(AND(P18-AC18&gt;=월액최저,P18-AC18&lt;=월액최고),ROUNDDOWN((P18-AC18)*국민연금,-1),IF(P18-AC18&gt;=월액최고,최고연금,IF(AND(P18-AC18&lt;=월액최저,P18-AC18&gt;=1),최저연금,))),)</f>
        <v>99000</v>
      </c>
      <c r="T18" s="95">
        <f t="shared" si="3"/>
        <v>75460</v>
      </c>
      <c r="U18" s="96">
        <f t="shared" si="4"/>
        <v>8690</v>
      </c>
      <c r="V18" s="127">
        <f t="shared" ref="V18:V20" si="30">IFERROR(IF(D18&lt;&gt;"대표이사",ROUNDDOWN((P18-AC18)*고용보험율,-1),0),)</f>
        <v>17600</v>
      </c>
      <c r="W18" s="124">
        <f t="shared" ref="W18:W20" si="31">SUM(Q18:V18)</f>
        <v>229290</v>
      </c>
      <c r="X18" s="128">
        <f t="shared" si="19"/>
        <v>2270710</v>
      </c>
      <c r="Z18" s="98">
        <v>1</v>
      </c>
      <c r="AA18" s="99"/>
      <c r="AC18" s="100">
        <f t="shared" si="28"/>
        <v>300000</v>
      </c>
    </row>
    <row r="19" spans="2:29" ht="20.100000000000001" customHeight="1" x14ac:dyDescent="0.3">
      <c r="B19" s="101">
        <v>11</v>
      </c>
      <c r="C19" s="87" t="s">
        <v>119</v>
      </c>
      <c r="D19" s="88" t="s">
        <v>50</v>
      </c>
      <c r="E19" s="89">
        <v>2100000</v>
      </c>
      <c r="F19" s="106"/>
      <c r="G19" s="106"/>
      <c r="H19" s="106"/>
      <c r="I19" s="106"/>
      <c r="J19" s="107"/>
      <c r="K19" s="107"/>
      <c r="L19" s="107"/>
      <c r="M19" s="107"/>
      <c r="N19" s="89">
        <v>200000</v>
      </c>
      <c r="O19" s="130">
        <v>200000</v>
      </c>
      <c r="P19" s="124">
        <f t="shared" si="13"/>
        <v>2500000</v>
      </c>
      <c r="Q19" s="125">
        <f t="shared" si="14"/>
        <v>25950</v>
      </c>
      <c r="R19" s="126">
        <f t="shared" si="15"/>
        <v>2590</v>
      </c>
      <c r="S19" s="126"/>
      <c r="T19" s="95">
        <f t="shared" si="3"/>
        <v>75460</v>
      </c>
      <c r="U19" s="96">
        <f t="shared" si="4"/>
        <v>8690</v>
      </c>
      <c r="V19" s="127">
        <f t="shared" si="30"/>
        <v>17600</v>
      </c>
      <c r="W19" s="124">
        <f t="shared" si="31"/>
        <v>130290</v>
      </c>
      <c r="X19" s="128">
        <f t="shared" si="19"/>
        <v>2369710</v>
      </c>
      <c r="Z19" s="98">
        <v>1</v>
      </c>
      <c r="AA19" s="99"/>
      <c r="AC19" s="100">
        <f t="shared" si="28"/>
        <v>300000</v>
      </c>
    </row>
    <row r="20" spans="2:29" ht="20.100000000000001" customHeight="1" x14ac:dyDescent="0.3">
      <c r="B20" s="101">
        <v>12</v>
      </c>
      <c r="C20" s="87" t="s">
        <v>132</v>
      </c>
      <c r="D20" s="88" t="s">
        <v>133</v>
      </c>
      <c r="E20" s="89">
        <v>2100000</v>
      </c>
      <c r="F20" s="106"/>
      <c r="G20" s="106"/>
      <c r="H20" s="106"/>
      <c r="I20" s="106"/>
      <c r="J20" s="107"/>
      <c r="K20" s="107"/>
      <c r="L20" s="107"/>
      <c r="M20" s="107"/>
      <c r="N20" s="89">
        <v>200000</v>
      </c>
      <c r="O20" s="130">
        <v>200000</v>
      </c>
      <c r="P20" s="124">
        <f t="shared" si="13"/>
        <v>2500000</v>
      </c>
      <c r="Q20" s="125">
        <f t="shared" si="14"/>
        <v>25950</v>
      </c>
      <c r="R20" s="126">
        <f t="shared" si="15"/>
        <v>2590</v>
      </c>
      <c r="S20" s="126">
        <f t="shared" si="29"/>
        <v>99000</v>
      </c>
      <c r="T20" s="95">
        <f t="shared" si="3"/>
        <v>75460</v>
      </c>
      <c r="U20" s="96">
        <f t="shared" si="4"/>
        <v>8690</v>
      </c>
      <c r="V20" s="127">
        <f t="shared" si="30"/>
        <v>17600</v>
      </c>
      <c r="W20" s="124">
        <f t="shared" si="31"/>
        <v>229290</v>
      </c>
      <c r="X20" s="128">
        <f t="shared" si="19"/>
        <v>2270710</v>
      </c>
      <c r="Z20" s="98">
        <v>1</v>
      </c>
      <c r="AA20" s="99"/>
      <c r="AC20" s="100">
        <f t="shared" si="28"/>
        <v>300000</v>
      </c>
    </row>
    <row r="21" spans="2:29" ht="20.100000000000001" customHeight="1" x14ac:dyDescent="0.3">
      <c r="B21" s="216" t="s">
        <v>120</v>
      </c>
      <c r="C21" s="217"/>
      <c r="D21" s="218"/>
      <c r="E21" s="131">
        <f t="shared" ref="E21:X21" si="32">SUM(E9:E20)</f>
        <v>25200000</v>
      </c>
      <c r="F21" s="132">
        <f t="shared" si="32"/>
        <v>0</v>
      </c>
      <c r="G21" s="132">
        <f t="shared" si="32"/>
        <v>0</v>
      </c>
      <c r="H21" s="132">
        <f t="shared" si="32"/>
        <v>0</v>
      </c>
      <c r="I21" s="132">
        <f t="shared" si="32"/>
        <v>0</v>
      </c>
      <c r="J21" s="132">
        <f t="shared" si="32"/>
        <v>0</v>
      </c>
      <c r="K21" s="132">
        <f t="shared" si="32"/>
        <v>0</v>
      </c>
      <c r="L21" s="132">
        <f t="shared" si="32"/>
        <v>0</v>
      </c>
      <c r="M21" s="133">
        <f t="shared" si="32"/>
        <v>0</v>
      </c>
      <c r="N21" s="131">
        <f t="shared" si="32"/>
        <v>2400000</v>
      </c>
      <c r="O21" s="134">
        <f t="shared" si="32"/>
        <v>2400000</v>
      </c>
      <c r="P21" s="135">
        <f t="shared" si="32"/>
        <v>30000000</v>
      </c>
      <c r="Q21" s="131">
        <f t="shared" si="32"/>
        <v>311400</v>
      </c>
      <c r="R21" s="132">
        <f t="shared" si="32"/>
        <v>31080</v>
      </c>
      <c r="S21" s="132">
        <f t="shared" si="32"/>
        <v>891000</v>
      </c>
      <c r="T21" s="132">
        <f t="shared" si="32"/>
        <v>905520</v>
      </c>
      <c r="U21" s="133">
        <f t="shared" si="32"/>
        <v>104280</v>
      </c>
      <c r="V21" s="133">
        <f t="shared" si="32"/>
        <v>211200</v>
      </c>
      <c r="W21" s="135">
        <f t="shared" si="32"/>
        <v>2454480</v>
      </c>
      <c r="X21" s="136">
        <f t="shared" si="32"/>
        <v>27545520</v>
      </c>
    </row>
    <row r="22" spans="2:29" ht="20.25" customHeight="1" thickBot="1" x14ac:dyDescent="0.35">
      <c r="B22" s="219" t="s">
        <v>121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</row>
    <row r="23" spans="2:29" ht="15" customHeight="1" x14ac:dyDescent="0.3">
      <c r="B23" s="118"/>
      <c r="C23" s="119" t="s">
        <v>122</v>
      </c>
      <c r="D23" s="220" t="s">
        <v>123</v>
      </c>
      <c r="E23" s="221"/>
      <c r="F23" s="220" t="s">
        <v>124</v>
      </c>
      <c r="G23" s="221"/>
      <c r="H23" s="222" t="s">
        <v>95</v>
      </c>
      <c r="I23" s="223"/>
      <c r="J23" s="223"/>
      <c r="K23" s="223"/>
      <c r="L23" s="223"/>
      <c r="M23" s="223"/>
      <c r="N23" s="223"/>
      <c r="O23" s="223"/>
      <c r="P23" s="224"/>
      <c r="Q23" s="64"/>
      <c r="R23" s="64"/>
      <c r="S23" s="64"/>
      <c r="T23" s="64"/>
      <c r="U23" s="64"/>
      <c r="V23" s="64"/>
    </row>
    <row r="24" spans="2:29" ht="15" customHeight="1" x14ac:dyDescent="0.3">
      <c r="B24" s="225" t="s">
        <v>96</v>
      </c>
      <c r="C24" s="120" t="s">
        <v>143</v>
      </c>
      <c r="D24" s="197" t="s">
        <v>144</v>
      </c>
      <c r="E24" s="198"/>
      <c r="F24" s="204" t="s">
        <v>145</v>
      </c>
      <c r="G24" s="205"/>
      <c r="H24" s="206"/>
      <c r="I24" s="207"/>
      <c r="J24" s="207"/>
      <c r="K24" s="207"/>
      <c r="L24" s="207"/>
      <c r="M24" s="207"/>
      <c r="N24" s="207"/>
      <c r="O24" s="207"/>
      <c r="P24" s="208"/>
      <c r="Q24" s="64"/>
      <c r="R24" s="64"/>
      <c r="S24" s="64"/>
      <c r="T24" s="64"/>
      <c r="U24" s="64"/>
      <c r="V24" s="64"/>
    </row>
    <row r="25" spans="2:29" ht="15" customHeight="1" x14ac:dyDescent="0.3">
      <c r="B25" s="195"/>
      <c r="C25" s="120"/>
      <c r="D25" s="197"/>
      <c r="E25" s="198"/>
      <c r="F25" s="204"/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thickBot="1" x14ac:dyDescent="0.35">
      <c r="B26" s="226"/>
      <c r="C26" s="121"/>
      <c r="D26" s="227"/>
      <c r="E26" s="228"/>
      <c r="F26" s="229"/>
      <c r="G26" s="230"/>
      <c r="H26" s="231"/>
      <c r="I26" s="232"/>
      <c r="J26" s="232"/>
      <c r="K26" s="232"/>
      <c r="L26" s="232"/>
      <c r="M26" s="232"/>
      <c r="N26" s="232"/>
      <c r="O26" s="232"/>
      <c r="P26" s="233"/>
      <c r="Q26" s="64"/>
      <c r="R26" s="64"/>
      <c r="S26" s="64"/>
      <c r="T26" s="64"/>
      <c r="U26" s="64"/>
      <c r="V26" s="64"/>
    </row>
    <row r="27" spans="2:29" ht="15" customHeight="1" thickTop="1" x14ac:dyDescent="0.3">
      <c r="B27" s="195" t="s">
        <v>97</v>
      </c>
      <c r="C27" s="120"/>
      <c r="D27" s="197"/>
      <c r="E27" s="198"/>
      <c r="F27" s="199"/>
      <c r="G27" s="200"/>
      <c r="H27" s="201"/>
      <c r="I27" s="202"/>
      <c r="J27" s="202"/>
      <c r="K27" s="202"/>
      <c r="L27" s="202"/>
      <c r="M27" s="202"/>
      <c r="N27" s="202"/>
      <c r="O27" s="202"/>
      <c r="P27" s="203"/>
      <c r="Q27" s="64"/>
      <c r="R27" s="64"/>
      <c r="S27" s="64"/>
      <c r="T27" s="64"/>
      <c r="U27" s="64"/>
      <c r="V27" s="64"/>
    </row>
    <row r="28" spans="2:29" ht="15" customHeight="1" x14ac:dyDescent="0.3">
      <c r="B28" s="195"/>
      <c r="C28" s="120"/>
      <c r="D28" s="197"/>
      <c r="E28" s="198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thickBot="1" x14ac:dyDescent="0.35">
      <c r="B29" s="196"/>
      <c r="C29" s="122"/>
      <c r="D29" s="209"/>
      <c r="E29" s="210"/>
      <c r="F29" s="211"/>
      <c r="G29" s="212"/>
      <c r="H29" s="213"/>
      <c r="I29" s="214"/>
      <c r="J29" s="214"/>
      <c r="K29" s="214"/>
      <c r="L29" s="214"/>
      <c r="M29" s="214"/>
      <c r="N29" s="214"/>
      <c r="O29" s="214"/>
      <c r="P29" s="215"/>
      <c r="Q29" s="64"/>
      <c r="R29" s="64"/>
      <c r="S29" s="64"/>
      <c r="T29" s="64"/>
      <c r="U29" s="64"/>
      <c r="V29" s="64"/>
    </row>
    <row r="30" spans="2:29" ht="20.100000000000001" customHeight="1" x14ac:dyDescent="0.3">
      <c r="Q30" s="64"/>
      <c r="R30" s="64"/>
      <c r="S30" s="64"/>
      <c r="T30" s="64"/>
      <c r="U30" s="64"/>
      <c r="V30" s="64"/>
    </row>
    <row r="31" spans="2:29" s="64" customFormat="1" ht="20.100000000000001" customHeight="1" x14ac:dyDescent="0.3">
      <c r="B31" s="137"/>
      <c r="C31" s="137"/>
      <c r="D31" s="137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2:29" s="64" customFormat="1" ht="20.100000000000001" customHeight="1" x14ac:dyDescent="0.3">
      <c r="B32" s="137"/>
      <c r="C32" s="137"/>
      <c r="D32" s="137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137"/>
      <c r="C33" s="137"/>
      <c r="D33" s="137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137"/>
      <c r="C34" s="137"/>
      <c r="D34" s="137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137"/>
      <c r="C35" s="137"/>
      <c r="D35" s="137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137"/>
      <c r="C36" s="137"/>
      <c r="D36" s="137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137"/>
      <c r="C37" s="137"/>
      <c r="D37" s="137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137"/>
      <c r="C38" s="137"/>
      <c r="D38" s="137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137"/>
      <c r="C39" s="137"/>
      <c r="D39" s="137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137"/>
      <c r="C40" s="137"/>
      <c r="D40" s="137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137"/>
      <c r="C41" s="137"/>
      <c r="D41" s="137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137"/>
      <c r="C42" s="137"/>
      <c r="D42" s="137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137"/>
      <c r="C43" s="137"/>
      <c r="D43" s="137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137"/>
      <c r="C44" s="137"/>
      <c r="D44" s="137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137"/>
      <c r="C45" s="137"/>
      <c r="D45" s="137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137"/>
      <c r="C46" s="137"/>
      <c r="D46" s="137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137"/>
      <c r="C47" s="137"/>
      <c r="D47" s="137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137"/>
      <c r="C48" s="137"/>
      <c r="D48" s="137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37"/>
      <c r="C49" s="137"/>
      <c r="D49" s="137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37"/>
      <c r="C50" s="137"/>
      <c r="D50" s="137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37"/>
      <c r="C51" s="137"/>
      <c r="D51" s="137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37"/>
      <c r="C52" s="137"/>
      <c r="D52" s="137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37"/>
      <c r="C53" s="137"/>
      <c r="D53" s="137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37"/>
      <c r="C54" s="137"/>
      <c r="D54" s="137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37"/>
      <c r="C55" s="137"/>
      <c r="D55" s="137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37"/>
      <c r="C56" s="137"/>
      <c r="D56" s="137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37"/>
      <c r="C57" s="137"/>
      <c r="D57" s="137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37"/>
      <c r="C58" s="137"/>
      <c r="D58" s="137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37"/>
      <c r="C59" s="137"/>
      <c r="D59" s="137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37"/>
      <c r="C60" s="137"/>
      <c r="D60" s="137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37"/>
      <c r="C61" s="137"/>
      <c r="D61" s="137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37"/>
      <c r="C62" s="137"/>
      <c r="D62" s="137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37"/>
      <c r="C63" s="137"/>
      <c r="D63" s="137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37"/>
      <c r="C64" s="137"/>
      <c r="D64" s="137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37"/>
      <c r="C65" s="137"/>
      <c r="D65" s="137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37"/>
      <c r="C66" s="137"/>
      <c r="D66" s="137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37"/>
      <c r="C67" s="137"/>
      <c r="D67" s="137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37"/>
      <c r="C68" s="137"/>
      <c r="D68" s="137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37"/>
      <c r="C69" s="137"/>
      <c r="D69" s="137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37"/>
      <c r="C70" s="137"/>
      <c r="D70" s="137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37"/>
      <c r="C71" s="137"/>
      <c r="D71" s="137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37"/>
      <c r="C72" s="137"/>
      <c r="D72" s="137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37"/>
      <c r="C73" s="137"/>
      <c r="D73" s="137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37"/>
      <c r="C74" s="137"/>
      <c r="D74" s="137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37"/>
      <c r="C75" s="137"/>
      <c r="D75" s="137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37"/>
      <c r="C76" s="137"/>
      <c r="D76" s="137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37"/>
      <c r="C77" s="137"/>
      <c r="D77" s="137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37"/>
      <c r="C78" s="137"/>
      <c r="D78" s="137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37"/>
      <c r="C79" s="137"/>
      <c r="D79" s="137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37"/>
      <c r="C80" s="137"/>
      <c r="D80" s="137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37"/>
      <c r="C81" s="137"/>
      <c r="D81" s="137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37"/>
      <c r="C82" s="137"/>
      <c r="D82" s="137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37"/>
      <c r="C83" s="137"/>
      <c r="D83" s="137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37"/>
      <c r="C84" s="137"/>
      <c r="D84" s="137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37"/>
      <c r="C85" s="137"/>
      <c r="D85" s="137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37"/>
      <c r="C86" s="137"/>
      <c r="D86" s="137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37"/>
      <c r="C87" s="137"/>
      <c r="D87" s="137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37"/>
      <c r="C88" s="137"/>
      <c r="D88" s="137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37"/>
      <c r="C89" s="137"/>
      <c r="D89" s="137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37"/>
      <c r="C90" s="137"/>
      <c r="D90" s="137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37"/>
      <c r="C91" s="137"/>
      <c r="D91" s="137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37"/>
      <c r="C92" s="137"/>
      <c r="D92" s="137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37"/>
      <c r="C93" s="137"/>
      <c r="D93" s="137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37"/>
      <c r="C94" s="137"/>
      <c r="D94" s="137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37"/>
      <c r="C95" s="137"/>
      <c r="D95" s="137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37"/>
      <c r="C96" s="137"/>
      <c r="D96" s="137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37"/>
      <c r="C97" s="137"/>
      <c r="D97" s="137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37"/>
      <c r="C98" s="137"/>
      <c r="D98" s="137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37"/>
      <c r="C99" s="137"/>
      <c r="D99" s="137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37"/>
      <c r="C100" s="137"/>
      <c r="D100" s="137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37"/>
      <c r="C101" s="137"/>
      <c r="D101" s="137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37"/>
      <c r="C102" s="137"/>
      <c r="D102" s="137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37"/>
      <c r="C103" s="137"/>
      <c r="D103" s="137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37"/>
      <c r="C104" s="137"/>
      <c r="D104" s="137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37"/>
      <c r="C105" s="137"/>
      <c r="D105" s="137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37"/>
      <c r="C106" s="137"/>
      <c r="D106" s="137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37"/>
      <c r="C107" s="137"/>
      <c r="D107" s="137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37"/>
      <c r="C108" s="137"/>
      <c r="D108" s="137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37"/>
      <c r="C109" s="137"/>
      <c r="D109" s="137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37"/>
      <c r="C110" s="137"/>
      <c r="D110" s="137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37"/>
      <c r="C111" s="137"/>
      <c r="D111" s="137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37"/>
      <c r="C112" s="137"/>
      <c r="D112" s="137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37"/>
      <c r="C113" s="137"/>
      <c r="D113" s="137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37"/>
      <c r="C114" s="137"/>
      <c r="D114" s="137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37"/>
      <c r="C115" s="137"/>
      <c r="D115" s="137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37"/>
      <c r="C116" s="137"/>
      <c r="D116" s="137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37"/>
      <c r="C117" s="137"/>
      <c r="D117" s="137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37"/>
      <c r="C118" s="137"/>
      <c r="D118" s="137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37"/>
      <c r="C119" s="137"/>
      <c r="D119" s="137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37"/>
      <c r="C120" s="137"/>
      <c r="D120" s="137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37"/>
      <c r="C121" s="137"/>
      <c r="D121" s="137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37"/>
      <c r="C122" s="137"/>
      <c r="D122" s="137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37"/>
      <c r="C123" s="137"/>
      <c r="D123" s="137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37"/>
      <c r="C124" s="137"/>
      <c r="D124" s="137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37"/>
      <c r="C125" s="137"/>
      <c r="D125" s="137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37"/>
      <c r="C126" s="137"/>
      <c r="D126" s="137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37"/>
      <c r="C127" s="137"/>
      <c r="D127" s="137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37"/>
      <c r="C128" s="137"/>
      <c r="D128" s="137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37"/>
      <c r="C129" s="137"/>
      <c r="D129" s="137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37"/>
      <c r="C130" s="137"/>
      <c r="D130" s="137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37"/>
      <c r="C131" s="137"/>
      <c r="D131" s="137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37"/>
      <c r="C132" s="137"/>
      <c r="D132" s="137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37"/>
      <c r="C133" s="137"/>
      <c r="D133" s="137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37"/>
      <c r="C134" s="137"/>
      <c r="D134" s="137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37"/>
      <c r="C135" s="137"/>
      <c r="D135" s="137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37"/>
      <c r="C136" s="137"/>
      <c r="D136" s="137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37"/>
      <c r="C137" s="137"/>
      <c r="D137" s="137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37"/>
      <c r="C138" s="137"/>
      <c r="D138" s="137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37"/>
      <c r="C139" s="137"/>
      <c r="D139" s="137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37"/>
      <c r="C140" s="137"/>
      <c r="D140" s="137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37"/>
      <c r="C141" s="137"/>
      <c r="D141" s="137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37"/>
      <c r="C142" s="137"/>
      <c r="D142" s="137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37"/>
      <c r="C143" s="137"/>
      <c r="D143" s="137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37"/>
      <c r="C144" s="137"/>
      <c r="D144" s="137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37"/>
      <c r="C145" s="137"/>
      <c r="D145" s="137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37"/>
      <c r="C146" s="137"/>
      <c r="D146" s="137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37"/>
      <c r="C147" s="137"/>
      <c r="D147" s="137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37"/>
      <c r="C148" s="137"/>
      <c r="D148" s="137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37"/>
      <c r="C149" s="137"/>
      <c r="D149" s="137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37"/>
      <c r="C150" s="137"/>
      <c r="D150" s="137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37"/>
      <c r="C151" s="137"/>
      <c r="D151" s="137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37"/>
      <c r="C152" s="137"/>
      <c r="D152" s="137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37"/>
      <c r="C153" s="137"/>
      <c r="D153" s="137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37"/>
      <c r="C154" s="137"/>
      <c r="D154" s="137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37"/>
      <c r="C155" s="137"/>
      <c r="D155" s="137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37"/>
      <c r="C156" s="137"/>
      <c r="D156" s="137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37"/>
      <c r="C157" s="137"/>
      <c r="D157" s="137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37"/>
      <c r="C158" s="137"/>
      <c r="D158" s="137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37"/>
      <c r="C159" s="137"/>
      <c r="D159" s="137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37"/>
      <c r="C160" s="137"/>
      <c r="D160" s="137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37"/>
      <c r="C161" s="137"/>
      <c r="D161" s="137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37"/>
      <c r="C162" s="137"/>
      <c r="D162" s="137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37"/>
      <c r="C163" s="137"/>
      <c r="D163" s="137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37"/>
      <c r="C164" s="137"/>
      <c r="D164" s="137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37"/>
      <c r="C165" s="137"/>
      <c r="D165" s="137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37"/>
      <c r="C166" s="137"/>
      <c r="D166" s="137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37"/>
      <c r="C167" s="137"/>
      <c r="D167" s="137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37"/>
      <c r="C168" s="137"/>
      <c r="D168" s="137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37"/>
      <c r="C169" s="137"/>
      <c r="D169" s="137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37"/>
      <c r="C170" s="137"/>
      <c r="D170" s="137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37"/>
      <c r="C171" s="137"/>
      <c r="D171" s="137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37"/>
      <c r="C172" s="137"/>
      <c r="D172" s="137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37"/>
      <c r="C173" s="137"/>
      <c r="D173" s="137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37"/>
      <c r="C174" s="137"/>
      <c r="D174" s="137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37"/>
      <c r="C175" s="137"/>
      <c r="D175" s="137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37"/>
      <c r="C176" s="137"/>
      <c r="D176" s="137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37"/>
      <c r="C177" s="137"/>
      <c r="D177" s="137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37"/>
      <c r="C178" s="137"/>
      <c r="D178" s="137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37"/>
      <c r="C179" s="137"/>
      <c r="D179" s="137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37"/>
      <c r="C180" s="137"/>
      <c r="D180" s="137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37"/>
      <c r="C181" s="137"/>
      <c r="D181" s="137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37"/>
      <c r="C182" s="137"/>
      <c r="D182" s="137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37"/>
      <c r="C183" s="137"/>
      <c r="D183" s="137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37"/>
      <c r="C184" s="137"/>
      <c r="D184" s="137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37"/>
      <c r="C185" s="137"/>
      <c r="D185" s="137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37"/>
      <c r="C186" s="137"/>
      <c r="D186" s="137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37"/>
      <c r="C187" s="137"/>
      <c r="D187" s="137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37"/>
      <c r="C188" s="137"/>
      <c r="D188" s="137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37"/>
      <c r="C189" s="137"/>
      <c r="D189" s="137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37"/>
      <c r="C190" s="137"/>
      <c r="D190" s="137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37"/>
      <c r="C191" s="137"/>
      <c r="D191" s="137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37"/>
      <c r="C192" s="137"/>
      <c r="D192" s="137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37"/>
      <c r="C193" s="137"/>
      <c r="D193" s="137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37"/>
      <c r="C194" s="137"/>
      <c r="D194" s="137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37"/>
      <c r="C195" s="137"/>
      <c r="D195" s="137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37"/>
      <c r="C196" s="137"/>
      <c r="D196" s="137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37"/>
      <c r="C197" s="137"/>
      <c r="D197" s="137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37"/>
      <c r="C198" s="137"/>
      <c r="D198" s="137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37"/>
      <c r="C199" s="137"/>
      <c r="D199" s="137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37"/>
      <c r="C200" s="137"/>
      <c r="D200" s="137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37"/>
      <c r="C201" s="137"/>
      <c r="D201" s="137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37"/>
      <c r="C202" s="137"/>
      <c r="D202" s="137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37"/>
      <c r="C203" s="137"/>
      <c r="D203" s="137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37"/>
      <c r="C204" s="137"/>
      <c r="D204" s="137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37"/>
      <c r="C205" s="137"/>
      <c r="D205" s="137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37"/>
      <c r="C206" s="137"/>
      <c r="D206" s="137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37"/>
      <c r="C207" s="137"/>
      <c r="D207" s="137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37"/>
      <c r="C208" s="137"/>
      <c r="D208" s="137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37"/>
      <c r="C209" s="137"/>
      <c r="D209" s="137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37"/>
      <c r="C210" s="137"/>
      <c r="D210" s="137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37"/>
      <c r="C211" s="137"/>
      <c r="D211" s="137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37"/>
      <c r="C212" s="137"/>
      <c r="D212" s="137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37"/>
      <c r="C213" s="137"/>
      <c r="D213" s="137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37"/>
      <c r="C214" s="137"/>
      <c r="D214" s="137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37"/>
      <c r="C215" s="137"/>
      <c r="D215" s="137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37"/>
      <c r="C216" s="137"/>
      <c r="D216" s="137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37"/>
      <c r="C217" s="137"/>
      <c r="D217" s="137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37"/>
      <c r="C218" s="137"/>
      <c r="D218" s="137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37"/>
      <c r="C219" s="137"/>
      <c r="D219" s="137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37"/>
      <c r="C220" s="137"/>
      <c r="D220" s="137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37"/>
      <c r="C221" s="137"/>
      <c r="D221" s="137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37"/>
      <c r="C222" s="137"/>
      <c r="D222" s="137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37"/>
      <c r="C223" s="137"/>
      <c r="D223" s="137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37"/>
      <c r="C224" s="137"/>
      <c r="D224" s="137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37"/>
      <c r="C225" s="137"/>
      <c r="D225" s="137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37"/>
      <c r="C226" s="137"/>
      <c r="D226" s="137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37"/>
      <c r="C227" s="137"/>
      <c r="D227" s="137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37"/>
      <c r="C228" s="137"/>
      <c r="D228" s="137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37"/>
      <c r="C229" s="137"/>
      <c r="D229" s="137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37"/>
      <c r="C230" s="137"/>
      <c r="D230" s="137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37"/>
      <c r="C231" s="137"/>
      <c r="D231" s="137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37"/>
      <c r="C232" s="137"/>
      <c r="D232" s="137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37"/>
      <c r="C233" s="137"/>
      <c r="D233" s="137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37"/>
      <c r="C234" s="137"/>
      <c r="D234" s="137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37"/>
      <c r="C235" s="137"/>
      <c r="D235" s="137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37"/>
      <c r="C236" s="137"/>
      <c r="D236" s="137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37"/>
      <c r="C237" s="137"/>
      <c r="D237" s="137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37"/>
      <c r="C238" s="137"/>
      <c r="D238" s="137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37"/>
      <c r="C239" s="137"/>
      <c r="D239" s="137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37"/>
      <c r="C240" s="137"/>
      <c r="D240" s="137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37"/>
      <c r="C241" s="137"/>
      <c r="D241" s="137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37"/>
      <c r="C242" s="137"/>
      <c r="D242" s="137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37"/>
      <c r="C243" s="137"/>
      <c r="D243" s="137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37"/>
      <c r="C244" s="137"/>
      <c r="D244" s="137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37"/>
      <c r="C245" s="137"/>
      <c r="D245" s="137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37"/>
      <c r="C246" s="137"/>
      <c r="D246" s="137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37"/>
      <c r="C247" s="137"/>
      <c r="D247" s="137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37"/>
      <c r="C248" s="137"/>
      <c r="D248" s="137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37"/>
      <c r="C249" s="137"/>
      <c r="D249" s="137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37"/>
      <c r="C250" s="137"/>
      <c r="D250" s="137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37"/>
      <c r="C251" s="137"/>
      <c r="D251" s="137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37"/>
      <c r="C252" s="137"/>
      <c r="D252" s="137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37"/>
      <c r="C253" s="137"/>
      <c r="D253" s="137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37"/>
      <c r="C254" s="137"/>
      <c r="D254" s="137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37"/>
      <c r="C255" s="137"/>
      <c r="D255" s="137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37"/>
      <c r="C256" s="137"/>
      <c r="D256" s="137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37"/>
      <c r="C257" s="137"/>
      <c r="D257" s="137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37"/>
      <c r="C258" s="137"/>
      <c r="D258" s="137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37"/>
      <c r="C259" s="137"/>
      <c r="D259" s="137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37"/>
      <c r="C260" s="137"/>
      <c r="D260" s="137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37"/>
      <c r="C261" s="137"/>
      <c r="D261" s="137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37"/>
      <c r="C262" s="137"/>
      <c r="D262" s="137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37"/>
      <c r="C263" s="137"/>
      <c r="D263" s="137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37"/>
      <c r="C264" s="137"/>
      <c r="D264" s="137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37"/>
      <c r="C265" s="137"/>
      <c r="D265" s="137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37"/>
      <c r="C266" s="137"/>
      <c r="D266" s="137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37"/>
      <c r="C267" s="137"/>
      <c r="D267" s="137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37"/>
      <c r="C268" s="137"/>
      <c r="D268" s="137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37"/>
      <c r="C269" s="137"/>
      <c r="D269" s="137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37"/>
      <c r="C270" s="137"/>
      <c r="D270" s="137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37"/>
      <c r="C271" s="137"/>
      <c r="D271" s="137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37"/>
      <c r="C272" s="137"/>
      <c r="D272" s="137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37"/>
      <c r="C273" s="137"/>
      <c r="D273" s="137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37"/>
      <c r="C274" s="137"/>
      <c r="D274" s="137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37"/>
      <c r="C275" s="137"/>
      <c r="D275" s="137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37"/>
      <c r="C276" s="137"/>
      <c r="D276" s="137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37"/>
      <c r="C277" s="137"/>
      <c r="D277" s="137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</sheetData>
  <mergeCells count="45">
    <mergeCell ref="X4:X5"/>
    <mergeCell ref="B5:E5"/>
    <mergeCell ref="F5:G5"/>
    <mergeCell ref="B3:E4"/>
    <mergeCell ref="L3:P3"/>
    <mergeCell ref="T4:T5"/>
    <mergeCell ref="V4:V5"/>
    <mergeCell ref="W4:W5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B24:B26"/>
    <mergeCell ref="D24:E24"/>
    <mergeCell ref="F24:G24"/>
    <mergeCell ref="H24:P24"/>
    <mergeCell ref="D25:E25"/>
    <mergeCell ref="F25:G25"/>
    <mergeCell ref="H25:P25"/>
    <mergeCell ref="D26:E26"/>
    <mergeCell ref="F26:G26"/>
    <mergeCell ref="H26:P26"/>
    <mergeCell ref="B21:D21"/>
    <mergeCell ref="B22:X22"/>
    <mergeCell ref="D23:E23"/>
    <mergeCell ref="F23:G23"/>
    <mergeCell ref="H23:P23"/>
    <mergeCell ref="B27:B29"/>
    <mergeCell ref="D27:E27"/>
    <mergeCell ref="F27:G27"/>
    <mergeCell ref="H27:P27"/>
    <mergeCell ref="D28:E28"/>
    <mergeCell ref="F28:G28"/>
    <mergeCell ref="H28:P28"/>
    <mergeCell ref="D29:E29"/>
    <mergeCell ref="F29:G29"/>
    <mergeCell ref="H29:P29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7"/>
  <sheetViews>
    <sheetView workbookViewId="0">
      <selection activeCell="L3" sqref="L3:P3"/>
    </sheetView>
  </sheetViews>
  <sheetFormatPr defaultRowHeight="13.5" x14ac:dyDescent="0.3"/>
  <cols>
    <col min="1" max="1" width="1.625" style="143" customWidth="1"/>
    <col min="2" max="2" width="4.625" style="143" bestFit="1" customWidth="1"/>
    <col min="3" max="3" width="7.625" style="143" bestFit="1" customWidth="1"/>
    <col min="4" max="4" width="8" style="143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43" customWidth="1"/>
    <col min="26" max="26" width="8.375" style="143" customWidth="1"/>
    <col min="27" max="27" width="7.25" style="143" customWidth="1"/>
    <col min="28" max="28" width="3.875" style="143" customWidth="1"/>
    <col min="29" max="29" width="0.5" style="143" customWidth="1"/>
    <col min="30" max="257" width="9" style="143"/>
    <col min="258" max="258" width="4.625" style="143" bestFit="1" customWidth="1"/>
    <col min="259" max="259" width="7.5" style="143" bestFit="1" customWidth="1"/>
    <col min="260" max="260" width="6.25" style="143" customWidth="1"/>
    <col min="261" max="261" width="11" style="143" bestFit="1" customWidth="1"/>
    <col min="262" max="263" width="9.625" style="143" bestFit="1" customWidth="1"/>
    <col min="264" max="264" width="8.25" style="143" bestFit="1" customWidth="1"/>
    <col min="265" max="266" width="9.625" style="143" bestFit="1" customWidth="1"/>
    <col min="267" max="267" width="8.25" style="143" bestFit="1" customWidth="1"/>
    <col min="268" max="269" width="9.625" style="143" bestFit="1" customWidth="1"/>
    <col min="270" max="271" width="8.25" style="143" bestFit="1" customWidth="1"/>
    <col min="272" max="272" width="11" style="143" bestFit="1" customWidth="1"/>
    <col min="273" max="273" width="8" style="143" bestFit="1" customWidth="1"/>
    <col min="274" max="274" width="7.75" style="143" bestFit="1" customWidth="1"/>
    <col min="275" max="276" width="9.625" style="143" bestFit="1" customWidth="1"/>
    <col min="277" max="278" width="9.625" style="143" customWidth="1"/>
    <col min="279" max="279" width="9.25" style="143" bestFit="1" customWidth="1"/>
    <col min="280" max="280" width="11" style="143" bestFit="1" customWidth="1"/>
    <col min="281" max="513" width="9" style="143"/>
    <col min="514" max="514" width="4.625" style="143" bestFit="1" customWidth="1"/>
    <col min="515" max="515" width="7.5" style="143" bestFit="1" customWidth="1"/>
    <col min="516" max="516" width="6.25" style="143" customWidth="1"/>
    <col min="517" max="517" width="11" style="143" bestFit="1" customWidth="1"/>
    <col min="518" max="519" width="9.625" style="143" bestFit="1" customWidth="1"/>
    <col min="520" max="520" width="8.25" style="143" bestFit="1" customWidth="1"/>
    <col min="521" max="522" width="9.625" style="143" bestFit="1" customWidth="1"/>
    <col min="523" max="523" width="8.25" style="143" bestFit="1" customWidth="1"/>
    <col min="524" max="525" width="9.625" style="143" bestFit="1" customWidth="1"/>
    <col min="526" max="527" width="8.25" style="143" bestFit="1" customWidth="1"/>
    <col min="528" max="528" width="11" style="143" bestFit="1" customWidth="1"/>
    <col min="529" max="529" width="8" style="143" bestFit="1" customWidth="1"/>
    <col min="530" max="530" width="7.75" style="143" bestFit="1" customWidth="1"/>
    <col min="531" max="532" width="9.625" style="143" bestFit="1" customWidth="1"/>
    <col min="533" max="534" width="9.625" style="143" customWidth="1"/>
    <col min="535" max="535" width="9.25" style="143" bestFit="1" customWidth="1"/>
    <col min="536" max="536" width="11" style="143" bestFit="1" customWidth="1"/>
    <col min="537" max="769" width="9" style="143"/>
    <col min="770" max="770" width="4.625" style="143" bestFit="1" customWidth="1"/>
    <col min="771" max="771" width="7.5" style="143" bestFit="1" customWidth="1"/>
    <col min="772" max="772" width="6.25" style="143" customWidth="1"/>
    <col min="773" max="773" width="11" style="143" bestFit="1" customWidth="1"/>
    <col min="774" max="775" width="9.625" style="143" bestFit="1" customWidth="1"/>
    <col min="776" max="776" width="8.25" style="143" bestFit="1" customWidth="1"/>
    <col min="777" max="778" width="9.625" style="143" bestFit="1" customWidth="1"/>
    <col min="779" max="779" width="8.25" style="143" bestFit="1" customWidth="1"/>
    <col min="780" max="781" width="9.625" style="143" bestFit="1" customWidth="1"/>
    <col min="782" max="783" width="8.25" style="143" bestFit="1" customWidth="1"/>
    <col min="784" max="784" width="11" style="143" bestFit="1" customWidth="1"/>
    <col min="785" max="785" width="8" style="143" bestFit="1" customWidth="1"/>
    <col min="786" max="786" width="7.75" style="143" bestFit="1" customWidth="1"/>
    <col min="787" max="788" width="9.625" style="143" bestFit="1" customWidth="1"/>
    <col min="789" max="790" width="9.625" style="143" customWidth="1"/>
    <col min="791" max="791" width="9.25" style="143" bestFit="1" customWidth="1"/>
    <col min="792" max="792" width="11" style="143" bestFit="1" customWidth="1"/>
    <col min="793" max="1025" width="9" style="143"/>
    <col min="1026" max="1026" width="4.625" style="143" bestFit="1" customWidth="1"/>
    <col min="1027" max="1027" width="7.5" style="143" bestFit="1" customWidth="1"/>
    <col min="1028" max="1028" width="6.25" style="143" customWidth="1"/>
    <col min="1029" max="1029" width="11" style="143" bestFit="1" customWidth="1"/>
    <col min="1030" max="1031" width="9.625" style="143" bestFit="1" customWidth="1"/>
    <col min="1032" max="1032" width="8.25" style="143" bestFit="1" customWidth="1"/>
    <col min="1033" max="1034" width="9.625" style="143" bestFit="1" customWidth="1"/>
    <col min="1035" max="1035" width="8.25" style="143" bestFit="1" customWidth="1"/>
    <col min="1036" max="1037" width="9.625" style="143" bestFit="1" customWidth="1"/>
    <col min="1038" max="1039" width="8.25" style="143" bestFit="1" customWidth="1"/>
    <col min="1040" max="1040" width="11" style="143" bestFit="1" customWidth="1"/>
    <col min="1041" max="1041" width="8" style="143" bestFit="1" customWidth="1"/>
    <col min="1042" max="1042" width="7.75" style="143" bestFit="1" customWidth="1"/>
    <col min="1043" max="1044" width="9.625" style="143" bestFit="1" customWidth="1"/>
    <col min="1045" max="1046" width="9.625" style="143" customWidth="1"/>
    <col min="1047" max="1047" width="9.25" style="143" bestFit="1" customWidth="1"/>
    <col min="1048" max="1048" width="11" style="143" bestFit="1" customWidth="1"/>
    <col min="1049" max="1281" width="9" style="143"/>
    <col min="1282" max="1282" width="4.625" style="143" bestFit="1" customWidth="1"/>
    <col min="1283" max="1283" width="7.5" style="143" bestFit="1" customWidth="1"/>
    <col min="1284" max="1284" width="6.25" style="143" customWidth="1"/>
    <col min="1285" max="1285" width="11" style="143" bestFit="1" customWidth="1"/>
    <col min="1286" max="1287" width="9.625" style="143" bestFit="1" customWidth="1"/>
    <col min="1288" max="1288" width="8.25" style="143" bestFit="1" customWidth="1"/>
    <col min="1289" max="1290" width="9.625" style="143" bestFit="1" customWidth="1"/>
    <col min="1291" max="1291" width="8.25" style="143" bestFit="1" customWidth="1"/>
    <col min="1292" max="1293" width="9.625" style="143" bestFit="1" customWidth="1"/>
    <col min="1294" max="1295" width="8.25" style="143" bestFit="1" customWidth="1"/>
    <col min="1296" max="1296" width="11" style="143" bestFit="1" customWidth="1"/>
    <col min="1297" max="1297" width="8" style="143" bestFit="1" customWidth="1"/>
    <col min="1298" max="1298" width="7.75" style="143" bestFit="1" customWidth="1"/>
    <col min="1299" max="1300" width="9.625" style="143" bestFit="1" customWidth="1"/>
    <col min="1301" max="1302" width="9.625" style="143" customWidth="1"/>
    <col min="1303" max="1303" width="9.25" style="143" bestFit="1" customWidth="1"/>
    <col min="1304" max="1304" width="11" style="143" bestFit="1" customWidth="1"/>
    <col min="1305" max="1537" width="9" style="143"/>
    <col min="1538" max="1538" width="4.625" style="143" bestFit="1" customWidth="1"/>
    <col min="1539" max="1539" width="7.5" style="143" bestFit="1" customWidth="1"/>
    <col min="1540" max="1540" width="6.25" style="143" customWidth="1"/>
    <col min="1541" max="1541" width="11" style="143" bestFit="1" customWidth="1"/>
    <col min="1542" max="1543" width="9.625" style="143" bestFit="1" customWidth="1"/>
    <col min="1544" max="1544" width="8.25" style="143" bestFit="1" customWidth="1"/>
    <col min="1545" max="1546" width="9.625" style="143" bestFit="1" customWidth="1"/>
    <col min="1547" max="1547" width="8.25" style="143" bestFit="1" customWidth="1"/>
    <col min="1548" max="1549" width="9.625" style="143" bestFit="1" customWidth="1"/>
    <col min="1550" max="1551" width="8.25" style="143" bestFit="1" customWidth="1"/>
    <col min="1552" max="1552" width="11" style="143" bestFit="1" customWidth="1"/>
    <col min="1553" max="1553" width="8" style="143" bestFit="1" customWidth="1"/>
    <col min="1554" max="1554" width="7.75" style="143" bestFit="1" customWidth="1"/>
    <col min="1555" max="1556" width="9.625" style="143" bestFit="1" customWidth="1"/>
    <col min="1557" max="1558" width="9.625" style="143" customWidth="1"/>
    <col min="1559" max="1559" width="9.25" style="143" bestFit="1" customWidth="1"/>
    <col min="1560" max="1560" width="11" style="143" bestFit="1" customWidth="1"/>
    <col min="1561" max="1793" width="9" style="143"/>
    <col min="1794" max="1794" width="4.625" style="143" bestFit="1" customWidth="1"/>
    <col min="1795" max="1795" width="7.5" style="143" bestFit="1" customWidth="1"/>
    <col min="1796" max="1796" width="6.25" style="143" customWidth="1"/>
    <col min="1797" max="1797" width="11" style="143" bestFit="1" customWidth="1"/>
    <col min="1798" max="1799" width="9.625" style="143" bestFit="1" customWidth="1"/>
    <col min="1800" max="1800" width="8.25" style="143" bestFit="1" customWidth="1"/>
    <col min="1801" max="1802" width="9.625" style="143" bestFit="1" customWidth="1"/>
    <col min="1803" max="1803" width="8.25" style="143" bestFit="1" customWidth="1"/>
    <col min="1804" max="1805" width="9.625" style="143" bestFit="1" customWidth="1"/>
    <col min="1806" max="1807" width="8.25" style="143" bestFit="1" customWidth="1"/>
    <col min="1808" max="1808" width="11" style="143" bestFit="1" customWidth="1"/>
    <col min="1809" max="1809" width="8" style="143" bestFit="1" customWidth="1"/>
    <col min="1810" max="1810" width="7.75" style="143" bestFit="1" customWidth="1"/>
    <col min="1811" max="1812" width="9.625" style="143" bestFit="1" customWidth="1"/>
    <col min="1813" max="1814" width="9.625" style="143" customWidth="1"/>
    <col min="1815" max="1815" width="9.25" style="143" bestFit="1" customWidth="1"/>
    <col min="1816" max="1816" width="11" style="143" bestFit="1" customWidth="1"/>
    <col min="1817" max="2049" width="9" style="143"/>
    <col min="2050" max="2050" width="4.625" style="143" bestFit="1" customWidth="1"/>
    <col min="2051" max="2051" width="7.5" style="143" bestFit="1" customWidth="1"/>
    <col min="2052" max="2052" width="6.25" style="143" customWidth="1"/>
    <col min="2053" max="2053" width="11" style="143" bestFit="1" customWidth="1"/>
    <col min="2054" max="2055" width="9.625" style="143" bestFit="1" customWidth="1"/>
    <col min="2056" max="2056" width="8.25" style="143" bestFit="1" customWidth="1"/>
    <col min="2057" max="2058" width="9.625" style="143" bestFit="1" customWidth="1"/>
    <col min="2059" max="2059" width="8.25" style="143" bestFit="1" customWidth="1"/>
    <col min="2060" max="2061" width="9.625" style="143" bestFit="1" customWidth="1"/>
    <col min="2062" max="2063" width="8.25" style="143" bestFit="1" customWidth="1"/>
    <col min="2064" max="2064" width="11" style="143" bestFit="1" customWidth="1"/>
    <col min="2065" max="2065" width="8" style="143" bestFit="1" customWidth="1"/>
    <col min="2066" max="2066" width="7.75" style="143" bestFit="1" customWidth="1"/>
    <col min="2067" max="2068" width="9.625" style="143" bestFit="1" customWidth="1"/>
    <col min="2069" max="2070" width="9.625" style="143" customWidth="1"/>
    <col min="2071" max="2071" width="9.25" style="143" bestFit="1" customWidth="1"/>
    <col min="2072" max="2072" width="11" style="143" bestFit="1" customWidth="1"/>
    <col min="2073" max="2305" width="9" style="143"/>
    <col min="2306" max="2306" width="4.625" style="143" bestFit="1" customWidth="1"/>
    <col min="2307" max="2307" width="7.5" style="143" bestFit="1" customWidth="1"/>
    <col min="2308" max="2308" width="6.25" style="143" customWidth="1"/>
    <col min="2309" max="2309" width="11" style="143" bestFit="1" customWidth="1"/>
    <col min="2310" max="2311" width="9.625" style="143" bestFit="1" customWidth="1"/>
    <col min="2312" max="2312" width="8.25" style="143" bestFit="1" customWidth="1"/>
    <col min="2313" max="2314" width="9.625" style="143" bestFit="1" customWidth="1"/>
    <col min="2315" max="2315" width="8.25" style="143" bestFit="1" customWidth="1"/>
    <col min="2316" max="2317" width="9.625" style="143" bestFit="1" customWidth="1"/>
    <col min="2318" max="2319" width="8.25" style="143" bestFit="1" customWidth="1"/>
    <col min="2320" max="2320" width="11" style="143" bestFit="1" customWidth="1"/>
    <col min="2321" max="2321" width="8" style="143" bestFit="1" customWidth="1"/>
    <col min="2322" max="2322" width="7.75" style="143" bestFit="1" customWidth="1"/>
    <col min="2323" max="2324" width="9.625" style="143" bestFit="1" customWidth="1"/>
    <col min="2325" max="2326" width="9.625" style="143" customWidth="1"/>
    <col min="2327" max="2327" width="9.25" style="143" bestFit="1" customWidth="1"/>
    <col min="2328" max="2328" width="11" style="143" bestFit="1" customWidth="1"/>
    <col min="2329" max="2561" width="9" style="143"/>
    <col min="2562" max="2562" width="4.625" style="143" bestFit="1" customWidth="1"/>
    <col min="2563" max="2563" width="7.5" style="143" bestFit="1" customWidth="1"/>
    <col min="2564" max="2564" width="6.25" style="143" customWidth="1"/>
    <col min="2565" max="2565" width="11" style="143" bestFit="1" customWidth="1"/>
    <col min="2566" max="2567" width="9.625" style="143" bestFit="1" customWidth="1"/>
    <col min="2568" max="2568" width="8.25" style="143" bestFit="1" customWidth="1"/>
    <col min="2569" max="2570" width="9.625" style="143" bestFit="1" customWidth="1"/>
    <col min="2571" max="2571" width="8.25" style="143" bestFit="1" customWidth="1"/>
    <col min="2572" max="2573" width="9.625" style="143" bestFit="1" customWidth="1"/>
    <col min="2574" max="2575" width="8.25" style="143" bestFit="1" customWidth="1"/>
    <col min="2576" max="2576" width="11" style="143" bestFit="1" customWidth="1"/>
    <col min="2577" max="2577" width="8" style="143" bestFit="1" customWidth="1"/>
    <col min="2578" max="2578" width="7.75" style="143" bestFit="1" customWidth="1"/>
    <col min="2579" max="2580" width="9.625" style="143" bestFit="1" customWidth="1"/>
    <col min="2581" max="2582" width="9.625" style="143" customWidth="1"/>
    <col min="2583" max="2583" width="9.25" style="143" bestFit="1" customWidth="1"/>
    <col min="2584" max="2584" width="11" style="143" bestFit="1" customWidth="1"/>
    <col min="2585" max="2817" width="9" style="143"/>
    <col min="2818" max="2818" width="4.625" style="143" bestFit="1" customWidth="1"/>
    <col min="2819" max="2819" width="7.5" style="143" bestFit="1" customWidth="1"/>
    <col min="2820" max="2820" width="6.25" style="143" customWidth="1"/>
    <col min="2821" max="2821" width="11" style="143" bestFit="1" customWidth="1"/>
    <col min="2822" max="2823" width="9.625" style="143" bestFit="1" customWidth="1"/>
    <col min="2824" max="2824" width="8.25" style="143" bestFit="1" customWidth="1"/>
    <col min="2825" max="2826" width="9.625" style="143" bestFit="1" customWidth="1"/>
    <col min="2827" max="2827" width="8.25" style="143" bestFit="1" customWidth="1"/>
    <col min="2828" max="2829" width="9.625" style="143" bestFit="1" customWidth="1"/>
    <col min="2830" max="2831" width="8.25" style="143" bestFit="1" customWidth="1"/>
    <col min="2832" max="2832" width="11" style="143" bestFit="1" customWidth="1"/>
    <col min="2833" max="2833" width="8" style="143" bestFit="1" customWidth="1"/>
    <col min="2834" max="2834" width="7.75" style="143" bestFit="1" customWidth="1"/>
    <col min="2835" max="2836" width="9.625" style="143" bestFit="1" customWidth="1"/>
    <col min="2837" max="2838" width="9.625" style="143" customWidth="1"/>
    <col min="2839" max="2839" width="9.25" style="143" bestFit="1" customWidth="1"/>
    <col min="2840" max="2840" width="11" style="143" bestFit="1" customWidth="1"/>
    <col min="2841" max="3073" width="9" style="143"/>
    <col min="3074" max="3074" width="4.625" style="143" bestFit="1" customWidth="1"/>
    <col min="3075" max="3075" width="7.5" style="143" bestFit="1" customWidth="1"/>
    <col min="3076" max="3076" width="6.25" style="143" customWidth="1"/>
    <col min="3077" max="3077" width="11" style="143" bestFit="1" customWidth="1"/>
    <col min="3078" max="3079" width="9.625" style="143" bestFit="1" customWidth="1"/>
    <col min="3080" max="3080" width="8.25" style="143" bestFit="1" customWidth="1"/>
    <col min="3081" max="3082" width="9.625" style="143" bestFit="1" customWidth="1"/>
    <col min="3083" max="3083" width="8.25" style="143" bestFit="1" customWidth="1"/>
    <col min="3084" max="3085" width="9.625" style="143" bestFit="1" customWidth="1"/>
    <col min="3086" max="3087" width="8.25" style="143" bestFit="1" customWidth="1"/>
    <col min="3088" max="3088" width="11" style="143" bestFit="1" customWidth="1"/>
    <col min="3089" max="3089" width="8" style="143" bestFit="1" customWidth="1"/>
    <col min="3090" max="3090" width="7.75" style="143" bestFit="1" customWidth="1"/>
    <col min="3091" max="3092" width="9.625" style="143" bestFit="1" customWidth="1"/>
    <col min="3093" max="3094" width="9.625" style="143" customWidth="1"/>
    <col min="3095" max="3095" width="9.25" style="143" bestFit="1" customWidth="1"/>
    <col min="3096" max="3096" width="11" style="143" bestFit="1" customWidth="1"/>
    <col min="3097" max="3329" width="9" style="143"/>
    <col min="3330" max="3330" width="4.625" style="143" bestFit="1" customWidth="1"/>
    <col min="3331" max="3331" width="7.5" style="143" bestFit="1" customWidth="1"/>
    <col min="3332" max="3332" width="6.25" style="143" customWidth="1"/>
    <col min="3333" max="3333" width="11" style="143" bestFit="1" customWidth="1"/>
    <col min="3334" max="3335" width="9.625" style="143" bestFit="1" customWidth="1"/>
    <col min="3336" max="3336" width="8.25" style="143" bestFit="1" customWidth="1"/>
    <col min="3337" max="3338" width="9.625" style="143" bestFit="1" customWidth="1"/>
    <col min="3339" max="3339" width="8.25" style="143" bestFit="1" customWidth="1"/>
    <col min="3340" max="3341" width="9.625" style="143" bestFit="1" customWidth="1"/>
    <col min="3342" max="3343" width="8.25" style="143" bestFit="1" customWidth="1"/>
    <col min="3344" max="3344" width="11" style="143" bestFit="1" customWidth="1"/>
    <col min="3345" max="3345" width="8" style="143" bestFit="1" customWidth="1"/>
    <col min="3346" max="3346" width="7.75" style="143" bestFit="1" customWidth="1"/>
    <col min="3347" max="3348" width="9.625" style="143" bestFit="1" customWidth="1"/>
    <col min="3349" max="3350" width="9.625" style="143" customWidth="1"/>
    <col min="3351" max="3351" width="9.25" style="143" bestFit="1" customWidth="1"/>
    <col min="3352" max="3352" width="11" style="143" bestFit="1" customWidth="1"/>
    <col min="3353" max="3585" width="9" style="143"/>
    <col min="3586" max="3586" width="4.625" style="143" bestFit="1" customWidth="1"/>
    <col min="3587" max="3587" width="7.5" style="143" bestFit="1" customWidth="1"/>
    <col min="3588" max="3588" width="6.25" style="143" customWidth="1"/>
    <col min="3589" max="3589" width="11" style="143" bestFit="1" customWidth="1"/>
    <col min="3590" max="3591" width="9.625" style="143" bestFit="1" customWidth="1"/>
    <col min="3592" max="3592" width="8.25" style="143" bestFit="1" customWidth="1"/>
    <col min="3593" max="3594" width="9.625" style="143" bestFit="1" customWidth="1"/>
    <col min="3595" max="3595" width="8.25" style="143" bestFit="1" customWidth="1"/>
    <col min="3596" max="3597" width="9.625" style="143" bestFit="1" customWidth="1"/>
    <col min="3598" max="3599" width="8.25" style="143" bestFit="1" customWidth="1"/>
    <col min="3600" max="3600" width="11" style="143" bestFit="1" customWidth="1"/>
    <col min="3601" max="3601" width="8" style="143" bestFit="1" customWidth="1"/>
    <col min="3602" max="3602" width="7.75" style="143" bestFit="1" customWidth="1"/>
    <col min="3603" max="3604" width="9.625" style="143" bestFit="1" customWidth="1"/>
    <col min="3605" max="3606" width="9.625" style="143" customWidth="1"/>
    <col min="3607" max="3607" width="9.25" style="143" bestFit="1" customWidth="1"/>
    <col min="3608" max="3608" width="11" style="143" bestFit="1" customWidth="1"/>
    <col min="3609" max="3841" width="9" style="143"/>
    <col min="3842" max="3842" width="4.625" style="143" bestFit="1" customWidth="1"/>
    <col min="3843" max="3843" width="7.5" style="143" bestFit="1" customWidth="1"/>
    <col min="3844" max="3844" width="6.25" style="143" customWidth="1"/>
    <col min="3845" max="3845" width="11" style="143" bestFit="1" customWidth="1"/>
    <col min="3846" max="3847" width="9.625" style="143" bestFit="1" customWidth="1"/>
    <col min="3848" max="3848" width="8.25" style="143" bestFit="1" customWidth="1"/>
    <col min="3849" max="3850" width="9.625" style="143" bestFit="1" customWidth="1"/>
    <col min="3851" max="3851" width="8.25" style="143" bestFit="1" customWidth="1"/>
    <col min="3852" max="3853" width="9.625" style="143" bestFit="1" customWidth="1"/>
    <col min="3854" max="3855" width="8.25" style="143" bestFit="1" customWidth="1"/>
    <col min="3856" max="3856" width="11" style="143" bestFit="1" customWidth="1"/>
    <col min="3857" max="3857" width="8" style="143" bestFit="1" customWidth="1"/>
    <col min="3858" max="3858" width="7.75" style="143" bestFit="1" customWidth="1"/>
    <col min="3859" max="3860" width="9.625" style="143" bestFit="1" customWidth="1"/>
    <col min="3861" max="3862" width="9.625" style="143" customWidth="1"/>
    <col min="3863" max="3863" width="9.25" style="143" bestFit="1" customWidth="1"/>
    <col min="3864" max="3864" width="11" style="143" bestFit="1" customWidth="1"/>
    <col min="3865" max="4097" width="9" style="143"/>
    <col min="4098" max="4098" width="4.625" style="143" bestFit="1" customWidth="1"/>
    <col min="4099" max="4099" width="7.5" style="143" bestFit="1" customWidth="1"/>
    <col min="4100" max="4100" width="6.25" style="143" customWidth="1"/>
    <col min="4101" max="4101" width="11" style="143" bestFit="1" customWidth="1"/>
    <col min="4102" max="4103" width="9.625" style="143" bestFit="1" customWidth="1"/>
    <col min="4104" max="4104" width="8.25" style="143" bestFit="1" customWidth="1"/>
    <col min="4105" max="4106" width="9.625" style="143" bestFit="1" customWidth="1"/>
    <col min="4107" max="4107" width="8.25" style="143" bestFit="1" customWidth="1"/>
    <col min="4108" max="4109" width="9.625" style="143" bestFit="1" customWidth="1"/>
    <col min="4110" max="4111" width="8.25" style="143" bestFit="1" customWidth="1"/>
    <col min="4112" max="4112" width="11" style="143" bestFit="1" customWidth="1"/>
    <col min="4113" max="4113" width="8" style="143" bestFit="1" customWidth="1"/>
    <col min="4114" max="4114" width="7.75" style="143" bestFit="1" customWidth="1"/>
    <col min="4115" max="4116" width="9.625" style="143" bestFit="1" customWidth="1"/>
    <col min="4117" max="4118" width="9.625" style="143" customWidth="1"/>
    <col min="4119" max="4119" width="9.25" style="143" bestFit="1" customWidth="1"/>
    <col min="4120" max="4120" width="11" style="143" bestFit="1" customWidth="1"/>
    <col min="4121" max="4353" width="9" style="143"/>
    <col min="4354" max="4354" width="4.625" style="143" bestFit="1" customWidth="1"/>
    <col min="4355" max="4355" width="7.5" style="143" bestFit="1" customWidth="1"/>
    <col min="4356" max="4356" width="6.25" style="143" customWidth="1"/>
    <col min="4357" max="4357" width="11" style="143" bestFit="1" customWidth="1"/>
    <col min="4358" max="4359" width="9.625" style="143" bestFit="1" customWidth="1"/>
    <col min="4360" max="4360" width="8.25" style="143" bestFit="1" customWidth="1"/>
    <col min="4361" max="4362" width="9.625" style="143" bestFit="1" customWidth="1"/>
    <col min="4363" max="4363" width="8.25" style="143" bestFit="1" customWidth="1"/>
    <col min="4364" max="4365" width="9.625" style="143" bestFit="1" customWidth="1"/>
    <col min="4366" max="4367" width="8.25" style="143" bestFit="1" customWidth="1"/>
    <col min="4368" max="4368" width="11" style="143" bestFit="1" customWidth="1"/>
    <col min="4369" max="4369" width="8" style="143" bestFit="1" customWidth="1"/>
    <col min="4370" max="4370" width="7.75" style="143" bestFit="1" customWidth="1"/>
    <col min="4371" max="4372" width="9.625" style="143" bestFit="1" customWidth="1"/>
    <col min="4373" max="4374" width="9.625" style="143" customWidth="1"/>
    <col min="4375" max="4375" width="9.25" style="143" bestFit="1" customWidth="1"/>
    <col min="4376" max="4376" width="11" style="143" bestFit="1" customWidth="1"/>
    <col min="4377" max="4609" width="9" style="143"/>
    <col min="4610" max="4610" width="4.625" style="143" bestFit="1" customWidth="1"/>
    <col min="4611" max="4611" width="7.5" style="143" bestFit="1" customWidth="1"/>
    <col min="4612" max="4612" width="6.25" style="143" customWidth="1"/>
    <col min="4613" max="4613" width="11" style="143" bestFit="1" customWidth="1"/>
    <col min="4614" max="4615" width="9.625" style="143" bestFit="1" customWidth="1"/>
    <col min="4616" max="4616" width="8.25" style="143" bestFit="1" customWidth="1"/>
    <col min="4617" max="4618" width="9.625" style="143" bestFit="1" customWidth="1"/>
    <col min="4619" max="4619" width="8.25" style="143" bestFit="1" customWidth="1"/>
    <col min="4620" max="4621" width="9.625" style="143" bestFit="1" customWidth="1"/>
    <col min="4622" max="4623" width="8.25" style="143" bestFit="1" customWidth="1"/>
    <col min="4624" max="4624" width="11" style="143" bestFit="1" customWidth="1"/>
    <col min="4625" max="4625" width="8" style="143" bestFit="1" customWidth="1"/>
    <col min="4626" max="4626" width="7.75" style="143" bestFit="1" customWidth="1"/>
    <col min="4627" max="4628" width="9.625" style="143" bestFit="1" customWidth="1"/>
    <col min="4629" max="4630" width="9.625" style="143" customWidth="1"/>
    <col min="4631" max="4631" width="9.25" style="143" bestFit="1" customWidth="1"/>
    <col min="4632" max="4632" width="11" style="143" bestFit="1" customWidth="1"/>
    <col min="4633" max="4865" width="9" style="143"/>
    <col min="4866" max="4866" width="4.625" style="143" bestFit="1" customWidth="1"/>
    <col min="4867" max="4867" width="7.5" style="143" bestFit="1" customWidth="1"/>
    <col min="4868" max="4868" width="6.25" style="143" customWidth="1"/>
    <col min="4869" max="4869" width="11" style="143" bestFit="1" customWidth="1"/>
    <col min="4870" max="4871" width="9.625" style="143" bestFit="1" customWidth="1"/>
    <col min="4872" max="4872" width="8.25" style="143" bestFit="1" customWidth="1"/>
    <col min="4873" max="4874" width="9.625" style="143" bestFit="1" customWidth="1"/>
    <col min="4875" max="4875" width="8.25" style="143" bestFit="1" customWidth="1"/>
    <col min="4876" max="4877" width="9.625" style="143" bestFit="1" customWidth="1"/>
    <col min="4878" max="4879" width="8.25" style="143" bestFit="1" customWidth="1"/>
    <col min="4880" max="4880" width="11" style="143" bestFit="1" customWidth="1"/>
    <col min="4881" max="4881" width="8" style="143" bestFit="1" customWidth="1"/>
    <col min="4882" max="4882" width="7.75" style="143" bestFit="1" customWidth="1"/>
    <col min="4883" max="4884" width="9.625" style="143" bestFit="1" customWidth="1"/>
    <col min="4885" max="4886" width="9.625" style="143" customWidth="1"/>
    <col min="4887" max="4887" width="9.25" style="143" bestFit="1" customWidth="1"/>
    <col min="4888" max="4888" width="11" style="143" bestFit="1" customWidth="1"/>
    <col min="4889" max="5121" width="9" style="143"/>
    <col min="5122" max="5122" width="4.625" style="143" bestFit="1" customWidth="1"/>
    <col min="5123" max="5123" width="7.5" style="143" bestFit="1" customWidth="1"/>
    <col min="5124" max="5124" width="6.25" style="143" customWidth="1"/>
    <col min="5125" max="5125" width="11" style="143" bestFit="1" customWidth="1"/>
    <col min="5126" max="5127" width="9.625" style="143" bestFit="1" customWidth="1"/>
    <col min="5128" max="5128" width="8.25" style="143" bestFit="1" customWidth="1"/>
    <col min="5129" max="5130" width="9.625" style="143" bestFit="1" customWidth="1"/>
    <col min="5131" max="5131" width="8.25" style="143" bestFit="1" customWidth="1"/>
    <col min="5132" max="5133" width="9.625" style="143" bestFit="1" customWidth="1"/>
    <col min="5134" max="5135" width="8.25" style="143" bestFit="1" customWidth="1"/>
    <col min="5136" max="5136" width="11" style="143" bestFit="1" customWidth="1"/>
    <col min="5137" max="5137" width="8" style="143" bestFit="1" customWidth="1"/>
    <col min="5138" max="5138" width="7.75" style="143" bestFit="1" customWidth="1"/>
    <col min="5139" max="5140" width="9.625" style="143" bestFit="1" customWidth="1"/>
    <col min="5141" max="5142" width="9.625" style="143" customWidth="1"/>
    <col min="5143" max="5143" width="9.25" style="143" bestFit="1" customWidth="1"/>
    <col min="5144" max="5144" width="11" style="143" bestFit="1" customWidth="1"/>
    <col min="5145" max="5377" width="9" style="143"/>
    <col min="5378" max="5378" width="4.625" style="143" bestFit="1" customWidth="1"/>
    <col min="5379" max="5379" width="7.5" style="143" bestFit="1" customWidth="1"/>
    <col min="5380" max="5380" width="6.25" style="143" customWidth="1"/>
    <col min="5381" max="5381" width="11" style="143" bestFit="1" customWidth="1"/>
    <col min="5382" max="5383" width="9.625" style="143" bestFit="1" customWidth="1"/>
    <col min="5384" max="5384" width="8.25" style="143" bestFit="1" customWidth="1"/>
    <col min="5385" max="5386" width="9.625" style="143" bestFit="1" customWidth="1"/>
    <col min="5387" max="5387" width="8.25" style="143" bestFit="1" customWidth="1"/>
    <col min="5388" max="5389" width="9.625" style="143" bestFit="1" customWidth="1"/>
    <col min="5390" max="5391" width="8.25" style="143" bestFit="1" customWidth="1"/>
    <col min="5392" max="5392" width="11" style="143" bestFit="1" customWidth="1"/>
    <col min="5393" max="5393" width="8" style="143" bestFit="1" customWidth="1"/>
    <col min="5394" max="5394" width="7.75" style="143" bestFit="1" customWidth="1"/>
    <col min="5395" max="5396" width="9.625" style="143" bestFit="1" customWidth="1"/>
    <col min="5397" max="5398" width="9.625" style="143" customWidth="1"/>
    <col min="5399" max="5399" width="9.25" style="143" bestFit="1" customWidth="1"/>
    <col min="5400" max="5400" width="11" style="143" bestFit="1" customWidth="1"/>
    <col min="5401" max="5633" width="9" style="143"/>
    <col min="5634" max="5634" width="4.625" style="143" bestFit="1" customWidth="1"/>
    <col min="5635" max="5635" width="7.5" style="143" bestFit="1" customWidth="1"/>
    <col min="5636" max="5636" width="6.25" style="143" customWidth="1"/>
    <col min="5637" max="5637" width="11" style="143" bestFit="1" customWidth="1"/>
    <col min="5638" max="5639" width="9.625" style="143" bestFit="1" customWidth="1"/>
    <col min="5640" max="5640" width="8.25" style="143" bestFit="1" customWidth="1"/>
    <col min="5641" max="5642" width="9.625" style="143" bestFit="1" customWidth="1"/>
    <col min="5643" max="5643" width="8.25" style="143" bestFit="1" customWidth="1"/>
    <col min="5644" max="5645" width="9.625" style="143" bestFit="1" customWidth="1"/>
    <col min="5646" max="5647" width="8.25" style="143" bestFit="1" customWidth="1"/>
    <col min="5648" max="5648" width="11" style="143" bestFit="1" customWidth="1"/>
    <col min="5649" max="5649" width="8" style="143" bestFit="1" customWidth="1"/>
    <col min="5650" max="5650" width="7.75" style="143" bestFit="1" customWidth="1"/>
    <col min="5651" max="5652" width="9.625" style="143" bestFit="1" customWidth="1"/>
    <col min="5653" max="5654" width="9.625" style="143" customWidth="1"/>
    <col min="5655" max="5655" width="9.25" style="143" bestFit="1" customWidth="1"/>
    <col min="5656" max="5656" width="11" style="143" bestFit="1" customWidth="1"/>
    <col min="5657" max="5889" width="9" style="143"/>
    <col min="5890" max="5890" width="4.625" style="143" bestFit="1" customWidth="1"/>
    <col min="5891" max="5891" width="7.5" style="143" bestFit="1" customWidth="1"/>
    <col min="5892" max="5892" width="6.25" style="143" customWidth="1"/>
    <col min="5893" max="5893" width="11" style="143" bestFit="1" customWidth="1"/>
    <col min="5894" max="5895" width="9.625" style="143" bestFit="1" customWidth="1"/>
    <col min="5896" max="5896" width="8.25" style="143" bestFit="1" customWidth="1"/>
    <col min="5897" max="5898" width="9.625" style="143" bestFit="1" customWidth="1"/>
    <col min="5899" max="5899" width="8.25" style="143" bestFit="1" customWidth="1"/>
    <col min="5900" max="5901" width="9.625" style="143" bestFit="1" customWidth="1"/>
    <col min="5902" max="5903" width="8.25" style="143" bestFit="1" customWidth="1"/>
    <col min="5904" max="5904" width="11" style="143" bestFit="1" customWidth="1"/>
    <col min="5905" max="5905" width="8" style="143" bestFit="1" customWidth="1"/>
    <col min="5906" max="5906" width="7.75" style="143" bestFit="1" customWidth="1"/>
    <col min="5907" max="5908" width="9.625" style="143" bestFit="1" customWidth="1"/>
    <col min="5909" max="5910" width="9.625" style="143" customWidth="1"/>
    <col min="5911" max="5911" width="9.25" style="143" bestFit="1" customWidth="1"/>
    <col min="5912" max="5912" width="11" style="143" bestFit="1" customWidth="1"/>
    <col min="5913" max="6145" width="9" style="143"/>
    <col min="6146" max="6146" width="4.625" style="143" bestFit="1" customWidth="1"/>
    <col min="6147" max="6147" width="7.5" style="143" bestFit="1" customWidth="1"/>
    <col min="6148" max="6148" width="6.25" style="143" customWidth="1"/>
    <col min="6149" max="6149" width="11" style="143" bestFit="1" customWidth="1"/>
    <col min="6150" max="6151" width="9.625" style="143" bestFit="1" customWidth="1"/>
    <col min="6152" max="6152" width="8.25" style="143" bestFit="1" customWidth="1"/>
    <col min="6153" max="6154" width="9.625" style="143" bestFit="1" customWidth="1"/>
    <col min="6155" max="6155" width="8.25" style="143" bestFit="1" customWidth="1"/>
    <col min="6156" max="6157" width="9.625" style="143" bestFit="1" customWidth="1"/>
    <col min="6158" max="6159" width="8.25" style="143" bestFit="1" customWidth="1"/>
    <col min="6160" max="6160" width="11" style="143" bestFit="1" customWidth="1"/>
    <col min="6161" max="6161" width="8" style="143" bestFit="1" customWidth="1"/>
    <col min="6162" max="6162" width="7.75" style="143" bestFit="1" customWidth="1"/>
    <col min="6163" max="6164" width="9.625" style="143" bestFit="1" customWidth="1"/>
    <col min="6165" max="6166" width="9.625" style="143" customWidth="1"/>
    <col min="6167" max="6167" width="9.25" style="143" bestFit="1" customWidth="1"/>
    <col min="6168" max="6168" width="11" style="143" bestFit="1" customWidth="1"/>
    <col min="6169" max="6401" width="9" style="143"/>
    <col min="6402" max="6402" width="4.625" style="143" bestFit="1" customWidth="1"/>
    <col min="6403" max="6403" width="7.5" style="143" bestFit="1" customWidth="1"/>
    <col min="6404" max="6404" width="6.25" style="143" customWidth="1"/>
    <col min="6405" max="6405" width="11" style="143" bestFit="1" customWidth="1"/>
    <col min="6406" max="6407" width="9.625" style="143" bestFit="1" customWidth="1"/>
    <col min="6408" max="6408" width="8.25" style="143" bestFit="1" customWidth="1"/>
    <col min="6409" max="6410" width="9.625" style="143" bestFit="1" customWidth="1"/>
    <col min="6411" max="6411" width="8.25" style="143" bestFit="1" customWidth="1"/>
    <col min="6412" max="6413" width="9.625" style="143" bestFit="1" customWidth="1"/>
    <col min="6414" max="6415" width="8.25" style="143" bestFit="1" customWidth="1"/>
    <col min="6416" max="6416" width="11" style="143" bestFit="1" customWidth="1"/>
    <col min="6417" max="6417" width="8" style="143" bestFit="1" customWidth="1"/>
    <col min="6418" max="6418" width="7.75" style="143" bestFit="1" customWidth="1"/>
    <col min="6419" max="6420" width="9.625" style="143" bestFit="1" customWidth="1"/>
    <col min="6421" max="6422" width="9.625" style="143" customWidth="1"/>
    <col min="6423" max="6423" width="9.25" style="143" bestFit="1" customWidth="1"/>
    <col min="6424" max="6424" width="11" style="143" bestFit="1" customWidth="1"/>
    <col min="6425" max="6657" width="9" style="143"/>
    <col min="6658" max="6658" width="4.625" style="143" bestFit="1" customWidth="1"/>
    <col min="6659" max="6659" width="7.5" style="143" bestFit="1" customWidth="1"/>
    <col min="6660" max="6660" width="6.25" style="143" customWidth="1"/>
    <col min="6661" max="6661" width="11" style="143" bestFit="1" customWidth="1"/>
    <col min="6662" max="6663" width="9.625" style="143" bestFit="1" customWidth="1"/>
    <col min="6664" max="6664" width="8.25" style="143" bestFit="1" customWidth="1"/>
    <col min="6665" max="6666" width="9.625" style="143" bestFit="1" customWidth="1"/>
    <col min="6667" max="6667" width="8.25" style="143" bestFit="1" customWidth="1"/>
    <col min="6668" max="6669" width="9.625" style="143" bestFit="1" customWidth="1"/>
    <col min="6670" max="6671" width="8.25" style="143" bestFit="1" customWidth="1"/>
    <col min="6672" max="6672" width="11" style="143" bestFit="1" customWidth="1"/>
    <col min="6673" max="6673" width="8" style="143" bestFit="1" customWidth="1"/>
    <col min="6674" max="6674" width="7.75" style="143" bestFit="1" customWidth="1"/>
    <col min="6675" max="6676" width="9.625" style="143" bestFit="1" customWidth="1"/>
    <col min="6677" max="6678" width="9.625" style="143" customWidth="1"/>
    <col min="6679" max="6679" width="9.25" style="143" bestFit="1" customWidth="1"/>
    <col min="6680" max="6680" width="11" style="143" bestFit="1" customWidth="1"/>
    <col min="6681" max="6913" width="9" style="143"/>
    <col min="6914" max="6914" width="4.625" style="143" bestFit="1" customWidth="1"/>
    <col min="6915" max="6915" width="7.5" style="143" bestFit="1" customWidth="1"/>
    <col min="6916" max="6916" width="6.25" style="143" customWidth="1"/>
    <col min="6917" max="6917" width="11" style="143" bestFit="1" customWidth="1"/>
    <col min="6918" max="6919" width="9.625" style="143" bestFit="1" customWidth="1"/>
    <col min="6920" max="6920" width="8.25" style="143" bestFit="1" customWidth="1"/>
    <col min="6921" max="6922" width="9.625" style="143" bestFit="1" customWidth="1"/>
    <col min="6923" max="6923" width="8.25" style="143" bestFit="1" customWidth="1"/>
    <col min="6924" max="6925" width="9.625" style="143" bestFit="1" customWidth="1"/>
    <col min="6926" max="6927" width="8.25" style="143" bestFit="1" customWidth="1"/>
    <col min="6928" max="6928" width="11" style="143" bestFit="1" customWidth="1"/>
    <col min="6929" max="6929" width="8" style="143" bestFit="1" customWidth="1"/>
    <col min="6930" max="6930" width="7.75" style="143" bestFit="1" customWidth="1"/>
    <col min="6931" max="6932" width="9.625" style="143" bestFit="1" customWidth="1"/>
    <col min="6933" max="6934" width="9.625" style="143" customWidth="1"/>
    <col min="6935" max="6935" width="9.25" style="143" bestFit="1" customWidth="1"/>
    <col min="6936" max="6936" width="11" style="143" bestFit="1" customWidth="1"/>
    <col min="6937" max="7169" width="9" style="143"/>
    <col min="7170" max="7170" width="4.625" style="143" bestFit="1" customWidth="1"/>
    <col min="7171" max="7171" width="7.5" style="143" bestFit="1" customWidth="1"/>
    <col min="7172" max="7172" width="6.25" style="143" customWidth="1"/>
    <col min="7173" max="7173" width="11" style="143" bestFit="1" customWidth="1"/>
    <col min="7174" max="7175" width="9.625" style="143" bestFit="1" customWidth="1"/>
    <col min="7176" max="7176" width="8.25" style="143" bestFit="1" customWidth="1"/>
    <col min="7177" max="7178" width="9.625" style="143" bestFit="1" customWidth="1"/>
    <col min="7179" max="7179" width="8.25" style="143" bestFit="1" customWidth="1"/>
    <col min="7180" max="7181" width="9.625" style="143" bestFit="1" customWidth="1"/>
    <col min="7182" max="7183" width="8.25" style="143" bestFit="1" customWidth="1"/>
    <col min="7184" max="7184" width="11" style="143" bestFit="1" customWidth="1"/>
    <col min="7185" max="7185" width="8" style="143" bestFit="1" customWidth="1"/>
    <col min="7186" max="7186" width="7.75" style="143" bestFit="1" customWidth="1"/>
    <col min="7187" max="7188" width="9.625" style="143" bestFit="1" customWidth="1"/>
    <col min="7189" max="7190" width="9.625" style="143" customWidth="1"/>
    <col min="7191" max="7191" width="9.25" style="143" bestFit="1" customWidth="1"/>
    <col min="7192" max="7192" width="11" style="143" bestFit="1" customWidth="1"/>
    <col min="7193" max="7425" width="9" style="143"/>
    <col min="7426" max="7426" width="4.625" style="143" bestFit="1" customWidth="1"/>
    <col min="7427" max="7427" width="7.5" style="143" bestFit="1" customWidth="1"/>
    <col min="7428" max="7428" width="6.25" style="143" customWidth="1"/>
    <col min="7429" max="7429" width="11" style="143" bestFit="1" customWidth="1"/>
    <col min="7430" max="7431" width="9.625" style="143" bestFit="1" customWidth="1"/>
    <col min="7432" max="7432" width="8.25" style="143" bestFit="1" customWidth="1"/>
    <col min="7433" max="7434" width="9.625" style="143" bestFit="1" customWidth="1"/>
    <col min="7435" max="7435" width="8.25" style="143" bestFit="1" customWidth="1"/>
    <col min="7436" max="7437" width="9.625" style="143" bestFit="1" customWidth="1"/>
    <col min="7438" max="7439" width="8.25" style="143" bestFit="1" customWidth="1"/>
    <col min="7440" max="7440" width="11" style="143" bestFit="1" customWidth="1"/>
    <col min="7441" max="7441" width="8" style="143" bestFit="1" customWidth="1"/>
    <col min="7442" max="7442" width="7.75" style="143" bestFit="1" customWidth="1"/>
    <col min="7443" max="7444" width="9.625" style="143" bestFit="1" customWidth="1"/>
    <col min="7445" max="7446" width="9.625" style="143" customWidth="1"/>
    <col min="7447" max="7447" width="9.25" style="143" bestFit="1" customWidth="1"/>
    <col min="7448" max="7448" width="11" style="143" bestFit="1" customWidth="1"/>
    <col min="7449" max="7681" width="9" style="143"/>
    <col min="7682" max="7682" width="4.625" style="143" bestFit="1" customWidth="1"/>
    <col min="7683" max="7683" width="7.5" style="143" bestFit="1" customWidth="1"/>
    <col min="7684" max="7684" width="6.25" style="143" customWidth="1"/>
    <col min="7685" max="7685" width="11" style="143" bestFit="1" customWidth="1"/>
    <col min="7686" max="7687" width="9.625" style="143" bestFit="1" customWidth="1"/>
    <col min="7688" max="7688" width="8.25" style="143" bestFit="1" customWidth="1"/>
    <col min="7689" max="7690" width="9.625" style="143" bestFit="1" customWidth="1"/>
    <col min="7691" max="7691" width="8.25" style="143" bestFit="1" customWidth="1"/>
    <col min="7692" max="7693" width="9.625" style="143" bestFit="1" customWidth="1"/>
    <col min="7694" max="7695" width="8.25" style="143" bestFit="1" customWidth="1"/>
    <col min="7696" max="7696" width="11" style="143" bestFit="1" customWidth="1"/>
    <col min="7697" max="7697" width="8" style="143" bestFit="1" customWidth="1"/>
    <col min="7698" max="7698" width="7.75" style="143" bestFit="1" customWidth="1"/>
    <col min="7699" max="7700" width="9.625" style="143" bestFit="1" customWidth="1"/>
    <col min="7701" max="7702" width="9.625" style="143" customWidth="1"/>
    <col min="7703" max="7703" width="9.25" style="143" bestFit="1" customWidth="1"/>
    <col min="7704" max="7704" width="11" style="143" bestFit="1" customWidth="1"/>
    <col min="7705" max="7937" width="9" style="143"/>
    <col min="7938" max="7938" width="4.625" style="143" bestFit="1" customWidth="1"/>
    <col min="7939" max="7939" width="7.5" style="143" bestFit="1" customWidth="1"/>
    <col min="7940" max="7940" width="6.25" style="143" customWidth="1"/>
    <col min="7941" max="7941" width="11" style="143" bestFit="1" customWidth="1"/>
    <col min="7942" max="7943" width="9.625" style="143" bestFit="1" customWidth="1"/>
    <col min="7944" max="7944" width="8.25" style="143" bestFit="1" customWidth="1"/>
    <col min="7945" max="7946" width="9.625" style="143" bestFit="1" customWidth="1"/>
    <col min="7947" max="7947" width="8.25" style="143" bestFit="1" customWidth="1"/>
    <col min="7948" max="7949" width="9.625" style="143" bestFit="1" customWidth="1"/>
    <col min="7950" max="7951" width="8.25" style="143" bestFit="1" customWidth="1"/>
    <col min="7952" max="7952" width="11" style="143" bestFit="1" customWidth="1"/>
    <col min="7953" max="7953" width="8" style="143" bestFit="1" customWidth="1"/>
    <col min="7954" max="7954" width="7.75" style="143" bestFit="1" customWidth="1"/>
    <col min="7955" max="7956" width="9.625" style="143" bestFit="1" customWidth="1"/>
    <col min="7957" max="7958" width="9.625" style="143" customWidth="1"/>
    <col min="7959" max="7959" width="9.25" style="143" bestFit="1" customWidth="1"/>
    <col min="7960" max="7960" width="11" style="143" bestFit="1" customWidth="1"/>
    <col min="7961" max="8193" width="9" style="143"/>
    <col min="8194" max="8194" width="4.625" style="143" bestFit="1" customWidth="1"/>
    <col min="8195" max="8195" width="7.5" style="143" bestFit="1" customWidth="1"/>
    <col min="8196" max="8196" width="6.25" style="143" customWidth="1"/>
    <col min="8197" max="8197" width="11" style="143" bestFit="1" customWidth="1"/>
    <col min="8198" max="8199" width="9.625" style="143" bestFit="1" customWidth="1"/>
    <col min="8200" max="8200" width="8.25" style="143" bestFit="1" customWidth="1"/>
    <col min="8201" max="8202" width="9.625" style="143" bestFit="1" customWidth="1"/>
    <col min="8203" max="8203" width="8.25" style="143" bestFit="1" customWidth="1"/>
    <col min="8204" max="8205" width="9.625" style="143" bestFit="1" customWidth="1"/>
    <col min="8206" max="8207" width="8.25" style="143" bestFit="1" customWidth="1"/>
    <col min="8208" max="8208" width="11" style="143" bestFit="1" customWidth="1"/>
    <col min="8209" max="8209" width="8" style="143" bestFit="1" customWidth="1"/>
    <col min="8210" max="8210" width="7.75" style="143" bestFit="1" customWidth="1"/>
    <col min="8211" max="8212" width="9.625" style="143" bestFit="1" customWidth="1"/>
    <col min="8213" max="8214" width="9.625" style="143" customWidth="1"/>
    <col min="8215" max="8215" width="9.25" style="143" bestFit="1" customWidth="1"/>
    <col min="8216" max="8216" width="11" style="143" bestFit="1" customWidth="1"/>
    <col min="8217" max="8449" width="9" style="143"/>
    <col min="8450" max="8450" width="4.625" style="143" bestFit="1" customWidth="1"/>
    <col min="8451" max="8451" width="7.5" style="143" bestFit="1" customWidth="1"/>
    <col min="8452" max="8452" width="6.25" style="143" customWidth="1"/>
    <col min="8453" max="8453" width="11" style="143" bestFit="1" customWidth="1"/>
    <col min="8454" max="8455" width="9.625" style="143" bestFit="1" customWidth="1"/>
    <col min="8456" max="8456" width="8.25" style="143" bestFit="1" customWidth="1"/>
    <col min="8457" max="8458" width="9.625" style="143" bestFit="1" customWidth="1"/>
    <col min="8459" max="8459" width="8.25" style="143" bestFit="1" customWidth="1"/>
    <col min="8460" max="8461" width="9.625" style="143" bestFit="1" customWidth="1"/>
    <col min="8462" max="8463" width="8.25" style="143" bestFit="1" customWidth="1"/>
    <col min="8464" max="8464" width="11" style="143" bestFit="1" customWidth="1"/>
    <col min="8465" max="8465" width="8" style="143" bestFit="1" customWidth="1"/>
    <col min="8466" max="8466" width="7.75" style="143" bestFit="1" customWidth="1"/>
    <col min="8467" max="8468" width="9.625" style="143" bestFit="1" customWidth="1"/>
    <col min="8469" max="8470" width="9.625" style="143" customWidth="1"/>
    <col min="8471" max="8471" width="9.25" style="143" bestFit="1" customWidth="1"/>
    <col min="8472" max="8472" width="11" style="143" bestFit="1" customWidth="1"/>
    <col min="8473" max="8705" width="9" style="143"/>
    <col min="8706" max="8706" width="4.625" style="143" bestFit="1" customWidth="1"/>
    <col min="8707" max="8707" width="7.5" style="143" bestFit="1" customWidth="1"/>
    <col min="8708" max="8708" width="6.25" style="143" customWidth="1"/>
    <col min="8709" max="8709" width="11" style="143" bestFit="1" customWidth="1"/>
    <col min="8710" max="8711" width="9.625" style="143" bestFit="1" customWidth="1"/>
    <col min="8712" max="8712" width="8.25" style="143" bestFit="1" customWidth="1"/>
    <col min="8713" max="8714" width="9.625" style="143" bestFit="1" customWidth="1"/>
    <col min="8715" max="8715" width="8.25" style="143" bestFit="1" customWidth="1"/>
    <col min="8716" max="8717" width="9.625" style="143" bestFit="1" customWidth="1"/>
    <col min="8718" max="8719" width="8.25" style="143" bestFit="1" customWidth="1"/>
    <col min="8720" max="8720" width="11" style="143" bestFit="1" customWidth="1"/>
    <col min="8721" max="8721" width="8" style="143" bestFit="1" customWidth="1"/>
    <col min="8722" max="8722" width="7.75" style="143" bestFit="1" customWidth="1"/>
    <col min="8723" max="8724" width="9.625" style="143" bestFit="1" customWidth="1"/>
    <col min="8725" max="8726" width="9.625" style="143" customWidth="1"/>
    <col min="8727" max="8727" width="9.25" style="143" bestFit="1" customWidth="1"/>
    <col min="8728" max="8728" width="11" style="143" bestFit="1" customWidth="1"/>
    <col min="8729" max="8961" width="9" style="143"/>
    <col min="8962" max="8962" width="4.625" style="143" bestFit="1" customWidth="1"/>
    <col min="8963" max="8963" width="7.5" style="143" bestFit="1" customWidth="1"/>
    <col min="8964" max="8964" width="6.25" style="143" customWidth="1"/>
    <col min="8965" max="8965" width="11" style="143" bestFit="1" customWidth="1"/>
    <col min="8966" max="8967" width="9.625" style="143" bestFit="1" customWidth="1"/>
    <col min="8968" max="8968" width="8.25" style="143" bestFit="1" customWidth="1"/>
    <col min="8969" max="8970" width="9.625" style="143" bestFit="1" customWidth="1"/>
    <col min="8971" max="8971" width="8.25" style="143" bestFit="1" customWidth="1"/>
    <col min="8972" max="8973" width="9.625" style="143" bestFit="1" customWidth="1"/>
    <col min="8974" max="8975" width="8.25" style="143" bestFit="1" customWidth="1"/>
    <col min="8976" max="8976" width="11" style="143" bestFit="1" customWidth="1"/>
    <col min="8977" max="8977" width="8" style="143" bestFit="1" customWidth="1"/>
    <col min="8978" max="8978" width="7.75" style="143" bestFit="1" customWidth="1"/>
    <col min="8979" max="8980" width="9.625" style="143" bestFit="1" customWidth="1"/>
    <col min="8981" max="8982" width="9.625" style="143" customWidth="1"/>
    <col min="8983" max="8983" width="9.25" style="143" bestFit="1" customWidth="1"/>
    <col min="8984" max="8984" width="11" style="143" bestFit="1" customWidth="1"/>
    <col min="8985" max="9217" width="9" style="143"/>
    <col min="9218" max="9218" width="4.625" style="143" bestFit="1" customWidth="1"/>
    <col min="9219" max="9219" width="7.5" style="143" bestFit="1" customWidth="1"/>
    <col min="9220" max="9220" width="6.25" style="143" customWidth="1"/>
    <col min="9221" max="9221" width="11" style="143" bestFit="1" customWidth="1"/>
    <col min="9222" max="9223" width="9.625" style="143" bestFit="1" customWidth="1"/>
    <col min="9224" max="9224" width="8.25" style="143" bestFit="1" customWidth="1"/>
    <col min="9225" max="9226" width="9.625" style="143" bestFit="1" customWidth="1"/>
    <col min="9227" max="9227" width="8.25" style="143" bestFit="1" customWidth="1"/>
    <col min="9228" max="9229" width="9.625" style="143" bestFit="1" customWidth="1"/>
    <col min="9230" max="9231" width="8.25" style="143" bestFit="1" customWidth="1"/>
    <col min="9232" max="9232" width="11" style="143" bestFit="1" customWidth="1"/>
    <col min="9233" max="9233" width="8" style="143" bestFit="1" customWidth="1"/>
    <col min="9234" max="9234" width="7.75" style="143" bestFit="1" customWidth="1"/>
    <col min="9235" max="9236" width="9.625" style="143" bestFit="1" customWidth="1"/>
    <col min="9237" max="9238" width="9.625" style="143" customWidth="1"/>
    <col min="9239" max="9239" width="9.25" style="143" bestFit="1" customWidth="1"/>
    <col min="9240" max="9240" width="11" style="143" bestFit="1" customWidth="1"/>
    <col min="9241" max="9473" width="9" style="143"/>
    <col min="9474" max="9474" width="4.625" style="143" bestFit="1" customWidth="1"/>
    <col min="9475" max="9475" width="7.5" style="143" bestFit="1" customWidth="1"/>
    <col min="9476" max="9476" width="6.25" style="143" customWidth="1"/>
    <col min="9477" max="9477" width="11" style="143" bestFit="1" customWidth="1"/>
    <col min="9478" max="9479" width="9.625" style="143" bestFit="1" customWidth="1"/>
    <col min="9480" max="9480" width="8.25" style="143" bestFit="1" customWidth="1"/>
    <col min="9481" max="9482" width="9.625" style="143" bestFit="1" customWidth="1"/>
    <col min="9483" max="9483" width="8.25" style="143" bestFit="1" customWidth="1"/>
    <col min="9484" max="9485" width="9.625" style="143" bestFit="1" customWidth="1"/>
    <col min="9486" max="9487" width="8.25" style="143" bestFit="1" customWidth="1"/>
    <col min="9488" max="9488" width="11" style="143" bestFit="1" customWidth="1"/>
    <col min="9489" max="9489" width="8" style="143" bestFit="1" customWidth="1"/>
    <col min="9490" max="9490" width="7.75" style="143" bestFit="1" customWidth="1"/>
    <col min="9491" max="9492" width="9.625" style="143" bestFit="1" customWidth="1"/>
    <col min="9493" max="9494" width="9.625" style="143" customWidth="1"/>
    <col min="9495" max="9495" width="9.25" style="143" bestFit="1" customWidth="1"/>
    <col min="9496" max="9496" width="11" style="143" bestFit="1" customWidth="1"/>
    <col min="9497" max="9729" width="9" style="143"/>
    <col min="9730" max="9730" width="4.625" style="143" bestFit="1" customWidth="1"/>
    <col min="9731" max="9731" width="7.5" style="143" bestFit="1" customWidth="1"/>
    <col min="9732" max="9732" width="6.25" style="143" customWidth="1"/>
    <col min="9733" max="9733" width="11" style="143" bestFit="1" customWidth="1"/>
    <col min="9734" max="9735" width="9.625" style="143" bestFit="1" customWidth="1"/>
    <col min="9736" max="9736" width="8.25" style="143" bestFit="1" customWidth="1"/>
    <col min="9737" max="9738" width="9.625" style="143" bestFit="1" customWidth="1"/>
    <col min="9739" max="9739" width="8.25" style="143" bestFit="1" customWidth="1"/>
    <col min="9740" max="9741" width="9.625" style="143" bestFit="1" customWidth="1"/>
    <col min="9742" max="9743" width="8.25" style="143" bestFit="1" customWidth="1"/>
    <col min="9744" max="9744" width="11" style="143" bestFit="1" customWidth="1"/>
    <col min="9745" max="9745" width="8" style="143" bestFit="1" customWidth="1"/>
    <col min="9746" max="9746" width="7.75" style="143" bestFit="1" customWidth="1"/>
    <col min="9747" max="9748" width="9.625" style="143" bestFit="1" customWidth="1"/>
    <col min="9749" max="9750" width="9.625" style="143" customWidth="1"/>
    <col min="9751" max="9751" width="9.25" style="143" bestFit="1" customWidth="1"/>
    <col min="9752" max="9752" width="11" style="143" bestFit="1" customWidth="1"/>
    <col min="9753" max="9985" width="9" style="143"/>
    <col min="9986" max="9986" width="4.625" style="143" bestFit="1" customWidth="1"/>
    <col min="9987" max="9987" width="7.5" style="143" bestFit="1" customWidth="1"/>
    <col min="9988" max="9988" width="6.25" style="143" customWidth="1"/>
    <col min="9989" max="9989" width="11" style="143" bestFit="1" customWidth="1"/>
    <col min="9990" max="9991" width="9.625" style="143" bestFit="1" customWidth="1"/>
    <col min="9992" max="9992" width="8.25" style="143" bestFit="1" customWidth="1"/>
    <col min="9993" max="9994" width="9.625" style="143" bestFit="1" customWidth="1"/>
    <col min="9995" max="9995" width="8.25" style="143" bestFit="1" customWidth="1"/>
    <col min="9996" max="9997" width="9.625" style="143" bestFit="1" customWidth="1"/>
    <col min="9998" max="9999" width="8.25" style="143" bestFit="1" customWidth="1"/>
    <col min="10000" max="10000" width="11" style="143" bestFit="1" customWidth="1"/>
    <col min="10001" max="10001" width="8" style="143" bestFit="1" customWidth="1"/>
    <col min="10002" max="10002" width="7.75" style="143" bestFit="1" customWidth="1"/>
    <col min="10003" max="10004" width="9.625" style="143" bestFit="1" customWidth="1"/>
    <col min="10005" max="10006" width="9.625" style="143" customWidth="1"/>
    <col min="10007" max="10007" width="9.25" style="143" bestFit="1" customWidth="1"/>
    <col min="10008" max="10008" width="11" style="143" bestFit="1" customWidth="1"/>
    <col min="10009" max="10241" width="9" style="143"/>
    <col min="10242" max="10242" width="4.625" style="143" bestFit="1" customWidth="1"/>
    <col min="10243" max="10243" width="7.5" style="143" bestFit="1" customWidth="1"/>
    <col min="10244" max="10244" width="6.25" style="143" customWidth="1"/>
    <col min="10245" max="10245" width="11" style="143" bestFit="1" customWidth="1"/>
    <col min="10246" max="10247" width="9.625" style="143" bestFit="1" customWidth="1"/>
    <col min="10248" max="10248" width="8.25" style="143" bestFit="1" customWidth="1"/>
    <col min="10249" max="10250" width="9.625" style="143" bestFit="1" customWidth="1"/>
    <col min="10251" max="10251" width="8.25" style="143" bestFit="1" customWidth="1"/>
    <col min="10252" max="10253" width="9.625" style="143" bestFit="1" customWidth="1"/>
    <col min="10254" max="10255" width="8.25" style="143" bestFit="1" customWidth="1"/>
    <col min="10256" max="10256" width="11" style="143" bestFit="1" customWidth="1"/>
    <col min="10257" max="10257" width="8" style="143" bestFit="1" customWidth="1"/>
    <col min="10258" max="10258" width="7.75" style="143" bestFit="1" customWidth="1"/>
    <col min="10259" max="10260" width="9.625" style="143" bestFit="1" customWidth="1"/>
    <col min="10261" max="10262" width="9.625" style="143" customWidth="1"/>
    <col min="10263" max="10263" width="9.25" style="143" bestFit="1" customWidth="1"/>
    <col min="10264" max="10264" width="11" style="143" bestFit="1" customWidth="1"/>
    <col min="10265" max="10497" width="9" style="143"/>
    <col min="10498" max="10498" width="4.625" style="143" bestFit="1" customWidth="1"/>
    <col min="10499" max="10499" width="7.5" style="143" bestFit="1" customWidth="1"/>
    <col min="10500" max="10500" width="6.25" style="143" customWidth="1"/>
    <col min="10501" max="10501" width="11" style="143" bestFit="1" customWidth="1"/>
    <col min="10502" max="10503" width="9.625" style="143" bestFit="1" customWidth="1"/>
    <col min="10504" max="10504" width="8.25" style="143" bestFit="1" customWidth="1"/>
    <col min="10505" max="10506" width="9.625" style="143" bestFit="1" customWidth="1"/>
    <col min="10507" max="10507" width="8.25" style="143" bestFit="1" customWidth="1"/>
    <col min="10508" max="10509" width="9.625" style="143" bestFit="1" customWidth="1"/>
    <col min="10510" max="10511" width="8.25" style="143" bestFit="1" customWidth="1"/>
    <col min="10512" max="10512" width="11" style="143" bestFit="1" customWidth="1"/>
    <col min="10513" max="10513" width="8" style="143" bestFit="1" customWidth="1"/>
    <col min="10514" max="10514" width="7.75" style="143" bestFit="1" customWidth="1"/>
    <col min="10515" max="10516" width="9.625" style="143" bestFit="1" customWidth="1"/>
    <col min="10517" max="10518" width="9.625" style="143" customWidth="1"/>
    <col min="10519" max="10519" width="9.25" style="143" bestFit="1" customWidth="1"/>
    <col min="10520" max="10520" width="11" style="143" bestFit="1" customWidth="1"/>
    <col min="10521" max="10753" width="9" style="143"/>
    <col min="10754" max="10754" width="4.625" style="143" bestFit="1" customWidth="1"/>
    <col min="10755" max="10755" width="7.5" style="143" bestFit="1" customWidth="1"/>
    <col min="10756" max="10756" width="6.25" style="143" customWidth="1"/>
    <col min="10757" max="10757" width="11" style="143" bestFit="1" customWidth="1"/>
    <col min="10758" max="10759" width="9.625" style="143" bestFit="1" customWidth="1"/>
    <col min="10760" max="10760" width="8.25" style="143" bestFit="1" customWidth="1"/>
    <col min="10761" max="10762" width="9.625" style="143" bestFit="1" customWidth="1"/>
    <col min="10763" max="10763" width="8.25" style="143" bestFit="1" customWidth="1"/>
    <col min="10764" max="10765" width="9.625" style="143" bestFit="1" customWidth="1"/>
    <col min="10766" max="10767" width="8.25" style="143" bestFit="1" customWidth="1"/>
    <col min="10768" max="10768" width="11" style="143" bestFit="1" customWidth="1"/>
    <col min="10769" max="10769" width="8" style="143" bestFit="1" customWidth="1"/>
    <col min="10770" max="10770" width="7.75" style="143" bestFit="1" customWidth="1"/>
    <col min="10771" max="10772" width="9.625" style="143" bestFit="1" customWidth="1"/>
    <col min="10773" max="10774" width="9.625" style="143" customWidth="1"/>
    <col min="10775" max="10775" width="9.25" style="143" bestFit="1" customWidth="1"/>
    <col min="10776" max="10776" width="11" style="143" bestFit="1" customWidth="1"/>
    <col min="10777" max="11009" width="9" style="143"/>
    <col min="11010" max="11010" width="4.625" style="143" bestFit="1" customWidth="1"/>
    <col min="11011" max="11011" width="7.5" style="143" bestFit="1" customWidth="1"/>
    <col min="11012" max="11012" width="6.25" style="143" customWidth="1"/>
    <col min="11013" max="11013" width="11" style="143" bestFit="1" customWidth="1"/>
    <col min="11014" max="11015" width="9.625" style="143" bestFit="1" customWidth="1"/>
    <col min="11016" max="11016" width="8.25" style="143" bestFit="1" customWidth="1"/>
    <col min="11017" max="11018" width="9.625" style="143" bestFit="1" customWidth="1"/>
    <col min="11019" max="11019" width="8.25" style="143" bestFit="1" customWidth="1"/>
    <col min="11020" max="11021" width="9.625" style="143" bestFit="1" customWidth="1"/>
    <col min="11022" max="11023" width="8.25" style="143" bestFit="1" customWidth="1"/>
    <col min="11024" max="11024" width="11" style="143" bestFit="1" customWidth="1"/>
    <col min="11025" max="11025" width="8" style="143" bestFit="1" customWidth="1"/>
    <col min="11026" max="11026" width="7.75" style="143" bestFit="1" customWidth="1"/>
    <col min="11027" max="11028" width="9.625" style="143" bestFit="1" customWidth="1"/>
    <col min="11029" max="11030" width="9.625" style="143" customWidth="1"/>
    <col min="11031" max="11031" width="9.25" style="143" bestFit="1" customWidth="1"/>
    <col min="11032" max="11032" width="11" style="143" bestFit="1" customWidth="1"/>
    <col min="11033" max="11265" width="9" style="143"/>
    <col min="11266" max="11266" width="4.625" style="143" bestFit="1" customWidth="1"/>
    <col min="11267" max="11267" width="7.5" style="143" bestFit="1" customWidth="1"/>
    <col min="11268" max="11268" width="6.25" style="143" customWidth="1"/>
    <col min="11269" max="11269" width="11" style="143" bestFit="1" customWidth="1"/>
    <col min="11270" max="11271" width="9.625" style="143" bestFit="1" customWidth="1"/>
    <col min="11272" max="11272" width="8.25" style="143" bestFit="1" customWidth="1"/>
    <col min="11273" max="11274" width="9.625" style="143" bestFit="1" customWidth="1"/>
    <col min="11275" max="11275" width="8.25" style="143" bestFit="1" customWidth="1"/>
    <col min="11276" max="11277" width="9.625" style="143" bestFit="1" customWidth="1"/>
    <col min="11278" max="11279" width="8.25" style="143" bestFit="1" customWidth="1"/>
    <col min="11280" max="11280" width="11" style="143" bestFit="1" customWidth="1"/>
    <col min="11281" max="11281" width="8" style="143" bestFit="1" customWidth="1"/>
    <col min="11282" max="11282" width="7.75" style="143" bestFit="1" customWidth="1"/>
    <col min="11283" max="11284" width="9.625" style="143" bestFit="1" customWidth="1"/>
    <col min="11285" max="11286" width="9.625" style="143" customWidth="1"/>
    <col min="11287" max="11287" width="9.25" style="143" bestFit="1" customWidth="1"/>
    <col min="11288" max="11288" width="11" style="143" bestFit="1" customWidth="1"/>
    <col min="11289" max="11521" width="9" style="143"/>
    <col min="11522" max="11522" width="4.625" style="143" bestFit="1" customWidth="1"/>
    <col min="11523" max="11523" width="7.5" style="143" bestFit="1" customWidth="1"/>
    <col min="11524" max="11524" width="6.25" style="143" customWidth="1"/>
    <col min="11525" max="11525" width="11" style="143" bestFit="1" customWidth="1"/>
    <col min="11526" max="11527" width="9.625" style="143" bestFit="1" customWidth="1"/>
    <col min="11528" max="11528" width="8.25" style="143" bestFit="1" customWidth="1"/>
    <col min="11529" max="11530" width="9.625" style="143" bestFit="1" customWidth="1"/>
    <col min="11531" max="11531" width="8.25" style="143" bestFit="1" customWidth="1"/>
    <col min="11532" max="11533" width="9.625" style="143" bestFit="1" customWidth="1"/>
    <col min="11534" max="11535" width="8.25" style="143" bestFit="1" customWidth="1"/>
    <col min="11536" max="11536" width="11" style="143" bestFit="1" customWidth="1"/>
    <col min="11537" max="11537" width="8" style="143" bestFit="1" customWidth="1"/>
    <col min="11538" max="11538" width="7.75" style="143" bestFit="1" customWidth="1"/>
    <col min="11539" max="11540" width="9.625" style="143" bestFit="1" customWidth="1"/>
    <col min="11541" max="11542" width="9.625" style="143" customWidth="1"/>
    <col min="11543" max="11543" width="9.25" style="143" bestFit="1" customWidth="1"/>
    <col min="11544" max="11544" width="11" style="143" bestFit="1" customWidth="1"/>
    <col min="11545" max="11777" width="9" style="143"/>
    <col min="11778" max="11778" width="4.625" style="143" bestFit="1" customWidth="1"/>
    <col min="11779" max="11779" width="7.5" style="143" bestFit="1" customWidth="1"/>
    <col min="11780" max="11780" width="6.25" style="143" customWidth="1"/>
    <col min="11781" max="11781" width="11" style="143" bestFit="1" customWidth="1"/>
    <col min="11782" max="11783" width="9.625" style="143" bestFit="1" customWidth="1"/>
    <col min="11784" max="11784" width="8.25" style="143" bestFit="1" customWidth="1"/>
    <col min="11785" max="11786" width="9.625" style="143" bestFit="1" customWidth="1"/>
    <col min="11787" max="11787" width="8.25" style="143" bestFit="1" customWidth="1"/>
    <col min="11788" max="11789" width="9.625" style="143" bestFit="1" customWidth="1"/>
    <col min="11790" max="11791" width="8.25" style="143" bestFit="1" customWidth="1"/>
    <col min="11792" max="11792" width="11" style="143" bestFit="1" customWidth="1"/>
    <col min="11793" max="11793" width="8" style="143" bestFit="1" customWidth="1"/>
    <col min="11794" max="11794" width="7.75" style="143" bestFit="1" customWidth="1"/>
    <col min="11795" max="11796" width="9.625" style="143" bestFit="1" customWidth="1"/>
    <col min="11797" max="11798" width="9.625" style="143" customWidth="1"/>
    <col min="11799" max="11799" width="9.25" style="143" bestFit="1" customWidth="1"/>
    <col min="11800" max="11800" width="11" style="143" bestFit="1" customWidth="1"/>
    <col min="11801" max="12033" width="9" style="143"/>
    <col min="12034" max="12034" width="4.625" style="143" bestFit="1" customWidth="1"/>
    <col min="12035" max="12035" width="7.5" style="143" bestFit="1" customWidth="1"/>
    <col min="12036" max="12036" width="6.25" style="143" customWidth="1"/>
    <col min="12037" max="12037" width="11" style="143" bestFit="1" customWidth="1"/>
    <col min="12038" max="12039" width="9.625" style="143" bestFit="1" customWidth="1"/>
    <col min="12040" max="12040" width="8.25" style="143" bestFit="1" customWidth="1"/>
    <col min="12041" max="12042" width="9.625" style="143" bestFit="1" customWidth="1"/>
    <col min="12043" max="12043" width="8.25" style="143" bestFit="1" customWidth="1"/>
    <col min="12044" max="12045" width="9.625" style="143" bestFit="1" customWidth="1"/>
    <col min="12046" max="12047" width="8.25" style="143" bestFit="1" customWidth="1"/>
    <col min="12048" max="12048" width="11" style="143" bestFit="1" customWidth="1"/>
    <col min="12049" max="12049" width="8" style="143" bestFit="1" customWidth="1"/>
    <col min="12050" max="12050" width="7.75" style="143" bestFit="1" customWidth="1"/>
    <col min="12051" max="12052" width="9.625" style="143" bestFit="1" customWidth="1"/>
    <col min="12053" max="12054" width="9.625" style="143" customWidth="1"/>
    <col min="12055" max="12055" width="9.25" style="143" bestFit="1" customWidth="1"/>
    <col min="12056" max="12056" width="11" style="143" bestFit="1" customWidth="1"/>
    <col min="12057" max="12289" width="9" style="143"/>
    <col min="12290" max="12290" width="4.625" style="143" bestFit="1" customWidth="1"/>
    <col min="12291" max="12291" width="7.5" style="143" bestFit="1" customWidth="1"/>
    <col min="12292" max="12292" width="6.25" style="143" customWidth="1"/>
    <col min="12293" max="12293" width="11" style="143" bestFit="1" customWidth="1"/>
    <col min="12294" max="12295" width="9.625" style="143" bestFit="1" customWidth="1"/>
    <col min="12296" max="12296" width="8.25" style="143" bestFit="1" customWidth="1"/>
    <col min="12297" max="12298" width="9.625" style="143" bestFit="1" customWidth="1"/>
    <col min="12299" max="12299" width="8.25" style="143" bestFit="1" customWidth="1"/>
    <col min="12300" max="12301" width="9.625" style="143" bestFit="1" customWidth="1"/>
    <col min="12302" max="12303" width="8.25" style="143" bestFit="1" customWidth="1"/>
    <col min="12304" max="12304" width="11" style="143" bestFit="1" customWidth="1"/>
    <col min="12305" max="12305" width="8" style="143" bestFit="1" customWidth="1"/>
    <col min="12306" max="12306" width="7.75" style="143" bestFit="1" customWidth="1"/>
    <col min="12307" max="12308" width="9.625" style="143" bestFit="1" customWidth="1"/>
    <col min="12309" max="12310" width="9.625" style="143" customWidth="1"/>
    <col min="12311" max="12311" width="9.25" style="143" bestFit="1" customWidth="1"/>
    <col min="12312" max="12312" width="11" style="143" bestFit="1" customWidth="1"/>
    <col min="12313" max="12545" width="9" style="143"/>
    <col min="12546" max="12546" width="4.625" style="143" bestFit="1" customWidth="1"/>
    <col min="12547" max="12547" width="7.5" style="143" bestFit="1" customWidth="1"/>
    <col min="12548" max="12548" width="6.25" style="143" customWidth="1"/>
    <col min="12549" max="12549" width="11" style="143" bestFit="1" customWidth="1"/>
    <col min="12550" max="12551" width="9.625" style="143" bestFit="1" customWidth="1"/>
    <col min="12552" max="12552" width="8.25" style="143" bestFit="1" customWidth="1"/>
    <col min="12553" max="12554" width="9.625" style="143" bestFit="1" customWidth="1"/>
    <col min="12555" max="12555" width="8.25" style="143" bestFit="1" customWidth="1"/>
    <col min="12556" max="12557" width="9.625" style="143" bestFit="1" customWidth="1"/>
    <col min="12558" max="12559" width="8.25" style="143" bestFit="1" customWidth="1"/>
    <col min="12560" max="12560" width="11" style="143" bestFit="1" customWidth="1"/>
    <col min="12561" max="12561" width="8" style="143" bestFit="1" customWidth="1"/>
    <col min="12562" max="12562" width="7.75" style="143" bestFit="1" customWidth="1"/>
    <col min="12563" max="12564" width="9.625" style="143" bestFit="1" customWidth="1"/>
    <col min="12565" max="12566" width="9.625" style="143" customWidth="1"/>
    <col min="12567" max="12567" width="9.25" style="143" bestFit="1" customWidth="1"/>
    <col min="12568" max="12568" width="11" style="143" bestFit="1" customWidth="1"/>
    <col min="12569" max="12801" width="9" style="143"/>
    <col min="12802" max="12802" width="4.625" style="143" bestFit="1" customWidth="1"/>
    <col min="12803" max="12803" width="7.5" style="143" bestFit="1" customWidth="1"/>
    <col min="12804" max="12804" width="6.25" style="143" customWidth="1"/>
    <col min="12805" max="12805" width="11" style="143" bestFit="1" customWidth="1"/>
    <col min="12806" max="12807" width="9.625" style="143" bestFit="1" customWidth="1"/>
    <col min="12808" max="12808" width="8.25" style="143" bestFit="1" customWidth="1"/>
    <col min="12809" max="12810" width="9.625" style="143" bestFit="1" customWidth="1"/>
    <col min="12811" max="12811" width="8.25" style="143" bestFit="1" customWidth="1"/>
    <col min="12812" max="12813" width="9.625" style="143" bestFit="1" customWidth="1"/>
    <col min="12814" max="12815" width="8.25" style="143" bestFit="1" customWidth="1"/>
    <col min="12816" max="12816" width="11" style="143" bestFit="1" customWidth="1"/>
    <col min="12817" max="12817" width="8" style="143" bestFit="1" customWidth="1"/>
    <col min="12818" max="12818" width="7.75" style="143" bestFit="1" customWidth="1"/>
    <col min="12819" max="12820" width="9.625" style="143" bestFit="1" customWidth="1"/>
    <col min="12821" max="12822" width="9.625" style="143" customWidth="1"/>
    <col min="12823" max="12823" width="9.25" style="143" bestFit="1" customWidth="1"/>
    <col min="12824" max="12824" width="11" style="143" bestFit="1" customWidth="1"/>
    <col min="12825" max="13057" width="9" style="143"/>
    <col min="13058" max="13058" width="4.625" style="143" bestFit="1" customWidth="1"/>
    <col min="13059" max="13059" width="7.5" style="143" bestFit="1" customWidth="1"/>
    <col min="13060" max="13060" width="6.25" style="143" customWidth="1"/>
    <col min="13061" max="13061" width="11" style="143" bestFit="1" customWidth="1"/>
    <col min="13062" max="13063" width="9.625" style="143" bestFit="1" customWidth="1"/>
    <col min="13064" max="13064" width="8.25" style="143" bestFit="1" customWidth="1"/>
    <col min="13065" max="13066" width="9.625" style="143" bestFit="1" customWidth="1"/>
    <col min="13067" max="13067" width="8.25" style="143" bestFit="1" customWidth="1"/>
    <col min="13068" max="13069" width="9.625" style="143" bestFit="1" customWidth="1"/>
    <col min="13070" max="13071" width="8.25" style="143" bestFit="1" customWidth="1"/>
    <col min="13072" max="13072" width="11" style="143" bestFit="1" customWidth="1"/>
    <col min="13073" max="13073" width="8" style="143" bestFit="1" customWidth="1"/>
    <col min="13074" max="13074" width="7.75" style="143" bestFit="1" customWidth="1"/>
    <col min="13075" max="13076" width="9.625" style="143" bestFit="1" customWidth="1"/>
    <col min="13077" max="13078" width="9.625" style="143" customWidth="1"/>
    <col min="13079" max="13079" width="9.25" style="143" bestFit="1" customWidth="1"/>
    <col min="13080" max="13080" width="11" style="143" bestFit="1" customWidth="1"/>
    <col min="13081" max="13313" width="9" style="143"/>
    <col min="13314" max="13314" width="4.625" style="143" bestFit="1" customWidth="1"/>
    <col min="13315" max="13315" width="7.5" style="143" bestFit="1" customWidth="1"/>
    <col min="13316" max="13316" width="6.25" style="143" customWidth="1"/>
    <col min="13317" max="13317" width="11" style="143" bestFit="1" customWidth="1"/>
    <col min="13318" max="13319" width="9.625" style="143" bestFit="1" customWidth="1"/>
    <col min="13320" max="13320" width="8.25" style="143" bestFit="1" customWidth="1"/>
    <col min="13321" max="13322" width="9.625" style="143" bestFit="1" customWidth="1"/>
    <col min="13323" max="13323" width="8.25" style="143" bestFit="1" customWidth="1"/>
    <col min="13324" max="13325" width="9.625" style="143" bestFit="1" customWidth="1"/>
    <col min="13326" max="13327" width="8.25" style="143" bestFit="1" customWidth="1"/>
    <col min="13328" max="13328" width="11" style="143" bestFit="1" customWidth="1"/>
    <col min="13329" max="13329" width="8" style="143" bestFit="1" customWidth="1"/>
    <col min="13330" max="13330" width="7.75" style="143" bestFit="1" customWidth="1"/>
    <col min="13331" max="13332" width="9.625" style="143" bestFit="1" customWidth="1"/>
    <col min="13333" max="13334" width="9.625" style="143" customWidth="1"/>
    <col min="13335" max="13335" width="9.25" style="143" bestFit="1" customWidth="1"/>
    <col min="13336" max="13336" width="11" style="143" bestFit="1" customWidth="1"/>
    <col min="13337" max="13569" width="9" style="143"/>
    <col min="13570" max="13570" width="4.625" style="143" bestFit="1" customWidth="1"/>
    <col min="13571" max="13571" width="7.5" style="143" bestFit="1" customWidth="1"/>
    <col min="13572" max="13572" width="6.25" style="143" customWidth="1"/>
    <col min="13573" max="13573" width="11" style="143" bestFit="1" customWidth="1"/>
    <col min="13574" max="13575" width="9.625" style="143" bestFit="1" customWidth="1"/>
    <col min="13576" max="13576" width="8.25" style="143" bestFit="1" customWidth="1"/>
    <col min="13577" max="13578" width="9.625" style="143" bestFit="1" customWidth="1"/>
    <col min="13579" max="13579" width="8.25" style="143" bestFit="1" customWidth="1"/>
    <col min="13580" max="13581" width="9.625" style="143" bestFit="1" customWidth="1"/>
    <col min="13582" max="13583" width="8.25" style="143" bestFit="1" customWidth="1"/>
    <col min="13584" max="13584" width="11" style="143" bestFit="1" customWidth="1"/>
    <col min="13585" max="13585" width="8" style="143" bestFit="1" customWidth="1"/>
    <col min="13586" max="13586" width="7.75" style="143" bestFit="1" customWidth="1"/>
    <col min="13587" max="13588" width="9.625" style="143" bestFit="1" customWidth="1"/>
    <col min="13589" max="13590" width="9.625" style="143" customWidth="1"/>
    <col min="13591" max="13591" width="9.25" style="143" bestFit="1" customWidth="1"/>
    <col min="13592" max="13592" width="11" style="143" bestFit="1" customWidth="1"/>
    <col min="13593" max="13825" width="9" style="143"/>
    <col min="13826" max="13826" width="4.625" style="143" bestFit="1" customWidth="1"/>
    <col min="13827" max="13827" width="7.5" style="143" bestFit="1" customWidth="1"/>
    <col min="13828" max="13828" width="6.25" style="143" customWidth="1"/>
    <col min="13829" max="13829" width="11" style="143" bestFit="1" customWidth="1"/>
    <col min="13830" max="13831" width="9.625" style="143" bestFit="1" customWidth="1"/>
    <col min="13832" max="13832" width="8.25" style="143" bestFit="1" customWidth="1"/>
    <col min="13833" max="13834" width="9.625" style="143" bestFit="1" customWidth="1"/>
    <col min="13835" max="13835" width="8.25" style="143" bestFit="1" customWidth="1"/>
    <col min="13836" max="13837" width="9.625" style="143" bestFit="1" customWidth="1"/>
    <col min="13838" max="13839" width="8.25" style="143" bestFit="1" customWidth="1"/>
    <col min="13840" max="13840" width="11" style="143" bestFit="1" customWidth="1"/>
    <col min="13841" max="13841" width="8" style="143" bestFit="1" customWidth="1"/>
    <col min="13842" max="13842" width="7.75" style="143" bestFit="1" customWidth="1"/>
    <col min="13843" max="13844" width="9.625" style="143" bestFit="1" customWidth="1"/>
    <col min="13845" max="13846" width="9.625" style="143" customWidth="1"/>
    <col min="13847" max="13847" width="9.25" style="143" bestFit="1" customWidth="1"/>
    <col min="13848" max="13848" width="11" style="143" bestFit="1" customWidth="1"/>
    <col min="13849" max="14081" width="9" style="143"/>
    <col min="14082" max="14082" width="4.625" style="143" bestFit="1" customWidth="1"/>
    <col min="14083" max="14083" width="7.5" style="143" bestFit="1" customWidth="1"/>
    <col min="14084" max="14084" width="6.25" style="143" customWidth="1"/>
    <col min="14085" max="14085" width="11" style="143" bestFit="1" customWidth="1"/>
    <col min="14086" max="14087" width="9.625" style="143" bestFit="1" customWidth="1"/>
    <col min="14088" max="14088" width="8.25" style="143" bestFit="1" customWidth="1"/>
    <col min="14089" max="14090" width="9.625" style="143" bestFit="1" customWidth="1"/>
    <col min="14091" max="14091" width="8.25" style="143" bestFit="1" customWidth="1"/>
    <col min="14092" max="14093" width="9.625" style="143" bestFit="1" customWidth="1"/>
    <col min="14094" max="14095" width="8.25" style="143" bestFit="1" customWidth="1"/>
    <col min="14096" max="14096" width="11" style="143" bestFit="1" customWidth="1"/>
    <col min="14097" max="14097" width="8" style="143" bestFit="1" customWidth="1"/>
    <col min="14098" max="14098" width="7.75" style="143" bestFit="1" customWidth="1"/>
    <col min="14099" max="14100" width="9.625" style="143" bestFit="1" customWidth="1"/>
    <col min="14101" max="14102" width="9.625" style="143" customWidth="1"/>
    <col min="14103" max="14103" width="9.25" style="143" bestFit="1" customWidth="1"/>
    <col min="14104" max="14104" width="11" style="143" bestFit="1" customWidth="1"/>
    <col min="14105" max="14337" width="9" style="143"/>
    <col min="14338" max="14338" width="4.625" style="143" bestFit="1" customWidth="1"/>
    <col min="14339" max="14339" width="7.5" style="143" bestFit="1" customWidth="1"/>
    <col min="14340" max="14340" width="6.25" style="143" customWidth="1"/>
    <col min="14341" max="14341" width="11" style="143" bestFit="1" customWidth="1"/>
    <col min="14342" max="14343" width="9.625" style="143" bestFit="1" customWidth="1"/>
    <col min="14344" max="14344" width="8.25" style="143" bestFit="1" customWidth="1"/>
    <col min="14345" max="14346" width="9.625" style="143" bestFit="1" customWidth="1"/>
    <col min="14347" max="14347" width="8.25" style="143" bestFit="1" customWidth="1"/>
    <col min="14348" max="14349" width="9.625" style="143" bestFit="1" customWidth="1"/>
    <col min="14350" max="14351" width="8.25" style="143" bestFit="1" customWidth="1"/>
    <col min="14352" max="14352" width="11" style="143" bestFit="1" customWidth="1"/>
    <col min="14353" max="14353" width="8" style="143" bestFit="1" customWidth="1"/>
    <col min="14354" max="14354" width="7.75" style="143" bestFit="1" customWidth="1"/>
    <col min="14355" max="14356" width="9.625" style="143" bestFit="1" customWidth="1"/>
    <col min="14357" max="14358" width="9.625" style="143" customWidth="1"/>
    <col min="14359" max="14359" width="9.25" style="143" bestFit="1" customWidth="1"/>
    <col min="14360" max="14360" width="11" style="143" bestFit="1" customWidth="1"/>
    <col min="14361" max="14593" width="9" style="143"/>
    <col min="14594" max="14594" width="4.625" style="143" bestFit="1" customWidth="1"/>
    <col min="14595" max="14595" width="7.5" style="143" bestFit="1" customWidth="1"/>
    <col min="14596" max="14596" width="6.25" style="143" customWidth="1"/>
    <col min="14597" max="14597" width="11" style="143" bestFit="1" customWidth="1"/>
    <col min="14598" max="14599" width="9.625" style="143" bestFit="1" customWidth="1"/>
    <col min="14600" max="14600" width="8.25" style="143" bestFit="1" customWidth="1"/>
    <col min="14601" max="14602" width="9.625" style="143" bestFit="1" customWidth="1"/>
    <col min="14603" max="14603" width="8.25" style="143" bestFit="1" customWidth="1"/>
    <col min="14604" max="14605" width="9.625" style="143" bestFit="1" customWidth="1"/>
    <col min="14606" max="14607" width="8.25" style="143" bestFit="1" customWidth="1"/>
    <col min="14608" max="14608" width="11" style="143" bestFit="1" customWidth="1"/>
    <col min="14609" max="14609" width="8" style="143" bestFit="1" customWidth="1"/>
    <col min="14610" max="14610" width="7.75" style="143" bestFit="1" customWidth="1"/>
    <col min="14611" max="14612" width="9.625" style="143" bestFit="1" customWidth="1"/>
    <col min="14613" max="14614" width="9.625" style="143" customWidth="1"/>
    <col min="14615" max="14615" width="9.25" style="143" bestFit="1" customWidth="1"/>
    <col min="14616" max="14616" width="11" style="143" bestFit="1" customWidth="1"/>
    <col min="14617" max="14849" width="9" style="143"/>
    <col min="14850" max="14850" width="4.625" style="143" bestFit="1" customWidth="1"/>
    <col min="14851" max="14851" width="7.5" style="143" bestFit="1" customWidth="1"/>
    <col min="14852" max="14852" width="6.25" style="143" customWidth="1"/>
    <col min="14853" max="14853" width="11" style="143" bestFit="1" customWidth="1"/>
    <col min="14854" max="14855" width="9.625" style="143" bestFit="1" customWidth="1"/>
    <col min="14856" max="14856" width="8.25" style="143" bestFit="1" customWidth="1"/>
    <col min="14857" max="14858" width="9.625" style="143" bestFit="1" customWidth="1"/>
    <col min="14859" max="14859" width="8.25" style="143" bestFit="1" customWidth="1"/>
    <col min="14860" max="14861" width="9.625" style="143" bestFit="1" customWidth="1"/>
    <col min="14862" max="14863" width="8.25" style="143" bestFit="1" customWidth="1"/>
    <col min="14864" max="14864" width="11" style="143" bestFit="1" customWidth="1"/>
    <col min="14865" max="14865" width="8" style="143" bestFit="1" customWidth="1"/>
    <col min="14866" max="14866" width="7.75" style="143" bestFit="1" customWidth="1"/>
    <col min="14867" max="14868" width="9.625" style="143" bestFit="1" customWidth="1"/>
    <col min="14869" max="14870" width="9.625" style="143" customWidth="1"/>
    <col min="14871" max="14871" width="9.25" style="143" bestFit="1" customWidth="1"/>
    <col min="14872" max="14872" width="11" style="143" bestFit="1" customWidth="1"/>
    <col min="14873" max="15105" width="9" style="143"/>
    <col min="15106" max="15106" width="4.625" style="143" bestFit="1" customWidth="1"/>
    <col min="15107" max="15107" width="7.5" style="143" bestFit="1" customWidth="1"/>
    <col min="15108" max="15108" width="6.25" style="143" customWidth="1"/>
    <col min="15109" max="15109" width="11" style="143" bestFit="1" customWidth="1"/>
    <col min="15110" max="15111" width="9.625" style="143" bestFit="1" customWidth="1"/>
    <col min="15112" max="15112" width="8.25" style="143" bestFit="1" customWidth="1"/>
    <col min="15113" max="15114" width="9.625" style="143" bestFit="1" customWidth="1"/>
    <col min="15115" max="15115" width="8.25" style="143" bestFit="1" customWidth="1"/>
    <col min="15116" max="15117" width="9.625" style="143" bestFit="1" customWidth="1"/>
    <col min="15118" max="15119" width="8.25" style="143" bestFit="1" customWidth="1"/>
    <col min="15120" max="15120" width="11" style="143" bestFit="1" customWidth="1"/>
    <col min="15121" max="15121" width="8" style="143" bestFit="1" customWidth="1"/>
    <col min="15122" max="15122" width="7.75" style="143" bestFit="1" customWidth="1"/>
    <col min="15123" max="15124" width="9.625" style="143" bestFit="1" customWidth="1"/>
    <col min="15125" max="15126" width="9.625" style="143" customWidth="1"/>
    <col min="15127" max="15127" width="9.25" style="143" bestFit="1" customWidth="1"/>
    <col min="15128" max="15128" width="11" style="143" bestFit="1" customWidth="1"/>
    <col min="15129" max="15361" width="9" style="143"/>
    <col min="15362" max="15362" width="4.625" style="143" bestFit="1" customWidth="1"/>
    <col min="15363" max="15363" width="7.5" style="143" bestFit="1" customWidth="1"/>
    <col min="15364" max="15364" width="6.25" style="143" customWidth="1"/>
    <col min="15365" max="15365" width="11" style="143" bestFit="1" customWidth="1"/>
    <col min="15366" max="15367" width="9.625" style="143" bestFit="1" customWidth="1"/>
    <col min="15368" max="15368" width="8.25" style="143" bestFit="1" customWidth="1"/>
    <col min="15369" max="15370" width="9.625" style="143" bestFit="1" customWidth="1"/>
    <col min="15371" max="15371" width="8.25" style="143" bestFit="1" customWidth="1"/>
    <col min="15372" max="15373" width="9.625" style="143" bestFit="1" customWidth="1"/>
    <col min="15374" max="15375" width="8.25" style="143" bestFit="1" customWidth="1"/>
    <col min="15376" max="15376" width="11" style="143" bestFit="1" customWidth="1"/>
    <col min="15377" max="15377" width="8" style="143" bestFit="1" customWidth="1"/>
    <col min="15378" max="15378" width="7.75" style="143" bestFit="1" customWidth="1"/>
    <col min="15379" max="15380" width="9.625" style="143" bestFit="1" customWidth="1"/>
    <col min="15381" max="15382" width="9.625" style="143" customWidth="1"/>
    <col min="15383" max="15383" width="9.25" style="143" bestFit="1" customWidth="1"/>
    <col min="15384" max="15384" width="11" style="143" bestFit="1" customWidth="1"/>
    <col min="15385" max="15617" width="9" style="143"/>
    <col min="15618" max="15618" width="4.625" style="143" bestFit="1" customWidth="1"/>
    <col min="15619" max="15619" width="7.5" style="143" bestFit="1" customWidth="1"/>
    <col min="15620" max="15620" width="6.25" style="143" customWidth="1"/>
    <col min="15621" max="15621" width="11" style="143" bestFit="1" customWidth="1"/>
    <col min="15622" max="15623" width="9.625" style="143" bestFit="1" customWidth="1"/>
    <col min="15624" max="15624" width="8.25" style="143" bestFit="1" customWidth="1"/>
    <col min="15625" max="15626" width="9.625" style="143" bestFit="1" customWidth="1"/>
    <col min="15627" max="15627" width="8.25" style="143" bestFit="1" customWidth="1"/>
    <col min="15628" max="15629" width="9.625" style="143" bestFit="1" customWidth="1"/>
    <col min="15630" max="15631" width="8.25" style="143" bestFit="1" customWidth="1"/>
    <col min="15632" max="15632" width="11" style="143" bestFit="1" customWidth="1"/>
    <col min="15633" max="15633" width="8" style="143" bestFit="1" customWidth="1"/>
    <col min="15634" max="15634" width="7.75" style="143" bestFit="1" customWidth="1"/>
    <col min="15635" max="15636" width="9.625" style="143" bestFit="1" customWidth="1"/>
    <col min="15637" max="15638" width="9.625" style="143" customWidth="1"/>
    <col min="15639" max="15639" width="9.25" style="143" bestFit="1" customWidth="1"/>
    <col min="15640" max="15640" width="11" style="143" bestFit="1" customWidth="1"/>
    <col min="15641" max="15873" width="9" style="143"/>
    <col min="15874" max="15874" width="4.625" style="143" bestFit="1" customWidth="1"/>
    <col min="15875" max="15875" width="7.5" style="143" bestFit="1" customWidth="1"/>
    <col min="15876" max="15876" width="6.25" style="143" customWidth="1"/>
    <col min="15877" max="15877" width="11" style="143" bestFit="1" customWidth="1"/>
    <col min="15878" max="15879" width="9.625" style="143" bestFit="1" customWidth="1"/>
    <col min="15880" max="15880" width="8.25" style="143" bestFit="1" customWidth="1"/>
    <col min="15881" max="15882" width="9.625" style="143" bestFit="1" customWidth="1"/>
    <col min="15883" max="15883" width="8.25" style="143" bestFit="1" customWidth="1"/>
    <col min="15884" max="15885" width="9.625" style="143" bestFit="1" customWidth="1"/>
    <col min="15886" max="15887" width="8.25" style="143" bestFit="1" customWidth="1"/>
    <col min="15888" max="15888" width="11" style="143" bestFit="1" customWidth="1"/>
    <col min="15889" max="15889" width="8" style="143" bestFit="1" customWidth="1"/>
    <col min="15890" max="15890" width="7.75" style="143" bestFit="1" customWidth="1"/>
    <col min="15891" max="15892" width="9.625" style="143" bestFit="1" customWidth="1"/>
    <col min="15893" max="15894" width="9.625" style="143" customWidth="1"/>
    <col min="15895" max="15895" width="9.25" style="143" bestFit="1" customWidth="1"/>
    <col min="15896" max="15896" width="11" style="143" bestFit="1" customWidth="1"/>
    <col min="15897" max="16129" width="9" style="143"/>
    <col min="16130" max="16130" width="4.625" style="143" bestFit="1" customWidth="1"/>
    <col min="16131" max="16131" width="7.5" style="143" bestFit="1" customWidth="1"/>
    <col min="16132" max="16132" width="6.25" style="143" customWidth="1"/>
    <col min="16133" max="16133" width="11" style="143" bestFit="1" customWidth="1"/>
    <col min="16134" max="16135" width="9.625" style="143" bestFit="1" customWidth="1"/>
    <col min="16136" max="16136" width="8.25" style="143" bestFit="1" customWidth="1"/>
    <col min="16137" max="16138" width="9.625" style="143" bestFit="1" customWidth="1"/>
    <col min="16139" max="16139" width="8.25" style="143" bestFit="1" customWidth="1"/>
    <col min="16140" max="16141" width="9.625" style="143" bestFit="1" customWidth="1"/>
    <col min="16142" max="16143" width="8.25" style="143" bestFit="1" customWidth="1"/>
    <col min="16144" max="16144" width="11" style="143" bestFit="1" customWidth="1"/>
    <col min="16145" max="16145" width="8" style="143" bestFit="1" customWidth="1"/>
    <col min="16146" max="16146" width="7.75" style="143" bestFit="1" customWidth="1"/>
    <col min="16147" max="16148" width="9.625" style="143" bestFit="1" customWidth="1"/>
    <col min="16149" max="16150" width="9.625" style="143" customWidth="1"/>
    <col min="16151" max="16151" width="9.25" style="143" bestFit="1" customWidth="1"/>
    <col min="16152" max="16152" width="11" style="143" bestFit="1" customWidth="1"/>
    <col min="16153" max="16384" width="9" style="143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156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41"/>
      <c r="V4" s="252"/>
      <c r="W4" s="252"/>
      <c r="X4" s="252"/>
    </row>
    <row r="5" spans="2:29" ht="20.25" customHeight="1" x14ac:dyDescent="0.3">
      <c r="B5" s="253" t="s">
        <v>155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42"/>
      <c r="Q5" s="69"/>
      <c r="R5" s="69"/>
      <c r="S5" s="69"/>
      <c r="T5" s="252"/>
      <c r="U5" s="141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99</v>
      </c>
      <c r="F7" s="243"/>
      <c r="G7" s="243"/>
      <c r="H7" s="243"/>
      <c r="I7" s="243"/>
      <c r="J7" s="243"/>
      <c r="K7" s="243"/>
      <c r="L7" s="243"/>
      <c r="M7" s="243"/>
      <c r="N7" s="242" t="s">
        <v>100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101</v>
      </c>
      <c r="AA7" s="250" t="s">
        <v>102</v>
      </c>
      <c r="AC7" s="234" t="s">
        <v>103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104</v>
      </c>
      <c r="G8" s="81" t="s">
        <v>105</v>
      </c>
      <c r="H8" s="81" t="s">
        <v>106</v>
      </c>
      <c r="I8" s="81" t="s">
        <v>77</v>
      </c>
      <c r="J8" s="82" t="s">
        <v>107</v>
      </c>
      <c r="K8" s="82" t="s">
        <v>108</v>
      </c>
      <c r="L8" s="82" t="s">
        <v>80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5" si="0">SUM(E9:O9)</f>
        <v>2500000</v>
      </c>
      <c r="Q9" s="94">
        <f t="shared" ref="Q9:Q20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0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0" si="3">IFERROR(ROUNDDOWN((P9-AC9)*3.43%,-1),)</f>
        <v>75460</v>
      </c>
      <c r="U9" s="96">
        <f t="shared" ref="U9:U20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0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4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>
        <f t="shared" si="8"/>
        <v>99000</v>
      </c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229290</v>
      </c>
      <c r="X11" s="128">
        <f t="shared" si="7"/>
        <v>2270710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>
        <f>[1]직원인적급여카드!M5</f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f t="shared" si="0"/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>
        <f t="shared" si="8"/>
        <v>99000</v>
      </c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229290</v>
      </c>
      <c r="X14" s="128">
        <f t="shared" si="7"/>
        <v>2270710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tr">
        <f>[1]직원인적급여카드!B8</f>
        <v>이일복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95"/>
      <c r="T15" s="95">
        <f t="shared" si="3"/>
        <v>75460</v>
      </c>
      <c r="U15" s="96">
        <f t="shared" si="4"/>
        <v>8690</v>
      </c>
      <c r="V15" s="96">
        <f t="shared" ref="V15:V20" si="10">IFERROR(IF(D15&lt;&gt;"대표이사",ROUNDDOWN((P15-AC15)*고용보험율,-1),0),)</f>
        <v>17600</v>
      </c>
      <c r="W15" s="93">
        <f t="shared" ref="W15:W20" si="11">SUM(Q15:V15)</f>
        <v>130290</v>
      </c>
      <c r="X15" s="97">
        <f t="shared" si="7"/>
        <v>2369710</v>
      </c>
      <c r="Z15" s="98">
        <v>1</v>
      </c>
      <c r="AA15" s="99"/>
      <c r="AC15" s="100">
        <f t="shared" ref="AC15:AC20" si="12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44</v>
      </c>
      <c r="D16" s="88" t="s">
        <v>45</v>
      </c>
      <c r="E16" s="89"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04">
        <v>200000</v>
      </c>
      <c r="P16" s="93">
        <f t="shared" ref="P16:P20" si="13">SUM(E16:O16)</f>
        <v>2500000</v>
      </c>
      <c r="Q16" s="94">
        <f t="shared" si="1"/>
        <v>25950</v>
      </c>
      <c r="R16" s="95">
        <f t="shared" si="2"/>
        <v>2590</v>
      </c>
      <c r="S16" s="95">
        <f t="shared" ref="S16:S20" si="14">IFERROR(IF(AND(P16-AC16&gt;=월액최저,P16-AC16&lt;=월액최고),ROUNDDOWN((P16-AC16)*국민연금,-1),IF(P16-AC16&gt;=월액최고,최고연금,IF(AND(P16-AC16&lt;=월액최저,P16-AC16&gt;=1),최저연금,))),)</f>
        <v>99000</v>
      </c>
      <c r="T16" s="95">
        <f t="shared" si="3"/>
        <v>75460</v>
      </c>
      <c r="U16" s="96">
        <f t="shared" si="4"/>
        <v>8690</v>
      </c>
      <c r="V16" s="96">
        <f t="shared" si="10"/>
        <v>17600</v>
      </c>
      <c r="W16" s="93">
        <f t="shared" si="11"/>
        <v>229290</v>
      </c>
      <c r="X16" s="97">
        <f t="shared" si="7"/>
        <v>2270710</v>
      </c>
      <c r="Z16" s="98">
        <v>1</v>
      </c>
      <c r="AA16" s="99"/>
      <c r="AC16" s="100">
        <f t="shared" si="12"/>
        <v>300000</v>
      </c>
    </row>
    <row r="17" spans="2:29" ht="20.100000000000001" customHeight="1" x14ac:dyDescent="0.3">
      <c r="B17" s="101">
        <v>9</v>
      </c>
      <c r="C17" s="87" t="s">
        <v>143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si="13"/>
        <v>2500000</v>
      </c>
      <c r="Q17" s="125">
        <f t="shared" si="1"/>
        <v>25950</v>
      </c>
      <c r="R17" s="126">
        <f t="shared" si="2"/>
        <v>2590</v>
      </c>
      <c r="S17" s="126">
        <f t="shared" si="14"/>
        <v>99000</v>
      </c>
      <c r="T17" s="95">
        <f t="shared" si="3"/>
        <v>75460</v>
      </c>
      <c r="U17" s="96">
        <f t="shared" si="4"/>
        <v>8690</v>
      </c>
      <c r="V17" s="127">
        <f t="shared" si="10"/>
        <v>17600</v>
      </c>
      <c r="W17" s="124">
        <f t="shared" si="11"/>
        <v>229290</v>
      </c>
      <c r="X17" s="128">
        <f t="shared" si="7"/>
        <v>2270710</v>
      </c>
      <c r="Z17" s="98">
        <v>1</v>
      </c>
      <c r="AA17" s="99"/>
      <c r="AC17" s="100">
        <f t="shared" si="12"/>
        <v>300000</v>
      </c>
    </row>
    <row r="18" spans="2:29" ht="20.100000000000001" customHeight="1" x14ac:dyDescent="0.3">
      <c r="B18" s="101">
        <v>10</v>
      </c>
      <c r="C18" s="87" t="s">
        <v>117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3"/>
        <v>2500000</v>
      </c>
      <c r="Q18" s="125">
        <f t="shared" si="1"/>
        <v>25950</v>
      </c>
      <c r="R18" s="126">
        <f t="shared" si="2"/>
        <v>2590</v>
      </c>
      <c r="S18" s="126">
        <f t="shared" si="14"/>
        <v>99000</v>
      </c>
      <c r="T18" s="95">
        <f t="shared" si="3"/>
        <v>75460</v>
      </c>
      <c r="U18" s="96">
        <f t="shared" si="4"/>
        <v>8690</v>
      </c>
      <c r="V18" s="127">
        <f t="shared" si="10"/>
        <v>17600</v>
      </c>
      <c r="W18" s="124">
        <f t="shared" si="11"/>
        <v>229290</v>
      </c>
      <c r="X18" s="128">
        <f t="shared" si="7"/>
        <v>2270710</v>
      </c>
      <c r="Z18" s="98">
        <v>1</v>
      </c>
      <c r="AA18" s="99"/>
      <c r="AC18" s="100">
        <f t="shared" si="12"/>
        <v>300000</v>
      </c>
    </row>
    <row r="19" spans="2:29" ht="20.100000000000001" customHeight="1" x14ac:dyDescent="0.3">
      <c r="B19" s="101">
        <v>11</v>
      </c>
      <c r="C19" s="87" t="s">
        <v>56</v>
      </c>
      <c r="D19" s="88" t="s">
        <v>50</v>
      </c>
      <c r="E19" s="89">
        <v>2100000</v>
      </c>
      <c r="F19" s="106"/>
      <c r="G19" s="106"/>
      <c r="H19" s="106"/>
      <c r="I19" s="106"/>
      <c r="J19" s="107"/>
      <c r="K19" s="107"/>
      <c r="L19" s="107"/>
      <c r="M19" s="107"/>
      <c r="N19" s="89">
        <v>200000</v>
      </c>
      <c r="O19" s="130">
        <v>200000</v>
      </c>
      <c r="P19" s="124">
        <f t="shared" si="13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 t="shared" si="10"/>
        <v>17600</v>
      </c>
      <c r="W19" s="124">
        <f t="shared" si="11"/>
        <v>130290</v>
      </c>
      <c r="X19" s="128">
        <f t="shared" si="7"/>
        <v>2369710</v>
      </c>
      <c r="Z19" s="98">
        <v>1</v>
      </c>
      <c r="AA19" s="99"/>
      <c r="AC19" s="100">
        <f t="shared" si="12"/>
        <v>300000</v>
      </c>
    </row>
    <row r="20" spans="2:29" ht="20.100000000000001" customHeight="1" x14ac:dyDescent="0.3">
      <c r="B20" s="101">
        <v>12</v>
      </c>
      <c r="C20" s="87" t="s">
        <v>132</v>
      </c>
      <c r="D20" s="88" t="s">
        <v>133</v>
      </c>
      <c r="E20" s="89">
        <v>2100000</v>
      </c>
      <c r="F20" s="106"/>
      <c r="G20" s="106"/>
      <c r="H20" s="106"/>
      <c r="I20" s="106"/>
      <c r="J20" s="107"/>
      <c r="K20" s="107"/>
      <c r="L20" s="107"/>
      <c r="M20" s="107"/>
      <c r="N20" s="89">
        <v>200000</v>
      </c>
      <c r="O20" s="130">
        <v>200000</v>
      </c>
      <c r="P20" s="124">
        <f t="shared" si="13"/>
        <v>2500000</v>
      </c>
      <c r="Q20" s="125">
        <f t="shared" si="1"/>
        <v>25950</v>
      </c>
      <c r="R20" s="126">
        <f t="shared" si="2"/>
        <v>2590</v>
      </c>
      <c r="S20" s="126">
        <f t="shared" si="14"/>
        <v>99000</v>
      </c>
      <c r="T20" s="95">
        <f t="shared" si="3"/>
        <v>75460</v>
      </c>
      <c r="U20" s="96">
        <f t="shared" si="4"/>
        <v>8690</v>
      </c>
      <c r="V20" s="127">
        <f t="shared" si="10"/>
        <v>17600</v>
      </c>
      <c r="W20" s="124">
        <f t="shared" si="11"/>
        <v>229290</v>
      </c>
      <c r="X20" s="128">
        <f t="shared" si="7"/>
        <v>2270710</v>
      </c>
      <c r="Z20" s="98">
        <v>1</v>
      </c>
      <c r="AA20" s="99"/>
      <c r="AC20" s="100">
        <f t="shared" si="12"/>
        <v>300000</v>
      </c>
    </row>
    <row r="21" spans="2:29" ht="20.100000000000001" customHeight="1" x14ac:dyDescent="0.3">
      <c r="B21" s="216" t="s">
        <v>93</v>
      </c>
      <c r="C21" s="217"/>
      <c r="D21" s="218"/>
      <c r="E21" s="131">
        <f t="shared" ref="E21:X21" si="15">SUM(E9:E20)</f>
        <v>25200000</v>
      </c>
      <c r="F21" s="132">
        <f t="shared" si="15"/>
        <v>0</v>
      </c>
      <c r="G21" s="132">
        <f t="shared" si="15"/>
        <v>0</v>
      </c>
      <c r="H21" s="132">
        <f t="shared" si="15"/>
        <v>0</v>
      </c>
      <c r="I21" s="132">
        <f t="shared" si="15"/>
        <v>0</v>
      </c>
      <c r="J21" s="132">
        <f t="shared" si="15"/>
        <v>0</v>
      </c>
      <c r="K21" s="132">
        <f t="shared" si="15"/>
        <v>0</v>
      </c>
      <c r="L21" s="132">
        <f t="shared" si="15"/>
        <v>0</v>
      </c>
      <c r="M21" s="133">
        <f t="shared" si="15"/>
        <v>0</v>
      </c>
      <c r="N21" s="131">
        <f t="shared" si="15"/>
        <v>2400000</v>
      </c>
      <c r="O21" s="134">
        <f t="shared" si="15"/>
        <v>2400000</v>
      </c>
      <c r="P21" s="135">
        <f t="shared" si="15"/>
        <v>30000000</v>
      </c>
      <c r="Q21" s="131">
        <f t="shared" si="15"/>
        <v>311400</v>
      </c>
      <c r="R21" s="132">
        <f t="shared" si="15"/>
        <v>31080</v>
      </c>
      <c r="S21" s="132">
        <f t="shared" si="15"/>
        <v>891000</v>
      </c>
      <c r="T21" s="132">
        <f t="shared" si="15"/>
        <v>905520</v>
      </c>
      <c r="U21" s="133">
        <f t="shared" si="15"/>
        <v>104280</v>
      </c>
      <c r="V21" s="133">
        <f t="shared" si="15"/>
        <v>211200</v>
      </c>
      <c r="W21" s="135">
        <f t="shared" si="15"/>
        <v>2454480</v>
      </c>
      <c r="X21" s="136">
        <f t="shared" si="15"/>
        <v>27545520</v>
      </c>
    </row>
    <row r="22" spans="2:29" ht="20.25" customHeight="1" thickBot="1" x14ac:dyDescent="0.35">
      <c r="B22" s="219" t="s">
        <v>121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</row>
    <row r="23" spans="2:29" ht="15" customHeight="1" x14ac:dyDescent="0.3">
      <c r="B23" s="118"/>
      <c r="C23" s="119" t="s">
        <v>122</v>
      </c>
      <c r="D23" s="220" t="s">
        <v>123</v>
      </c>
      <c r="E23" s="221"/>
      <c r="F23" s="220" t="s">
        <v>124</v>
      </c>
      <c r="G23" s="221"/>
      <c r="H23" s="222" t="s">
        <v>95</v>
      </c>
      <c r="I23" s="223"/>
      <c r="J23" s="223"/>
      <c r="K23" s="223"/>
      <c r="L23" s="223"/>
      <c r="M23" s="223"/>
      <c r="N23" s="223"/>
      <c r="O23" s="223"/>
      <c r="P23" s="224"/>
      <c r="Q23" s="64"/>
      <c r="R23" s="64"/>
      <c r="S23" s="64"/>
      <c r="T23" s="64"/>
      <c r="U23" s="64"/>
      <c r="V23" s="64"/>
    </row>
    <row r="24" spans="2:29" ht="15" customHeight="1" x14ac:dyDescent="0.3">
      <c r="B24" s="225" t="s">
        <v>96</v>
      </c>
      <c r="C24" s="120"/>
      <c r="D24" s="197"/>
      <c r="E24" s="198"/>
      <c r="F24" s="204"/>
      <c r="G24" s="205"/>
      <c r="H24" s="206"/>
      <c r="I24" s="207"/>
      <c r="J24" s="207"/>
      <c r="K24" s="207"/>
      <c r="L24" s="207"/>
      <c r="M24" s="207"/>
      <c r="N24" s="207"/>
      <c r="O24" s="207"/>
      <c r="P24" s="208"/>
      <c r="Q24" s="64"/>
      <c r="R24" s="64"/>
      <c r="S24" s="64"/>
      <c r="T24" s="64"/>
      <c r="U24" s="64"/>
      <c r="V24" s="64"/>
    </row>
    <row r="25" spans="2:29" ht="15" customHeight="1" x14ac:dyDescent="0.3">
      <c r="B25" s="195"/>
      <c r="C25" s="120"/>
      <c r="D25" s="197"/>
      <c r="E25" s="198"/>
      <c r="F25" s="204"/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thickBot="1" x14ac:dyDescent="0.35">
      <c r="B26" s="226"/>
      <c r="C26" s="121"/>
      <c r="D26" s="227"/>
      <c r="E26" s="228"/>
      <c r="F26" s="229"/>
      <c r="G26" s="230"/>
      <c r="H26" s="231"/>
      <c r="I26" s="232"/>
      <c r="J26" s="232"/>
      <c r="K26" s="232"/>
      <c r="L26" s="232"/>
      <c r="M26" s="232"/>
      <c r="N26" s="232"/>
      <c r="O26" s="232"/>
      <c r="P26" s="233"/>
      <c r="Q26" s="64"/>
      <c r="R26" s="64"/>
      <c r="S26" s="64"/>
      <c r="T26" s="64"/>
      <c r="U26" s="64"/>
      <c r="V26" s="64"/>
    </row>
    <row r="27" spans="2:29" ht="15" customHeight="1" thickTop="1" x14ac:dyDescent="0.3">
      <c r="B27" s="195" t="s">
        <v>97</v>
      </c>
      <c r="C27" s="120" t="s">
        <v>92</v>
      </c>
      <c r="D27" s="197" t="s">
        <v>141</v>
      </c>
      <c r="E27" s="198"/>
      <c r="F27" s="199" t="s">
        <v>152</v>
      </c>
      <c r="G27" s="200"/>
      <c r="H27" s="201"/>
      <c r="I27" s="202"/>
      <c r="J27" s="202"/>
      <c r="K27" s="202"/>
      <c r="L27" s="202"/>
      <c r="M27" s="202"/>
      <c r="N27" s="202"/>
      <c r="O27" s="202"/>
      <c r="P27" s="203"/>
      <c r="Q27" s="64"/>
      <c r="R27" s="64"/>
      <c r="S27" s="64"/>
      <c r="T27" s="64"/>
      <c r="U27" s="64"/>
      <c r="V27" s="64"/>
    </row>
    <row r="28" spans="2:29" ht="15" customHeight="1" x14ac:dyDescent="0.3">
      <c r="B28" s="195"/>
      <c r="C28" s="120" t="s">
        <v>153</v>
      </c>
      <c r="D28" s="197" t="s">
        <v>154</v>
      </c>
      <c r="E28" s="198"/>
      <c r="F28" s="204" t="s">
        <v>151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thickBot="1" x14ac:dyDescent="0.35">
      <c r="B29" s="196"/>
      <c r="C29" s="122"/>
      <c r="D29" s="209"/>
      <c r="E29" s="210"/>
      <c r="F29" s="211"/>
      <c r="G29" s="212"/>
      <c r="H29" s="213"/>
      <c r="I29" s="214"/>
      <c r="J29" s="214"/>
      <c r="K29" s="214"/>
      <c r="L29" s="214"/>
      <c r="M29" s="214"/>
      <c r="N29" s="214"/>
      <c r="O29" s="214"/>
      <c r="P29" s="215"/>
      <c r="Q29" s="64"/>
      <c r="R29" s="64"/>
      <c r="S29" s="64"/>
      <c r="T29" s="64"/>
      <c r="U29" s="64"/>
      <c r="V29" s="64"/>
    </row>
    <row r="30" spans="2:29" ht="20.100000000000001" customHeight="1" x14ac:dyDescent="0.3">
      <c r="Q30" s="64"/>
      <c r="R30" s="64"/>
      <c r="S30" s="64"/>
      <c r="T30" s="64"/>
      <c r="U30" s="64"/>
      <c r="V30" s="64"/>
    </row>
    <row r="31" spans="2:29" s="64" customFormat="1" ht="20.100000000000001" customHeight="1" x14ac:dyDescent="0.3">
      <c r="B31" s="143"/>
      <c r="C31" s="143"/>
      <c r="D31" s="14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2:29" s="64" customFormat="1" ht="20.100000000000001" customHeight="1" x14ac:dyDescent="0.3">
      <c r="B32" s="143"/>
      <c r="C32" s="143"/>
      <c r="D32" s="14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143"/>
      <c r="C33" s="143"/>
      <c r="D33" s="14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143"/>
      <c r="C34" s="143"/>
      <c r="D34" s="14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143"/>
      <c r="C35" s="143"/>
      <c r="D35" s="14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143"/>
      <c r="C36" s="143"/>
      <c r="D36" s="14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143"/>
      <c r="C37" s="143"/>
      <c r="D37" s="14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143"/>
      <c r="C38" s="143"/>
      <c r="D38" s="14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143"/>
      <c r="C39" s="143"/>
      <c r="D39" s="14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143"/>
      <c r="C40" s="143"/>
      <c r="D40" s="14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143"/>
      <c r="C41" s="143"/>
      <c r="D41" s="14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143"/>
      <c r="C42" s="143"/>
      <c r="D42" s="14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143"/>
      <c r="C43" s="143"/>
      <c r="D43" s="14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143"/>
      <c r="C44" s="143"/>
      <c r="D44" s="14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143"/>
      <c r="C45" s="143"/>
      <c r="D45" s="14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143"/>
      <c r="C46" s="143"/>
      <c r="D46" s="14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143"/>
      <c r="C47" s="143"/>
      <c r="D47" s="14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143"/>
      <c r="C48" s="143"/>
      <c r="D48" s="14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43"/>
      <c r="C49" s="143"/>
      <c r="D49" s="14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43"/>
      <c r="C50" s="143"/>
      <c r="D50" s="14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43"/>
      <c r="C51" s="143"/>
      <c r="D51" s="14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43"/>
      <c r="C52" s="143"/>
      <c r="D52" s="14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43"/>
      <c r="C53" s="143"/>
      <c r="D53" s="14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43"/>
      <c r="C54" s="143"/>
      <c r="D54" s="14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43"/>
      <c r="C55" s="143"/>
      <c r="D55" s="14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43"/>
      <c r="C56" s="143"/>
      <c r="D56" s="14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43"/>
      <c r="C57" s="143"/>
      <c r="D57" s="14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43"/>
      <c r="C58" s="143"/>
      <c r="D58" s="14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43"/>
      <c r="C59" s="143"/>
      <c r="D59" s="14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43"/>
      <c r="C60" s="143"/>
      <c r="D60" s="14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43"/>
      <c r="C61" s="143"/>
      <c r="D61" s="14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43"/>
      <c r="C62" s="143"/>
      <c r="D62" s="14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43"/>
      <c r="C63" s="143"/>
      <c r="D63" s="14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43"/>
      <c r="C64" s="143"/>
      <c r="D64" s="14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43"/>
      <c r="C65" s="143"/>
      <c r="D65" s="14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43"/>
      <c r="C66" s="143"/>
      <c r="D66" s="14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43"/>
      <c r="C67" s="143"/>
      <c r="D67" s="14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43"/>
      <c r="C68" s="143"/>
      <c r="D68" s="14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43"/>
      <c r="C69" s="143"/>
      <c r="D69" s="14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43"/>
      <c r="C70" s="143"/>
      <c r="D70" s="14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43"/>
      <c r="C71" s="143"/>
      <c r="D71" s="14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43"/>
      <c r="C72" s="143"/>
      <c r="D72" s="14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43"/>
      <c r="C73" s="143"/>
      <c r="D73" s="14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43"/>
      <c r="C74" s="143"/>
      <c r="D74" s="14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43"/>
      <c r="C75" s="143"/>
      <c r="D75" s="14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43"/>
      <c r="C76" s="143"/>
      <c r="D76" s="14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43"/>
      <c r="C77" s="143"/>
      <c r="D77" s="14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43"/>
      <c r="C78" s="143"/>
      <c r="D78" s="14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43"/>
      <c r="C79" s="143"/>
      <c r="D79" s="14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43"/>
      <c r="C80" s="143"/>
      <c r="D80" s="14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43"/>
      <c r="C81" s="143"/>
      <c r="D81" s="14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43"/>
      <c r="C82" s="143"/>
      <c r="D82" s="14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43"/>
      <c r="C83" s="143"/>
      <c r="D83" s="14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43"/>
      <c r="C84" s="143"/>
      <c r="D84" s="14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43"/>
      <c r="C85" s="143"/>
      <c r="D85" s="14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43"/>
      <c r="C86" s="143"/>
      <c r="D86" s="14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43"/>
      <c r="C87" s="143"/>
      <c r="D87" s="14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43"/>
      <c r="C88" s="143"/>
      <c r="D88" s="14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43"/>
      <c r="C89" s="143"/>
      <c r="D89" s="14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43"/>
      <c r="C90" s="143"/>
      <c r="D90" s="14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43"/>
      <c r="C91" s="143"/>
      <c r="D91" s="14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43"/>
      <c r="C92" s="143"/>
      <c r="D92" s="14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43"/>
      <c r="C93" s="143"/>
      <c r="D93" s="14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43"/>
      <c r="C94" s="143"/>
      <c r="D94" s="14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43"/>
      <c r="C95" s="143"/>
      <c r="D95" s="14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43"/>
      <c r="C96" s="143"/>
      <c r="D96" s="14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43"/>
      <c r="C97" s="143"/>
      <c r="D97" s="14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43"/>
      <c r="C98" s="143"/>
      <c r="D98" s="14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43"/>
      <c r="C99" s="143"/>
      <c r="D99" s="14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43"/>
      <c r="C100" s="143"/>
      <c r="D100" s="14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43"/>
      <c r="C101" s="143"/>
      <c r="D101" s="14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43"/>
      <c r="C102" s="143"/>
      <c r="D102" s="14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43"/>
      <c r="C103" s="143"/>
      <c r="D103" s="14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43"/>
      <c r="C104" s="143"/>
      <c r="D104" s="14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43"/>
      <c r="C105" s="143"/>
      <c r="D105" s="14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43"/>
      <c r="C106" s="143"/>
      <c r="D106" s="14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43"/>
      <c r="C107" s="143"/>
      <c r="D107" s="14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43"/>
      <c r="C108" s="143"/>
      <c r="D108" s="14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43"/>
      <c r="C109" s="143"/>
      <c r="D109" s="14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43"/>
      <c r="C110" s="143"/>
      <c r="D110" s="14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43"/>
      <c r="C111" s="143"/>
      <c r="D111" s="14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43"/>
      <c r="C112" s="143"/>
      <c r="D112" s="14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43"/>
      <c r="C113" s="143"/>
      <c r="D113" s="14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43"/>
      <c r="C114" s="143"/>
      <c r="D114" s="14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43"/>
      <c r="C115" s="143"/>
      <c r="D115" s="14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43"/>
      <c r="C116" s="143"/>
      <c r="D116" s="14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43"/>
      <c r="C117" s="143"/>
      <c r="D117" s="14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43"/>
      <c r="C118" s="143"/>
      <c r="D118" s="14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43"/>
      <c r="C119" s="143"/>
      <c r="D119" s="14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43"/>
      <c r="C120" s="143"/>
      <c r="D120" s="14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43"/>
      <c r="C121" s="143"/>
      <c r="D121" s="14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43"/>
      <c r="C122" s="143"/>
      <c r="D122" s="14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43"/>
      <c r="C123" s="143"/>
      <c r="D123" s="14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43"/>
      <c r="C124" s="143"/>
      <c r="D124" s="14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43"/>
      <c r="C125" s="143"/>
      <c r="D125" s="14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43"/>
      <c r="C126" s="143"/>
      <c r="D126" s="14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43"/>
      <c r="C127" s="143"/>
      <c r="D127" s="14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43"/>
      <c r="C128" s="143"/>
      <c r="D128" s="14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43"/>
      <c r="C129" s="143"/>
      <c r="D129" s="14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43"/>
      <c r="C130" s="143"/>
      <c r="D130" s="14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43"/>
      <c r="C131" s="143"/>
      <c r="D131" s="14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43"/>
      <c r="C132" s="143"/>
      <c r="D132" s="14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43"/>
      <c r="C133" s="143"/>
      <c r="D133" s="14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43"/>
      <c r="C134" s="143"/>
      <c r="D134" s="14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43"/>
      <c r="C135" s="143"/>
      <c r="D135" s="14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43"/>
      <c r="C136" s="143"/>
      <c r="D136" s="14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43"/>
      <c r="C137" s="143"/>
      <c r="D137" s="14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43"/>
      <c r="C138" s="143"/>
      <c r="D138" s="14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43"/>
      <c r="C139" s="143"/>
      <c r="D139" s="14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43"/>
      <c r="C140" s="143"/>
      <c r="D140" s="14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43"/>
      <c r="C141" s="143"/>
      <c r="D141" s="14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43"/>
      <c r="C142" s="143"/>
      <c r="D142" s="14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43"/>
      <c r="C143" s="143"/>
      <c r="D143" s="14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43"/>
      <c r="C144" s="143"/>
      <c r="D144" s="14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43"/>
      <c r="C145" s="143"/>
      <c r="D145" s="14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43"/>
      <c r="C146" s="143"/>
      <c r="D146" s="14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43"/>
      <c r="C147" s="143"/>
      <c r="D147" s="14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43"/>
      <c r="C148" s="143"/>
      <c r="D148" s="14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43"/>
      <c r="C149" s="143"/>
      <c r="D149" s="14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43"/>
      <c r="C150" s="143"/>
      <c r="D150" s="14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43"/>
      <c r="C151" s="143"/>
      <c r="D151" s="14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43"/>
      <c r="C152" s="143"/>
      <c r="D152" s="14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43"/>
      <c r="C153" s="143"/>
      <c r="D153" s="14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43"/>
      <c r="C154" s="143"/>
      <c r="D154" s="14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43"/>
      <c r="C155" s="143"/>
      <c r="D155" s="14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43"/>
      <c r="C156" s="143"/>
      <c r="D156" s="14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43"/>
      <c r="C157" s="143"/>
      <c r="D157" s="14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43"/>
      <c r="C158" s="143"/>
      <c r="D158" s="14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43"/>
      <c r="C159" s="143"/>
      <c r="D159" s="14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43"/>
      <c r="C160" s="143"/>
      <c r="D160" s="14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43"/>
      <c r="C161" s="143"/>
      <c r="D161" s="14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43"/>
      <c r="C162" s="143"/>
      <c r="D162" s="14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43"/>
      <c r="C163" s="143"/>
      <c r="D163" s="14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43"/>
      <c r="C164" s="143"/>
      <c r="D164" s="14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43"/>
      <c r="C165" s="143"/>
      <c r="D165" s="14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43"/>
      <c r="C166" s="143"/>
      <c r="D166" s="14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43"/>
      <c r="C167" s="143"/>
      <c r="D167" s="14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43"/>
      <c r="C168" s="143"/>
      <c r="D168" s="14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43"/>
      <c r="C169" s="143"/>
      <c r="D169" s="14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43"/>
      <c r="C170" s="143"/>
      <c r="D170" s="14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43"/>
      <c r="C171" s="143"/>
      <c r="D171" s="14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43"/>
      <c r="C172" s="143"/>
      <c r="D172" s="14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43"/>
      <c r="C173" s="143"/>
      <c r="D173" s="14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43"/>
      <c r="C174" s="143"/>
      <c r="D174" s="14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43"/>
      <c r="C175" s="143"/>
      <c r="D175" s="14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43"/>
      <c r="C176" s="143"/>
      <c r="D176" s="14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43"/>
      <c r="C177" s="143"/>
      <c r="D177" s="14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43"/>
      <c r="C178" s="143"/>
      <c r="D178" s="14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43"/>
      <c r="C179" s="143"/>
      <c r="D179" s="14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43"/>
      <c r="C180" s="143"/>
      <c r="D180" s="14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43"/>
      <c r="C181" s="143"/>
      <c r="D181" s="14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43"/>
      <c r="C182" s="143"/>
      <c r="D182" s="14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43"/>
      <c r="C183" s="143"/>
      <c r="D183" s="14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43"/>
      <c r="C184" s="143"/>
      <c r="D184" s="14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43"/>
      <c r="C185" s="143"/>
      <c r="D185" s="14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43"/>
      <c r="C186" s="143"/>
      <c r="D186" s="14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43"/>
      <c r="C187" s="143"/>
      <c r="D187" s="14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43"/>
      <c r="C188" s="143"/>
      <c r="D188" s="14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43"/>
      <c r="C189" s="143"/>
      <c r="D189" s="14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43"/>
      <c r="C190" s="143"/>
      <c r="D190" s="14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43"/>
      <c r="C191" s="143"/>
      <c r="D191" s="14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43"/>
      <c r="C192" s="143"/>
      <c r="D192" s="14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43"/>
      <c r="C193" s="143"/>
      <c r="D193" s="14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43"/>
      <c r="C194" s="143"/>
      <c r="D194" s="14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43"/>
      <c r="C195" s="143"/>
      <c r="D195" s="14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43"/>
      <c r="C196" s="143"/>
      <c r="D196" s="14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43"/>
      <c r="C197" s="143"/>
      <c r="D197" s="14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43"/>
      <c r="C198" s="143"/>
      <c r="D198" s="14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43"/>
      <c r="C199" s="143"/>
      <c r="D199" s="14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43"/>
      <c r="C200" s="143"/>
      <c r="D200" s="14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43"/>
      <c r="C201" s="143"/>
      <c r="D201" s="14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43"/>
      <c r="C202" s="143"/>
      <c r="D202" s="14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43"/>
      <c r="C203" s="143"/>
      <c r="D203" s="14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43"/>
      <c r="C204" s="143"/>
      <c r="D204" s="14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43"/>
      <c r="C205" s="143"/>
      <c r="D205" s="14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43"/>
      <c r="C206" s="143"/>
      <c r="D206" s="14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43"/>
      <c r="C207" s="143"/>
      <c r="D207" s="14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43"/>
      <c r="C208" s="143"/>
      <c r="D208" s="14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43"/>
      <c r="C209" s="143"/>
      <c r="D209" s="14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43"/>
      <c r="C210" s="143"/>
      <c r="D210" s="14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43"/>
      <c r="C211" s="143"/>
      <c r="D211" s="14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43"/>
      <c r="C212" s="143"/>
      <c r="D212" s="14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43"/>
      <c r="C213" s="143"/>
      <c r="D213" s="14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43"/>
      <c r="C214" s="143"/>
      <c r="D214" s="14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43"/>
      <c r="C215" s="143"/>
      <c r="D215" s="14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43"/>
      <c r="C216" s="143"/>
      <c r="D216" s="14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43"/>
      <c r="C217" s="143"/>
      <c r="D217" s="14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43"/>
      <c r="C218" s="143"/>
      <c r="D218" s="14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43"/>
      <c r="C219" s="143"/>
      <c r="D219" s="14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43"/>
      <c r="C220" s="143"/>
      <c r="D220" s="14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43"/>
      <c r="C221" s="143"/>
      <c r="D221" s="14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43"/>
      <c r="C222" s="143"/>
      <c r="D222" s="14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43"/>
      <c r="C223" s="143"/>
      <c r="D223" s="14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43"/>
      <c r="C224" s="143"/>
      <c r="D224" s="14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43"/>
      <c r="C225" s="143"/>
      <c r="D225" s="14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43"/>
      <c r="C226" s="143"/>
      <c r="D226" s="14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43"/>
      <c r="C227" s="143"/>
      <c r="D227" s="14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43"/>
      <c r="C228" s="143"/>
      <c r="D228" s="14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43"/>
      <c r="C229" s="143"/>
      <c r="D229" s="14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43"/>
      <c r="C230" s="143"/>
      <c r="D230" s="14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43"/>
      <c r="C231" s="143"/>
      <c r="D231" s="14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43"/>
      <c r="C232" s="143"/>
      <c r="D232" s="14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43"/>
      <c r="C233" s="143"/>
      <c r="D233" s="14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43"/>
      <c r="C234" s="143"/>
      <c r="D234" s="14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43"/>
      <c r="C235" s="143"/>
      <c r="D235" s="14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43"/>
      <c r="C236" s="143"/>
      <c r="D236" s="14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43"/>
      <c r="C237" s="143"/>
      <c r="D237" s="14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43"/>
      <c r="C238" s="143"/>
      <c r="D238" s="14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43"/>
      <c r="C239" s="143"/>
      <c r="D239" s="14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43"/>
      <c r="C240" s="143"/>
      <c r="D240" s="14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43"/>
      <c r="C241" s="143"/>
      <c r="D241" s="14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43"/>
      <c r="C242" s="143"/>
      <c r="D242" s="14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43"/>
      <c r="C243" s="143"/>
      <c r="D243" s="14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43"/>
      <c r="C244" s="143"/>
      <c r="D244" s="14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43"/>
      <c r="C245" s="143"/>
      <c r="D245" s="14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43"/>
      <c r="C246" s="143"/>
      <c r="D246" s="14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43"/>
      <c r="C247" s="143"/>
      <c r="D247" s="14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43"/>
      <c r="C248" s="143"/>
      <c r="D248" s="14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43"/>
      <c r="C249" s="143"/>
      <c r="D249" s="14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43"/>
      <c r="C250" s="143"/>
      <c r="D250" s="14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43"/>
      <c r="C251" s="143"/>
      <c r="D251" s="14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43"/>
      <c r="C252" s="143"/>
      <c r="D252" s="14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43"/>
      <c r="C253" s="143"/>
      <c r="D253" s="14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43"/>
      <c r="C254" s="143"/>
      <c r="D254" s="14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43"/>
      <c r="C255" s="143"/>
      <c r="D255" s="14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43"/>
      <c r="C256" s="143"/>
      <c r="D256" s="14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43"/>
      <c r="C257" s="143"/>
      <c r="D257" s="14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43"/>
      <c r="C258" s="143"/>
      <c r="D258" s="14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43"/>
      <c r="C259" s="143"/>
      <c r="D259" s="14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43"/>
      <c r="C260" s="143"/>
      <c r="D260" s="14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43"/>
      <c r="C261" s="143"/>
      <c r="D261" s="14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43"/>
      <c r="C262" s="143"/>
      <c r="D262" s="14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43"/>
      <c r="C263" s="143"/>
      <c r="D263" s="14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43"/>
      <c r="C264" s="143"/>
      <c r="D264" s="14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43"/>
      <c r="C265" s="143"/>
      <c r="D265" s="14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43"/>
      <c r="C266" s="143"/>
      <c r="D266" s="14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43"/>
      <c r="C267" s="143"/>
      <c r="D267" s="14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43"/>
      <c r="C268" s="143"/>
      <c r="D268" s="14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43"/>
      <c r="C269" s="143"/>
      <c r="D269" s="14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43"/>
      <c r="C270" s="143"/>
      <c r="D270" s="14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43"/>
      <c r="C271" s="143"/>
      <c r="D271" s="14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43"/>
      <c r="C272" s="143"/>
      <c r="D272" s="14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43"/>
      <c r="C273" s="143"/>
      <c r="D273" s="14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43"/>
      <c r="C274" s="143"/>
      <c r="D274" s="14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43"/>
      <c r="C275" s="143"/>
      <c r="D275" s="14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43"/>
      <c r="C276" s="143"/>
      <c r="D276" s="14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43"/>
      <c r="C277" s="143"/>
      <c r="D277" s="14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</sheetData>
  <mergeCells count="45">
    <mergeCell ref="B27:B29"/>
    <mergeCell ref="D27:E27"/>
    <mergeCell ref="F27:G27"/>
    <mergeCell ref="H27:P27"/>
    <mergeCell ref="D28:E28"/>
    <mergeCell ref="F28:G28"/>
    <mergeCell ref="H28:P28"/>
    <mergeCell ref="D29:E29"/>
    <mergeCell ref="F29:G29"/>
    <mergeCell ref="H29:P29"/>
    <mergeCell ref="B21:D21"/>
    <mergeCell ref="B22:X22"/>
    <mergeCell ref="D23:E23"/>
    <mergeCell ref="F23:G23"/>
    <mergeCell ref="H23:P23"/>
    <mergeCell ref="B24:B26"/>
    <mergeCell ref="D24:E24"/>
    <mergeCell ref="F24:G24"/>
    <mergeCell ref="H24:P24"/>
    <mergeCell ref="D25:E25"/>
    <mergeCell ref="F25:G25"/>
    <mergeCell ref="H25:P25"/>
    <mergeCell ref="D26:E26"/>
    <mergeCell ref="F26:G26"/>
    <mergeCell ref="H26:P26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7"/>
  <sheetViews>
    <sheetView topLeftCell="A4" workbookViewId="0">
      <selection activeCell="I31" sqref="I31"/>
    </sheetView>
  </sheetViews>
  <sheetFormatPr defaultRowHeight="13.5" x14ac:dyDescent="0.3"/>
  <cols>
    <col min="1" max="1" width="1.625" style="143" customWidth="1"/>
    <col min="2" max="2" width="4.625" style="143" bestFit="1" customWidth="1"/>
    <col min="3" max="3" width="7.625" style="143" bestFit="1" customWidth="1"/>
    <col min="4" max="4" width="8" style="143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43" customWidth="1"/>
    <col min="26" max="26" width="8.375" style="143" customWidth="1"/>
    <col min="27" max="27" width="7.25" style="143" customWidth="1"/>
    <col min="28" max="28" width="3.875" style="143" customWidth="1"/>
    <col min="29" max="29" width="0.5" style="143" customWidth="1"/>
    <col min="30" max="257" width="9" style="143"/>
    <col min="258" max="258" width="4.625" style="143" bestFit="1" customWidth="1"/>
    <col min="259" max="259" width="7.5" style="143" bestFit="1" customWidth="1"/>
    <col min="260" max="260" width="6.25" style="143" customWidth="1"/>
    <col min="261" max="261" width="11" style="143" bestFit="1" customWidth="1"/>
    <col min="262" max="263" width="9.625" style="143" bestFit="1" customWidth="1"/>
    <col min="264" max="264" width="8.25" style="143" bestFit="1" customWidth="1"/>
    <col min="265" max="266" width="9.625" style="143" bestFit="1" customWidth="1"/>
    <col min="267" max="267" width="8.25" style="143" bestFit="1" customWidth="1"/>
    <col min="268" max="269" width="9.625" style="143" bestFit="1" customWidth="1"/>
    <col min="270" max="271" width="8.25" style="143" bestFit="1" customWidth="1"/>
    <col min="272" max="272" width="11" style="143" bestFit="1" customWidth="1"/>
    <col min="273" max="273" width="8" style="143" bestFit="1" customWidth="1"/>
    <col min="274" max="274" width="7.75" style="143" bestFit="1" customWidth="1"/>
    <col min="275" max="276" width="9.625" style="143" bestFit="1" customWidth="1"/>
    <col min="277" max="278" width="9.625" style="143" customWidth="1"/>
    <col min="279" max="279" width="9.25" style="143" bestFit="1" customWidth="1"/>
    <col min="280" max="280" width="11" style="143" bestFit="1" customWidth="1"/>
    <col min="281" max="513" width="9" style="143"/>
    <col min="514" max="514" width="4.625" style="143" bestFit="1" customWidth="1"/>
    <col min="515" max="515" width="7.5" style="143" bestFit="1" customWidth="1"/>
    <col min="516" max="516" width="6.25" style="143" customWidth="1"/>
    <col min="517" max="517" width="11" style="143" bestFit="1" customWidth="1"/>
    <col min="518" max="519" width="9.625" style="143" bestFit="1" customWidth="1"/>
    <col min="520" max="520" width="8.25" style="143" bestFit="1" customWidth="1"/>
    <col min="521" max="522" width="9.625" style="143" bestFit="1" customWidth="1"/>
    <col min="523" max="523" width="8.25" style="143" bestFit="1" customWidth="1"/>
    <col min="524" max="525" width="9.625" style="143" bestFit="1" customWidth="1"/>
    <col min="526" max="527" width="8.25" style="143" bestFit="1" customWidth="1"/>
    <col min="528" max="528" width="11" style="143" bestFit="1" customWidth="1"/>
    <col min="529" max="529" width="8" style="143" bestFit="1" customWidth="1"/>
    <col min="530" max="530" width="7.75" style="143" bestFit="1" customWidth="1"/>
    <col min="531" max="532" width="9.625" style="143" bestFit="1" customWidth="1"/>
    <col min="533" max="534" width="9.625" style="143" customWidth="1"/>
    <col min="535" max="535" width="9.25" style="143" bestFit="1" customWidth="1"/>
    <col min="536" max="536" width="11" style="143" bestFit="1" customWidth="1"/>
    <col min="537" max="769" width="9" style="143"/>
    <col min="770" max="770" width="4.625" style="143" bestFit="1" customWidth="1"/>
    <col min="771" max="771" width="7.5" style="143" bestFit="1" customWidth="1"/>
    <col min="772" max="772" width="6.25" style="143" customWidth="1"/>
    <col min="773" max="773" width="11" style="143" bestFit="1" customWidth="1"/>
    <col min="774" max="775" width="9.625" style="143" bestFit="1" customWidth="1"/>
    <col min="776" max="776" width="8.25" style="143" bestFit="1" customWidth="1"/>
    <col min="777" max="778" width="9.625" style="143" bestFit="1" customWidth="1"/>
    <col min="779" max="779" width="8.25" style="143" bestFit="1" customWidth="1"/>
    <col min="780" max="781" width="9.625" style="143" bestFit="1" customWidth="1"/>
    <col min="782" max="783" width="8.25" style="143" bestFit="1" customWidth="1"/>
    <col min="784" max="784" width="11" style="143" bestFit="1" customWidth="1"/>
    <col min="785" max="785" width="8" style="143" bestFit="1" customWidth="1"/>
    <col min="786" max="786" width="7.75" style="143" bestFit="1" customWidth="1"/>
    <col min="787" max="788" width="9.625" style="143" bestFit="1" customWidth="1"/>
    <col min="789" max="790" width="9.625" style="143" customWidth="1"/>
    <col min="791" max="791" width="9.25" style="143" bestFit="1" customWidth="1"/>
    <col min="792" max="792" width="11" style="143" bestFit="1" customWidth="1"/>
    <col min="793" max="1025" width="9" style="143"/>
    <col min="1026" max="1026" width="4.625" style="143" bestFit="1" customWidth="1"/>
    <col min="1027" max="1027" width="7.5" style="143" bestFit="1" customWidth="1"/>
    <col min="1028" max="1028" width="6.25" style="143" customWidth="1"/>
    <col min="1029" max="1029" width="11" style="143" bestFit="1" customWidth="1"/>
    <col min="1030" max="1031" width="9.625" style="143" bestFit="1" customWidth="1"/>
    <col min="1032" max="1032" width="8.25" style="143" bestFit="1" customWidth="1"/>
    <col min="1033" max="1034" width="9.625" style="143" bestFit="1" customWidth="1"/>
    <col min="1035" max="1035" width="8.25" style="143" bestFit="1" customWidth="1"/>
    <col min="1036" max="1037" width="9.625" style="143" bestFit="1" customWidth="1"/>
    <col min="1038" max="1039" width="8.25" style="143" bestFit="1" customWidth="1"/>
    <col min="1040" max="1040" width="11" style="143" bestFit="1" customWidth="1"/>
    <col min="1041" max="1041" width="8" style="143" bestFit="1" customWidth="1"/>
    <col min="1042" max="1042" width="7.75" style="143" bestFit="1" customWidth="1"/>
    <col min="1043" max="1044" width="9.625" style="143" bestFit="1" customWidth="1"/>
    <col min="1045" max="1046" width="9.625" style="143" customWidth="1"/>
    <col min="1047" max="1047" width="9.25" style="143" bestFit="1" customWidth="1"/>
    <col min="1048" max="1048" width="11" style="143" bestFit="1" customWidth="1"/>
    <col min="1049" max="1281" width="9" style="143"/>
    <col min="1282" max="1282" width="4.625" style="143" bestFit="1" customWidth="1"/>
    <col min="1283" max="1283" width="7.5" style="143" bestFit="1" customWidth="1"/>
    <col min="1284" max="1284" width="6.25" style="143" customWidth="1"/>
    <col min="1285" max="1285" width="11" style="143" bestFit="1" customWidth="1"/>
    <col min="1286" max="1287" width="9.625" style="143" bestFit="1" customWidth="1"/>
    <col min="1288" max="1288" width="8.25" style="143" bestFit="1" customWidth="1"/>
    <col min="1289" max="1290" width="9.625" style="143" bestFit="1" customWidth="1"/>
    <col min="1291" max="1291" width="8.25" style="143" bestFit="1" customWidth="1"/>
    <col min="1292" max="1293" width="9.625" style="143" bestFit="1" customWidth="1"/>
    <col min="1294" max="1295" width="8.25" style="143" bestFit="1" customWidth="1"/>
    <col min="1296" max="1296" width="11" style="143" bestFit="1" customWidth="1"/>
    <col min="1297" max="1297" width="8" style="143" bestFit="1" customWidth="1"/>
    <col min="1298" max="1298" width="7.75" style="143" bestFit="1" customWidth="1"/>
    <col min="1299" max="1300" width="9.625" style="143" bestFit="1" customWidth="1"/>
    <col min="1301" max="1302" width="9.625" style="143" customWidth="1"/>
    <col min="1303" max="1303" width="9.25" style="143" bestFit="1" customWidth="1"/>
    <col min="1304" max="1304" width="11" style="143" bestFit="1" customWidth="1"/>
    <col min="1305" max="1537" width="9" style="143"/>
    <col min="1538" max="1538" width="4.625" style="143" bestFit="1" customWidth="1"/>
    <col min="1539" max="1539" width="7.5" style="143" bestFit="1" customWidth="1"/>
    <col min="1540" max="1540" width="6.25" style="143" customWidth="1"/>
    <col min="1541" max="1541" width="11" style="143" bestFit="1" customWidth="1"/>
    <col min="1542" max="1543" width="9.625" style="143" bestFit="1" customWidth="1"/>
    <col min="1544" max="1544" width="8.25" style="143" bestFit="1" customWidth="1"/>
    <col min="1545" max="1546" width="9.625" style="143" bestFit="1" customWidth="1"/>
    <col min="1547" max="1547" width="8.25" style="143" bestFit="1" customWidth="1"/>
    <col min="1548" max="1549" width="9.625" style="143" bestFit="1" customWidth="1"/>
    <col min="1550" max="1551" width="8.25" style="143" bestFit="1" customWidth="1"/>
    <col min="1552" max="1552" width="11" style="143" bestFit="1" customWidth="1"/>
    <col min="1553" max="1553" width="8" style="143" bestFit="1" customWidth="1"/>
    <col min="1554" max="1554" width="7.75" style="143" bestFit="1" customWidth="1"/>
    <col min="1555" max="1556" width="9.625" style="143" bestFit="1" customWidth="1"/>
    <col min="1557" max="1558" width="9.625" style="143" customWidth="1"/>
    <col min="1559" max="1559" width="9.25" style="143" bestFit="1" customWidth="1"/>
    <col min="1560" max="1560" width="11" style="143" bestFit="1" customWidth="1"/>
    <col min="1561" max="1793" width="9" style="143"/>
    <col min="1794" max="1794" width="4.625" style="143" bestFit="1" customWidth="1"/>
    <col min="1795" max="1795" width="7.5" style="143" bestFit="1" customWidth="1"/>
    <col min="1796" max="1796" width="6.25" style="143" customWidth="1"/>
    <col min="1797" max="1797" width="11" style="143" bestFit="1" customWidth="1"/>
    <col min="1798" max="1799" width="9.625" style="143" bestFit="1" customWidth="1"/>
    <col min="1800" max="1800" width="8.25" style="143" bestFit="1" customWidth="1"/>
    <col min="1801" max="1802" width="9.625" style="143" bestFit="1" customWidth="1"/>
    <col min="1803" max="1803" width="8.25" style="143" bestFit="1" customWidth="1"/>
    <col min="1804" max="1805" width="9.625" style="143" bestFit="1" customWidth="1"/>
    <col min="1806" max="1807" width="8.25" style="143" bestFit="1" customWidth="1"/>
    <col min="1808" max="1808" width="11" style="143" bestFit="1" customWidth="1"/>
    <col min="1809" max="1809" width="8" style="143" bestFit="1" customWidth="1"/>
    <col min="1810" max="1810" width="7.75" style="143" bestFit="1" customWidth="1"/>
    <col min="1811" max="1812" width="9.625" style="143" bestFit="1" customWidth="1"/>
    <col min="1813" max="1814" width="9.625" style="143" customWidth="1"/>
    <col min="1815" max="1815" width="9.25" style="143" bestFit="1" customWidth="1"/>
    <col min="1816" max="1816" width="11" style="143" bestFit="1" customWidth="1"/>
    <col min="1817" max="2049" width="9" style="143"/>
    <col min="2050" max="2050" width="4.625" style="143" bestFit="1" customWidth="1"/>
    <col min="2051" max="2051" width="7.5" style="143" bestFit="1" customWidth="1"/>
    <col min="2052" max="2052" width="6.25" style="143" customWidth="1"/>
    <col min="2053" max="2053" width="11" style="143" bestFit="1" customWidth="1"/>
    <col min="2054" max="2055" width="9.625" style="143" bestFit="1" customWidth="1"/>
    <col min="2056" max="2056" width="8.25" style="143" bestFit="1" customWidth="1"/>
    <col min="2057" max="2058" width="9.625" style="143" bestFit="1" customWidth="1"/>
    <col min="2059" max="2059" width="8.25" style="143" bestFit="1" customWidth="1"/>
    <col min="2060" max="2061" width="9.625" style="143" bestFit="1" customWidth="1"/>
    <col min="2062" max="2063" width="8.25" style="143" bestFit="1" customWidth="1"/>
    <col min="2064" max="2064" width="11" style="143" bestFit="1" customWidth="1"/>
    <col min="2065" max="2065" width="8" style="143" bestFit="1" customWidth="1"/>
    <col min="2066" max="2066" width="7.75" style="143" bestFit="1" customWidth="1"/>
    <col min="2067" max="2068" width="9.625" style="143" bestFit="1" customWidth="1"/>
    <col min="2069" max="2070" width="9.625" style="143" customWidth="1"/>
    <col min="2071" max="2071" width="9.25" style="143" bestFit="1" customWidth="1"/>
    <col min="2072" max="2072" width="11" style="143" bestFit="1" customWidth="1"/>
    <col min="2073" max="2305" width="9" style="143"/>
    <col min="2306" max="2306" width="4.625" style="143" bestFit="1" customWidth="1"/>
    <col min="2307" max="2307" width="7.5" style="143" bestFit="1" customWidth="1"/>
    <col min="2308" max="2308" width="6.25" style="143" customWidth="1"/>
    <col min="2309" max="2309" width="11" style="143" bestFit="1" customWidth="1"/>
    <col min="2310" max="2311" width="9.625" style="143" bestFit="1" customWidth="1"/>
    <col min="2312" max="2312" width="8.25" style="143" bestFit="1" customWidth="1"/>
    <col min="2313" max="2314" width="9.625" style="143" bestFit="1" customWidth="1"/>
    <col min="2315" max="2315" width="8.25" style="143" bestFit="1" customWidth="1"/>
    <col min="2316" max="2317" width="9.625" style="143" bestFit="1" customWidth="1"/>
    <col min="2318" max="2319" width="8.25" style="143" bestFit="1" customWidth="1"/>
    <col min="2320" max="2320" width="11" style="143" bestFit="1" customWidth="1"/>
    <col min="2321" max="2321" width="8" style="143" bestFit="1" customWidth="1"/>
    <col min="2322" max="2322" width="7.75" style="143" bestFit="1" customWidth="1"/>
    <col min="2323" max="2324" width="9.625" style="143" bestFit="1" customWidth="1"/>
    <col min="2325" max="2326" width="9.625" style="143" customWidth="1"/>
    <col min="2327" max="2327" width="9.25" style="143" bestFit="1" customWidth="1"/>
    <col min="2328" max="2328" width="11" style="143" bestFit="1" customWidth="1"/>
    <col min="2329" max="2561" width="9" style="143"/>
    <col min="2562" max="2562" width="4.625" style="143" bestFit="1" customWidth="1"/>
    <col min="2563" max="2563" width="7.5" style="143" bestFit="1" customWidth="1"/>
    <col min="2564" max="2564" width="6.25" style="143" customWidth="1"/>
    <col min="2565" max="2565" width="11" style="143" bestFit="1" customWidth="1"/>
    <col min="2566" max="2567" width="9.625" style="143" bestFit="1" customWidth="1"/>
    <col min="2568" max="2568" width="8.25" style="143" bestFit="1" customWidth="1"/>
    <col min="2569" max="2570" width="9.625" style="143" bestFit="1" customWidth="1"/>
    <col min="2571" max="2571" width="8.25" style="143" bestFit="1" customWidth="1"/>
    <col min="2572" max="2573" width="9.625" style="143" bestFit="1" customWidth="1"/>
    <col min="2574" max="2575" width="8.25" style="143" bestFit="1" customWidth="1"/>
    <col min="2576" max="2576" width="11" style="143" bestFit="1" customWidth="1"/>
    <col min="2577" max="2577" width="8" style="143" bestFit="1" customWidth="1"/>
    <col min="2578" max="2578" width="7.75" style="143" bestFit="1" customWidth="1"/>
    <col min="2579" max="2580" width="9.625" style="143" bestFit="1" customWidth="1"/>
    <col min="2581" max="2582" width="9.625" style="143" customWidth="1"/>
    <col min="2583" max="2583" width="9.25" style="143" bestFit="1" customWidth="1"/>
    <col min="2584" max="2584" width="11" style="143" bestFit="1" customWidth="1"/>
    <col min="2585" max="2817" width="9" style="143"/>
    <col min="2818" max="2818" width="4.625" style="143" bestFit="1" customWidth="1"/>
    <col min="2819" max="2819" width="7.5" style="143" bestFit="1" customWidth="1"/>
    <col min="2820" max="2820" width="6.25" style="143" customWidth="1"/>
    <col min="2821" max="2821" width="11" style="143" bestFit="1" customWidth="1"/>
    <col min="2822" max="2823" width="9.625" style="143" bestFit="1" customWidth="1"/>
    <col min="2824" max="2824" width="8.25" style="143" bestFit="1" customWidth="1"/>
    <col min="2825" max="2826" width="9.625" style="143" bestFit="1" customWidth="1"/>
    <col min="2827" max="2827" width="8.25" style="143" bestFit="1" customWidth="1"/>
    <col min="2828" max="2829" width="9.625" style="143" bestFit="1" customWidth="1"/>
    <col min="2830" max="2831" width="8.25" style="143" bestFit="1" customWidth="1"/>
    <col min="2832" max="2832" width="11" style="143" bestFit="1" customWidth="1"/>
    <col min="2833" max="2833" width="8" style="143" bestFit="1" customWidth="1"/>
    <col min="2834" max="2834" width="7.75" style="143" bestFit="1" customWidth="1"/>
    <col min="2835" max="2836" width="9.625" style="143" bestFit="1" customWidth="1"/>
    <col min="2837" max="2838" width="9.625" style="143" customWidth="1"/>
    <col min="2839" max="2839" width="9.25" style="143" bestFit="1" customWidth="1"/>
    <col min="2840" max="2840" width="11" style="143" bestFit="1" customWidth="1"/>
    <col min="2841" max="3073" width="9" style="143"/>
    <col min="3074" max="3074" width="4.625" style="143" bestFit="1" customWidth="1"/>
    <col min="3075" max="3075" width="7.5" style="143" bestFit="1" customWidth="1"/>
    <col min="3076" max="3076" width="6.25" style="143" customWidth="1"/>
    <col min="3077" max="3077" width="11" style="143" bestFit="1" customWidth="1"/>
    <col min="3078" max="3079" width="9.625" style="143" bestFit="1" customWidth="1"/>
    <col min="3080" max="3080" width="8.25" style="143" bestFit="1" customWidth="1"/>
    <col min="3081" max="3082" width="9.625" style="143" bestFit="1" customWidth="1"/>
    <col min="3083" max="3083" width="8.25" style="143" bestFit="1" customWidth="1"/>
    <col min="3084" max="3085" width="9.625" style="143" bestFit="1" customWidth="1"/>
    <col min="3086" max="3087" width="8.25" style="143" bestFit="1" customWidth="1"/>
    <col min="3088" max="3088" width="11" style="143" bestFit="1" customWidth="1"/>
    <col min="3089" max="3089" width="8" style="143" bestFit="1" customWidth="1"/>
    <col min="3090" max="3090" width="7.75" style="143" bestFit="1" customWidth="1"/>
    <col min="3091" max="3092" width="9.625" style="143" bestFit="1" customWidth="1"/>
    <col min="3093" max="3094" width="9.625" style="143" customWidth="1"/>
    <col min="3095" max="3095" width="9.25" style="143" bestFit="1" customWidth="1"/>
    <col min="3096" max="3096" width="11" style="143" bestFit="1" customWidth="1"/>
    <col min="3097" max="3329" width="9" style="143"/>
    <col min="3330" max="3330" width="4.625" style="143" bestFit="1" customWidth="1"/>
    <col min="3331" max="3331" width="7.5" style="143" bestFit="1" customWidth="1"/>
    <col min="3332" max="3332" width="6.25" style="143" customWidth="1"/>
    <col min="3333" max="3333" width="11" style="143" bestFit="1" customWidth="1"/>
    <col min="3334" max="3335" width="9.625" style="143" bestFit="1" customWidth="1"/>
    <col min="3336" max="3336" width="8.25" style="143" bestFit="1" customWidth="1"/>
    <col min="3337" max="3338" width="9.625" style="143" bestFit="1" customWidth="1"/>
    <col min="3339" max="3339" width="8.25" style="143" bestFit="1" customWidth="1"/>
    <col min="3340" max="3341" width="9.625" style="143" bestFit="1" customWidth="1"/>
    <col min="3342" max="3343" width="8.25" style="143" bestFit="1" customWidth="1"/>
    <col min="3344" max="3344" width="11" style="143" bestFit="1" customWidth="1"/>
    <col min="3345" max="3345" width="8" style="143" bestFit="1" customWidth="1"/>
    <col min="3346" max="3346" width="7.75" style="143" bestFit="1" customWidth="1"/>
    <col min="3347" max="3348" width="9.625" style="143" bestFit="1" customWidth="1"/>
    <col min="3349" max="3350" width="9.625" style="143" customWidth="1"/>
    <col min="3351" max="3351" width="9.25" style="143" bestFit="1" customWidth="1"/>
    <col min="3352" max="3352" width="11" style="143" bestFit="1" customWidth="1"/>
    <col min="3353" max="3585" width="9" style="143"/>
    <col min="3586" max="3586" width="4.625" style="143" bestFit="1" customWidth="1"/>
    <col min="3587" max="3587" width="7.5" style="143" bestFit="1" customWidth="1"/>
    <col min="3588" max="3588" width="6.25" style="143" customWidth="1"/>
    <col min="3589" max="3589" width="11" style="143" bestFit="1" customWidth="1"/>
    <col min="3590" max="3591" width="9.625" style="143" bestFit="1" customWidth="1"/>
    <col min="3592" max="3592" width="8.25" style="143" bestFit="1" customWidth="1"/>
    <col min="3593" max="3594" width="9.625" style="143" bestFit="1" customWidth="1"/>
    <col min="3595" max="3595" width="8.25" style="143" bestFit="1" customWidth="1"/>
    <col min="3596" max="3597" width="9.625" style="143" bestFit="1" customWidth="1"/>
    <col min="3598" max="3599" width="8.25" style="143" bestFit="1" customWidth="1"/>
    <col min="3600" max="3600" width="11" style="143" bestFit="1" customWidth="1"/>
    <col min="3601" max="3601" width="8" style="143" bestFit="1" customWidth="1"/>
    <col min="3602" max="3602" width="7.75" style="143" bestFit="1" customWidth="1"/>
    <col min="3603" max="3604" width="9.625" style="143" bestFit="1" customWidth="1"/>
    <col min="3605" max="3606" width="9.625" style="143" customWidth="1"/>
    <col min="3607" max="3607" width="9.25" style="143" bestFit="1" customWidth="1"/>
    <col min="3608" max="3608" width="11" style="143" bestFit="1" customWidth="1"/>
    <col min="3609" max="3841" width="9" style="143"/>
    <col min="3842" max="3842" width="4.625" style="143" bestFit="1" customWidth="1"/>
    <col min="3843" max="3843" width="7.5" style="143" bestFit="1" customWidth="1"/>
    <col min="3844" max="3844" width="6.25" style="143" customWidth="1"/>
    <col min="3845" max="3845" width="11" style="143" bestFit="1" customWidth="1"/>
    <col min="3846" max="3847" width="9.625" style="143" bestFit="1" customWidth="1"/>
    <col min="3848" max="3848" width="8.25" style="143" bestFit="1" customWidth="1"/>
    <col min="3849" max="3850" width="9.625" style="143" bestFit="1" customWidth="1"/>
    <col min="3851" max="3851" width="8.25" style="143" bestFit="1" customWidth="1"/>
    <col min="3852" max="3853" width="9.625" style="143" bestFit="1" customWidth="1"/>
    <col min="3854" max="3855" width="8.25" style="143" bestFit="1" customWidth="1"/>
    <col min="3856" max="3856" width="11" style="143" bestFit="1" customWidth="1"/>
    <col min="3857" max="3857" width="8" style="143" bestFit="1" customWidth="1"/>
    <col min="3858" max="3858" width="7.75" style="143" bestFit="1" customWidth="1"/>
    <col min="3859" max="3860" width="9.625" style="143" bestFit="1" customWidth="1"/>
    <col min="3861" max="3862" width="9.625" style="143" customWidth="1"/>
    <col min="3863" max="3863" width="9.25" style="143" bestFit="1" customWidth="1"/>
    <col min="3864" max="3864" width="11" style="143" bestFit="1" customWidth="1"/>
    <col min="3865" max="4097" width="9" style="143"/>
    <col min="4098" max="4098" width="4.625" style="143" bestFit="1" customWidth="1"/>
    <col min="4099" max="4099" width="7.5" style="143" bestFit="1" customWidth="1"/>
    <col min="4100" max="4100" width="6.25" style="143" customWidth="1"/>
    <col min="4101" max="4101" width="11" style="143" bestFit="1" customWidth="1"/>
    <col min="4102" max="4103" width="9.625" style="143" bestFit="1" customWidth="1"/>
    <col min="4104" max="4104" width="8.25" style="143" bestFit="1" customWidth="1"/>
    <col min="4105" max="4106" width="9.625" style="143" bestFit="1" customWidth="1"/>
    <col min="4107" max="4107" width="8.25" style="143" bestFit="1" customWidth="1"/>
    <col min="4108" max="4109" width="9.625" style="143" bestFit="1" customWidth="1"/>
    <col min="4110" max="4111" width="8.25" style="143" bestFit="1" customWidth="1"/>
    <col min="4112" max="4112" width="11" style="143" bestFit="1" customWidth="1"/>
    <col min="4113" max="4113" width="8" style="143" bestFit="1" customWidth="1"/>
    <col min="4114" max="4114" width="7.75" style="143" bestFit="1" customWidth="1"/>
    <col min="4115" max="4116" width="9.625" style="143" bestFit="1" customWidth="1"/>
    <col min="4117" max="4118" width="9.625" style="143" customWidth="1"/>
    <col min="4119" max="4119" width="9.25" style="143" bestFit="1" customWidth="1"/>
    <col min="4120" max="4120" width="11" style="143" bestFit="1" customWidth="1"/>
    <col min="4121" max="4353" width="9" style="143"/>
    <col min="4354" max="4354" width="4.625" style="143" bestFit="1" customWidth="1"/>
    <col min="4355" max="4355" width="7.5" style="143" bestFit="1" customWidth="1"/>
    <col min="4356" max="4356" width="6.25" style="143" customWidth="1"/>
    <col min="4357" max="4357" width="11" style="143" bestFit="1" customWidth="1"/>
    <col min="4358" max="4359" width="9.625" style="143" bestFit="1" customWidth="1"/>
    <col min="4360" max="4360" width="8.25" style="143" bestFit="1" customWidth="1"/>
    <col min="4361" max="4362" width="9.625" style="143" bestFit="1" customWidth="1"/>
    <col min="4363" max="4363" width="8.25" style="143" bestFit="1" customWidth="1"/>
    <col min="4364" max="4365" width="9.625" style="143" bestFit="1" customWidth="1"/>
    <col min="4366" max="4367" width="8.25" style="143" bestFit="1" customWidth="1"/>
    <col min="4368" max="4368" width="11" style="143" bestFit="1" customWidth="1"/>
    <col min="4369" max="4369" width="8" style="143" bestFit="1" customWidth="1"/>
    <col min="4370" max="4370" width="7.75" style="143" bestFit="1" customWidth="1"/>
    <col min="4371" max="4372" width="9.625" style="143" bestFit="1" customWidth="1"/>
    <col min="4373" max="4374" width="9.625" style="143" customWidth="1"/>
    <col min="4375" max="4375" width="9.25" style="143" bestFit="1" customWidth="1"/>
    <col min="4376" max="4376" width="11" style="143" bestFit="1" customWidth="1"/>
    <col min="4377" max="4609" width="9" style="143"/>
    <col min="4610" max="4610" width="4.625" style="143" bestFit="1" customWidth="1"/>
    <col min="4611" max="4611" width="7.5" style="143" bestFit="1" customWidth="1"/>
    <col min="4612" max="4612" width="6.25" style="143" customWidth="1"/>
    <col min="4613" max="4613" width="11" style="143" bestFit="1" customWidth="1"/>
    <col min="4614" max="4615" width="9.625" style="143" bestFit="1" customWidth="1"/>
    <col min="4616" max="4616" width="8.25" style="143" bestFit="1" customWidth="1"/>
    <col min="4617" max="4618" width="9.625" style="143" bestFit="1" customWidth="1"/>
    <col min="4619" max="4619" width="8.25" style="143" bestFit="1" customWidth="1"/>
    <col min="4620" max="4621" width="9.625" style="143" bestFit="1" customWidth="1"/>
    <col min="4622" max="4623" width="8.25" style="143" bestFit="1" customWidth="1"/>
    <col min="4624" max="4624" width="11" style="143" bestFit="1" customWidth="1"/>
    <col min="4625" max="4625" width="8" style="143" bestFit="1" customWidth="1"/>
    <col min="4626" max="4626" width="7.75" style="143" bestFit="1" customWidth="1"/>
    <col min="4627" max="4628" width="9.625" style="143" bestFit="1" customWidth="1"/>
    <col min="4629" max="4630" width="9.625" style="143" customWidth="1"/>
    <col min="4631" max="4631" width="9.25" style="143" bestFit="1" customWidth="1"/>
    <col min="4632" max="4632" width="11" style="143" bestFit="1" customWidth="1"/>
    <col min="4633" max="4865" width="9" style="143"/>
    <col min="4866" max="4866" width="4.625" style="143" bestFit="1" customWidth="1"/>
    <col min="4867" max="4867" width="7.5" style="143" bestFit="1" customWidth="1"/>
    <col min="4868" max="4868" width="6.25" style="143" customWidth="1"/>
    <col min="4869" max="4869" width="11" style="143" bestFit="1" customWidth="1"/>
    <col min="4870" max="4871" width="9.625" style="143" bestFit="1" customWidth="1"/>
    <col min="4872" max="4872" width="8.25" style="143" bestFit="1" customWidth="1"/>
    <col min="4873" max="4874" width="9.625" style="143" bestFit="1" customWidth="1"/>
    <col min="4875" max="4875" width="8.25" style="143" bestFit="1" customWidth="1"/>
    <col min="4876" max="4877" width="9.625" style="143" bestFit="1" customWidth="1"/>
    <col min="4878" max="4879" width="8.25" style="143" bestFit="1" customWidth="1"/>
    <col min="4880" max="4880" width="11" style="143" bestFit="1" customWidth="1"/>
    <col min="4881" max="4881" width="8" style="143" bestFit="1" customWidth="1"/>
    <col min="4882" max="4882" width="7.75" style="143" bestFit="1" customWidth="1"/>
    <col min="4883" max="4884" width="9.625" style="143" bestFit="1" customWidth="1"/>
    <col min="4885" max="4886" width="9.625" style="143" customWidth="1"/>
    <col min="4887" max="4887" width="9.25" style="143" bestFit="1" customWidth="1"/>
    <col min="4888" max="4888" width="11" style="143" bestFit="1" customWidth="1"/>
    <col min="4889" max="5121" width="9" style="143"/>
    <col min="5122" max="5122" width="4.625" style="143" bestFit="1" customWidth="1"/>
    <col min="5123" max="5123" width="7.5" style="143" bestFit="1" customWidth="1"/>
    <col min="5124" max="5124" width="6.25" style="143" customWidth="1"/>
    <col min="5125" max="5125" width="11" style="143" bestFit="1" customWidth="1"/>
    <col min="5126" max="5127" width="9.625" style="143" bestFit="1" customWidth="1"/>
    <col min="5128" max="5128" width="8.25" style="143" bestFit="1" customWidth="1"/>
    <col min="5129" max="5130" width="9.625" style="143" bestFit="1" customWidth="1"/>
    <col min="5131" max="5131" width="8.25" style="143" bestFit="1" customWidth="1"/>
    <col min="5132" max="5133" width="9.625" style="143" bestFit="1" customWidth="1"/>
    <col min="5134" max="5135" width="8.25" style="143" bestFit="1" customWidth="1"/>
    <col min="5136" max="5136" width="11" style="143" bestFit="1" customWidth="1"/>
    <col min="5137" max="5137" width="8" style="143" bestFit="1" customWidth="1"/>
    <col min="5138" max="5138" width="7.75" style="143" bestFit="1" customWidth="1"/>
    <col min="5139" max="5140" width="9.625" style="143" bestFit="1" customWidth="1"/>
    <col min="5141" max="5142" width="9.625" style="143" customWidth="1"/>
    <col min="5143" max="5143" width="9.25" style="143" bestFit="1" customWidth="1"/>
    <col min="5144" max="5144" width="11" style="143" bestFit="1" customWidth="1"/>
    <col min="5145" max="5377" width="9" style="143"/>
    <col min="5378" max="5378" width="4.625" style="143" bestFit="1" customWidth="1"/>
    <col min="5379" max="5379" width="7.5" style="143" bestFit="1" customWidth="1"/>
    <col min="5380" max="5380" width="6.25" style="143" customWidth="1"/>
    <col min="5381" max="5381" width="11" style="143" bestFit="1" customWidth="1"/>
    <col min="5382" max="5383" width="9.625" style="143" bestFit="1" customWidth="1"/>
    <col min="5384" max="5384" width="8.25" style="143" bestFit="1" customWidth="1"/>
    <col min="5385" max="5386" width="9.625" style="143" bestFit="1" customWidth="1"/>
    <col min="5387" max="5387" width="8.25" style="143" bestFit="1" customWidth="1"/>
    <col min="5388" max="5389" width="9.625" style="143" bestFit="1" customWidth="1"/>
    <col min="5390" max="5391" width="8.25" style="143" bestFit="1" customWidth="1"/>
    <col min="5392" max="5392" width="11" style="143" bestFit="1" customWidth="1"/>
    <col min="5393" max="5393" width="8" style="143" bestFit="1" customWidth="1"/>
    <col min="5394" max="5394" width="7.75" style="143" bestFit="1" customWidth="1"/>
    <col min="5395" max="5396" width="9.625" style="143" bestFit="1" customWidth="1"/>
    <col min="5397" max="5398" width="9.625" style="143" customWidth="1"/>
    <col min="5399" max="5399" width="9.25" style="143" bestFit="1" customWidth="1"/>
    <col min="5400" max="5400" width="11" style="143" bestFit="1" customWidth="1"/>
    <col min="5401" max="5633" width="9" style="143"/>
    <col min="5634" max="5634" width="4.625" style="143" bestFit="1" customWidth="1"/>
    <col min="5635" max="5635" width="7.5" style="143" bestFit="1" customWidth="1"/>
    <col min="5636" max="5636" width="6.25" style="143" customWidth="1"/>
    <col min="5637" max="5637" width="11" style="143" bestFit="1" customWidth="1"/>
    <col min="5638" max="5639" width="9.625" style="143" bestFit="1" customWidth="1"/>
    <col min="5640" max="5640" width="8.25" style="143" bestFit="1" customWidth="1"/>
    <col min="5641" max="5642" width="9.625" style="143" bestFit="1" customWidth="1"/>
    <col min="5643" max="5643" width="8.25" style="143" bestFit="1" customWidth="1"/>
    <col min="5644" max="5645" width="9.625" style="143" bestFit="1" customWidth="1"/>
    <col min="5646" max="5647" width="8.25" style="143" bestFit="1" customWidth="1"/>
    <col min="5648" max="5648" width="11" style="143" bestFit="1" customWidth="1"/>
    <col min="5649" max="5649" width="8" style="143" bestFit="1" customWidth="1"/>
    <col min="5650" max="5650" width="7.75" style="143" bestFit="1" customWidth="1"/>
    <col min="5651" max="5652" width="9.625" style="143" bestFit="1" customWidth="1"/>
    <col min="5653" max="5654" width="9.625" style="143" customWidth="1"/>
    <col min="5655" max="5655" width="9.25" style="143" bestFit="1" customWidth="1"/>
    <col min="5656" max="5656" width="11" style="143" bestFit="1" customWidth="1"/>
    <col min="5657" max="5889" width="9" style="143"/>
    <col min="5890" max="5890" width="4.625" style="143" bestFit="1" customWidth="1"/>
    <col min="5891" max="5891" width="7.5" style="143" bestFit="1" customWidth="1"/>
    <col min="5892" max="5892" width="6.25" style="143" customWidth="1"/>
    <col min="5893" max="5893" width="11" style="143" bestFit="1" customWidth="1"/>
    <col min="5894" max="5895" width="9.625" style="143" bestFit="1" customWidth="1"/>
    <col min="5896" max="5896" width="8.25" style="143" bestFit="1" customWidth="1"/>
    <col min="5897" max="5898" width="9.625" style="143" bestFit="1" customWidth="1"/>
    <col min="5899" max="5899" width="8.25" style="143" bestFit="1" customWidth="1"/>
    <col min="5900" max="5901" width="9.625" style="143" bestFit="1" customWidth="1"/>
    <col min="5902" max="5903" width="8.25" style="143" bestFit="1" customWidth="1"/>
    <col min="5904" max="5904" width="11" style="143" bestFit="1" customWidth="1"/>
    <col min="5905" max="5905" width="8" style="143" bestFit="1" customWidth="1"/>
    <col min="5906" max="5906" width="7.75" style="143" bestFit="1" customWidth="1"/>
    <col min="5907" max="5908" width="9.625" style="143" bestFit="1" customWidth="1"/>
    <col min="5909" max="5910" width="9.625" style="143" customWidth="1"/>
    <col min="5911" max="5911" width="9.25" style="143" bestFit="1" customWidth="1"/>
    <col min="5912" max="5912" width="11" style="143" bestFit="1" customWidth="1"/>
    <col min="5913" max="6145" width="9" style="143"/>
    <col min="6146" max="6146" width="4.625" style="143" bestFit="1" customWidth="1"/>
    <col min="6147" max="6147" width="7.5" style="143" bestFit="1" customWidth="1"/>
    <col min="6148" max="6148" width="6.25" style="143" customWidth="1"/>
    <col min="6149" max="6149" width="11" style="143" bestFit="1" customWidth="1"/>
    <col min="6150" max="6151" width="9.625" style="143" bestFit="1" customWidth="1"/>
    <col min="6152" max="6152" width="8.25" style="143" bestFit="1" customWidth="1"/>
    <col min="6153" max="6154" width="9.625" style="143" bestFit="1" customWidth="1"/>
    <col min="6155" max="6155" width="8.25" style="143" bestFit="1" customWidth="1"/>
    <col min="6156" max="6157" width="9.625" style="143" bestFit="1" customWidth="1"/>
    <col min="6158" max="6159" width="8.25" style="143" bestFit="1" customWidth="1"/>
    <col min="6160" max="6160" width="11" style="143" bestFit="1" customWidth="1"/>
    <col min="6161" max="6161" width="8" style="143" bestFit="1" customWidth="1"/>
    <col min="6162" max="6162" width="7.75" style="143" bestFit="1" customWidth="1"/>
    <col min="6163" max="6164" width="9.625" style="143" bestFit="1" customWidth="1"/>
    <col min="6165" max="6166" width="9.625" style="143" customWidth="1"/>
    <col min="6167" max="6167" width="9.25" style="143" bestFit="1" customWidth="1"/>
    <col min="6168" max="6168" width="11" style="143" bestFit="1" customWidth="1"/>
    <col min="6169" max="6401" width="9" style="143"/>
    <col min="6402" max="6402" width="4.625" style="143" bestFit="1" customWidth="1"/>
    <col min="6403" max="6403" width="7.5" style="143" bestFit="1" customWidth="1"/>
    <col min="6404" max="6404" width="6.25" style="143" customWidth="1"/>
    <col min="6405" max="6405" width="11" style="143" bestFit="1" customWidth="1"/>
    <col min="6406" max="6407" width="9.625" style="143" bestFit="1" customWidth="1"/>
    <col min="6408" max="6408" width="8.25" style="143" bestFit="1" customWidth="1"/>
    <col min="6409" max="6410" width="9.625" style="143" bestFit="1" customWidth="1"/>
    <col min="6411" max="6411" width="8.25" style="143" bestFit="1" customWidth="1"/>
    <col min="6412" max="6413" width="9.625" style="143" bestFit="1" customWidth="1"/>
    <col min="6414" max="6415" width="8.25" style="143" bestFit="1" customWidth="1"/>
    <col min="6416" max="6416" width="11" style="143" bestFit="1" customWidth="1"/>
    <col min="6417" max="6417" width="8" style="143" bestFit="1" customWidth="1"/>
    <col min="6418" max="6418" width="7.75" style="143" bestFit="1" customWidth="1"/>
    <col min="6419" max="6420" width="9.625" style="143" bestFit="1" customWidth="1"/>
    <col min="6421" max="6422" width="9.625" style="143" customWidth="1"/>
    <col min="6423" max="6423" width="9.25" style="143" bestFit="1" customWidth="1"/>
    <col min="6424" max="6424" width="11" style="143" bestFit="1" customWidth="1"/>
    <col min="6425" max="6657" width="9" style="143"/>
    <col min="6658" max="6658" width="4.625" style="143" bestFit="1" customWidth="1"/>
    <col min="6659" max="6659" width="7.5" style="143" bestFit="1" customWidth="1"/>
    <col min="6660" max="6660" width="6.25" style="143" customWidth="1"/>
    <col min="6661" max="6661" width="11" style="143" bestFit="1" customWidth="1"/>
    <col min="6662" max="6663" width="9.625" style="143" bestFit="1" customWidth="1"/>
    <col min="6664" max="6664" width="8.25" style="143" bestFit="1" customWidth="1"/>
    <col min="6665" max="6666" width="9.625" style="143" bestFit="1" customWidth="1"/>
    <col min="6667" max="6667" width="8.25" style="143" bestFit="1" customWidth="1"/>
    <col min="6668" max="6669" width="9.625" style="143" bestFit="1" customWidth="1"/>
    <col min="6670" max="6671" width="8.25" style="143" bestFit="1" customWidth="1"/>
    <col min="6672" max="6672" width="11" style="143" bestFit="1" customWidth="1"/>
    <col min="6673" max="6673" width="8" style="143" bestFit="1" customWidth="1"/>
    <col min="6674" max="6674" width="7.75" style="143" bestFit="1" customWidth="1"/>
    <col min="6675" max="6676" width="9.625" style="143" bestFit="1" customWidth="1"/>
    <col min="6677" max="6678" width="9.625" style="143" customWidth="1"/>
    <col min="6679" max="6679" width="9.25" style="143" bestFit="1" customWidth="1"/>
    <col min="6680" max="6680" width="11" style="143" bestFit="1" customWidth="1"/>
    <col min="6681" max="6913" width="9" style="143"/>
    <col min="6914" max="6914" width="4.625" style="143" bestFit="1" customWidth="1"/>
    <col min="6915" max="6915" width="7.5" style="143" bestFit="1" customWidth="1"/>
    <col min="6916" max="6916" width="6.25" style="143" customWidth="1"/>
    <col min="6917" max="6917" width="11" style="143" bestFit="1" customWidth="1"/>
    <col min="6918" max="6919" width="9.625" style="143" bestFit="1" customWidth="1"/>
    <col min="6920" max="6920" width="8.25" style="143" bestFit="1" customWidth="1"/>
    <col min="6921" max="6922" width="9.625" style="143" bestFit="1" customWidth="1"/>
    <col min="6923" max="6923" width="8.25" style="143" bestFit="1" customWidth="1"/>
    <col min="6924" max="6925" width="9.625" style="143" bestFit="1" customWidth="1"/>
    <col min="6926" max="6927" width="8.25" style="143" bestFit="1" customWidth="1"/>
    <col min="6928" max="6928" width="11" style="143" bestFit="1" customWidth="1"/>
    <col min="6929" max="6929" width="8" style="143" bestFit="1" customWidth="1"/>
    <col min="6930" max="6930" width="7.75" style="143" bestFit="1" customWidth="1"/>
    <col min="6931" max="6932" width="9.625" style="143" bestFit="1" customWidth="1"/>
    <col min="6933" max="6934" width="9.625" style="143" customWidth="1"/>
    <col min="6935" max="6935" width="9.25" style="143" bestFit="1" customWidth="1"/>
    <col min="6936" max="6936" width="11" style="143" bestFit="1" customWidth="1"/>
    <col min="6937" max="7169" width="9" style="143"/>
    <col min="7170" max="7170" width="4.625" style="143" bestFit="1" customWidth="1"/>
    <col min="7171" max="7171" width="7.5" style="143" bestFit="1" customWidth="1"/>
    <col min="7172" max="7172" width="6.25" style="143" customWidth="1"/>
    <col min="7173" max="7173" width="11" style="143" bestFit="1" customWidth="1"/>
    <col min="7174" max="7175" width="9.625" style="143" bestFit="1" customWidth="1"/>
    <col min="7176" max="7176" width="8.25" style="143" bestFit="1" customWidth="1"/>
    <col min="7177" max="7178" width="9.625" style="143" bestFit="1" customWidth="1"/>
    <col min="7179" max="7179" width="8.25" style="143" bestFit="1" customWidth="1"/>
    <col min="7180" max="7181" width="9.625" style="143" bestFit="1" customWidth="1"/>
    <col min="7182" max="7183" width="8.25" style="143" bestFit="1" customWidth="1"/>
    <col min="7184" max="7184" width="11" style="143" bestFit="1" customWidth="1"/>
    <col min="7185" max="7185" width="8" style="143" bestFit="1" customWidth="1"/>
    <col min="7186" max="7186" width="7.75" style="143" bestFit="1" customWidth="1"/>
    <col min="7187" max="7188" width="9.625" style="143" bestFit="1" customWidth="1"/>
    <col min="7189" max="7190" width="9.625" style="143" customWidth="1"/>
    <col min="7191" max="7191" width="9.25" style="143" bestFit="1" customWidth="1"/>
    <col min="7192" max="7192" width="11" style="143" bestFit="1" customWidth="1"/>
    <col min="7193" max="7425" width="9" style="143"/>
    <col min="7426" max="7426" width="4.625" style="143" bestFit="1" customWidth="1"/>
    <col min="7427" max="7427" width="7.5" style="143" bestFit="1" customWidth="1"/>
    <col min="7428" max="7428" width="6.25" style="143" customWidth="1"/>
    <col min="7429" max="7429" width="11" style="143" bestFit="1" customWidth="1"/>
    <col min="7430" max="7431" width="9.625" style="143" bestFit="1" customWidth="1"/>
    <col min="7432" max="7432" width="8.25" style="143" bestFit="1" customWidth="1"/>
    <col min="7433" max="7434" width="9.625" style="143" bestFit="1" customWidth="1"/>
    <col min="7435" max="7435" width="8.25" style="143" bestFit="1" customWidth="1"/>
    <col min="7436" max="7437" width="9.625" style="143" bestFit="1" customWidth="1"/>
    <col min="7438" max="7439" width="8.25" style="143" bestFit="1" customWidth="1"/>
    <col min="7440" max="7440" width="11" style="143" bestFit="1" customWidth="1"/>
    <col min="7441" max="7441" width="8" style="143" bestFit="1" customWidth="1"/>
    <col min="7442" max="7442" width="7.75" style="143" bestFit="1" customWidth="1"/>
    <col min="7443" max="7444" width="9.625" style="143" bestFit="1" customWidth="1"/>
    <col min="7445" max="7446" width="9.625" style="143" customWidth="1"/>
    <col min="7447" max="7447" width="9.25" style="143" bestFit="1" customWidth="1"/>
    <col min="7448" max="7448" width="11" style="143" bestFit="1" customWidth="1"/>
    <col min="7449" max="7681" width="9" style="143"/>
    <col min="7682" max="7682" width="4.625" style="143" bestFit="1" customWidth="1"/>
    <col min="7683" max="7683" width="7.5" style="143" bestFit="1" customWidth="1"/>
    <col min="7684" max="7684" width="6.25" style="143" customWidth="1"/>
    <col min="7685" max="7685" width="11" style="143" bestFit="1" customWidth="1"/>
    <col min="7686" max="7687" width="9.625" style="143" bestFit="1" customWidth="1"/>
    <col min="7688" max="7688" width="8.25" style="143" bestFit="1" customWidth="1"/>
    <col min="7689" max="7690" width="9.625" style="143" bestFit="1" customWidth="1"/>
    <col min="7691" max="7691" width="8.25" style="143" bestFit="1" customWidth="1"/>
    <col min="7692" max="7693" width="9.625" style="143" bestFit="1" customWidth="1"/>
    <col min="7694" max="7695" width="8.25" style="143" bestFit="1" customWidth="1"/>
    <col min="7696" max="7696" width="11" style="143" bestFit="1" customWidth="1"/>
    <col min="7697" max="7697" width="8" style="143" bestFit="1" customWidth="1"/>
    <col min="7698" max="7698" width="7.75" style="143" bestFit="1" customWidth="1"/>
    <col min="7699" max="7700" width="9.625" style="143" bestFit="1" customWidth="1"/>
    <col min="7701" max="7702" width="9.625" style="143" customWidth="1"/>
    <col min="7703" max="7703" width="9.25" style="143" bestFit="1" customWidth="1"/>
    <col min="7704" max="7704" width="11" style="143" bestFit="1" customWidth="1"/>
    <col min="7705" max="7937" width="9" style="143"/>
    <col min="7938" max="7938" width="4.625" style="143" bestFit="1" customWidth="1"/>
    <col min="7939" max="7939" width="7.5" style="143" bestFit="1" customWidth="1"/>
    <col min="7940" max="7940" width="6.25" style="143" customWidth="1"/>
    <col min="7941" max="7941" width="11" style="143" bestFit="1" customWidth="1"/>
    <col min="7942" max="7943" width="9.625" style="143" bestFit="1" customWidth="1"/>
    <col min="7944" max="7944" width="8.25" style="143" bestFit="1" customWidth="1"/>
    <col min="7945" max="7946" width="9.625" style="143" bestFit="1" customWidth="1"/>
    <col min="7947" max="7947" width="8.25" style="143" bestFit="1" customWidth="1"/>
    <col min="7948" max="7949" width="9.625" style="143" bestFit="1" customWidth="1"/>
    <col min="7950" max="7951" width="8.25" style="143" bestFit="1" customWidth="1"/>
    <col min="7952" max="7952" width="11" style="143" bestFit="1" customWidth="1"/>
    <col min="7953" max="7953" width="8" style="143" bestFit="1" customWidth="1"/>
    <col min="7954" max="7954" width="7.75" style="143" bestFit="1" customWidth="1"/>
    <col min="7955" max="7956" width="9.625" style="143" bestFit="1" customWidth="1"/>
    <col min="7957" max="7958" width="9.625" style="143" customWidth="1"/>
    <col min="7959" max="7959" width="9.25" style="143" bestFit="1" customWidth="1"/>
    <col min="7960" max="7960" width="11" style="143" bestFit="1" customWidth="1"/>
    <col min="7961" max="8193" width="9" style="143"/>
    <col min="8194" max="8194" width="4.625" style="143" bestFit="1" customWidth="1"/>
    <col min="8195" max="8195" width="7.5" style="143" bestFit="1" customWidth="1"/>
    <col min="8196" max="8196" width="6.25" style="143" customWidth="1"/>
    <col min="8197" max="8197" width="11" style="143" bestFit="1" customWidth="1"/>
    <col min="8198" max="8199" width="9.625" style="143" bestFit="1" customWidth="1"/>
    <col min="8200" max="8200" width="8.25" style="143" bestFit="1" customWidth="1"/>
    <col min="8201" max="8202" width="9.625" style="143" bestFit="1" customWidth="1"/>
    <col min="8203" max="8203" width="8.25" style="143" bestFit="1" customWidth="1"/>
    <col min="8204" max="8205" width="9.625" style="143" bestFit="1" customWidth="1"/>
    <col min="8206" max="8207" width="8.25" style="143" bestFit="1" customWidth="1"/>
    <col min="8208" max="8208" width="11" style="143" bestFit="1" customWidth="1"/>
    <col min="8209" max="8209" width="8" style="143" bestFit="1" customWidth="1"/>
    <col min="8210" max="8210" width="7.75" style="143" bestFit="1" customWidth="1"/>
    <col min="8211" max="8212" width="9.625" style="143" bestFit="1" customWidth="1"/>
    <col min="8213" max="8214" width="9.625" style="143" customWidth="1"/>
    <col min="8215" max="8215" width="9.25" style="143" bestFit="1" customWidth="1"/>
    <col min="8216" max="8216" width="11" style="143" bestFit="1" customWidth="1"/>
    <col min="8217" max="8449" width="9" style="143"/>
    <col min="8450" max="8450" width="4.625" style="143" bestFit="1" customWidth="1"/>
    <col min="8451" max="8451" width="7.5" style="143" bestFit="1" customWidth="1"/>
    <col min="8452" max="8452" width="6.25" style="143" customWidth="1"/>
    <col min="8453" max="8453" width="11" style="143" bestFit="1" customWidth="1"/>
    <col min="8454" max="8455" width="9.625" style="143" bestFit="1" customWidth="1"/>
    <col min="8456" max="8456" width="8.25" style="143" bestFit="1" customWidth="1"/>
    <col min="8457" max="8458" width="9.625" style="143" bestFit="1" customWidth="1"/>
    <col min="8459" max="8459" width="8.25" style="143" bestFit="1" customWidth="1"/>
    <col min="8460" max="8461" width="9.625" style="143" bestFit="1" customWidth="1"/>
    <col min="8462" max="8463" width="8.25" style="143" bestFit="1" customWidth="1"/>
    <col min="8464" max="8464" width="11" style="143" bestFit="1" customWidth="1"/>
    <col min="8465" max="8465" width="8" style="143" bestFit="1" customWidth="1"/>
    <col min="8466" max="8466" width="7.75" style="143" bestFit="1" customWidth="1"/>
    <col min="8467" max="8468" width="9.625" style="143" bestFit="1" customWidth="1"/>
    <col min="8469" max="8470" width="9.625" style="143" customWidth="1"/>
    <col min="8471" max="8471" width="9.25" style="143" bestFit="1" customWidth="1"/>
    <col min="8472" max="8472" width="11" style="143" bestFit="1" customWidth="1"/>
    <col min="8473" max="8705" width="9" style="143"/>
    <col min="8706" max="8706" width="4.625" style="143" bestFit="1" customWidth="1"/>
    <col min="8707" max="8707" width="7.5" style="143" bestFit="1" customWidth="1"/>
    <col min="8708" max="8708" width="6.25" style="143" customWidth="1"/>
    <col min="8709" max="8709" width="11" style="143" bestFit="1" customWidth="1"/>
    <col min="8710" max="8711" width="9.625" style="143" bestFit="1" customWidth="1"/>
    <col min="8712" max="8712" width="8.25" style="143" bestFit="1" customWidth="1"/>
    <col min="8713" max="8714" width="9.625" style="143" bestFit="1" customWidth="1"/>
    <col min="8715" max="8715" width="8.25" style="143" bestFit="1" customWidth="1"/>
    <col min="8716" max="8717" width="9.625" style="143" bestFit="1" customWidth="1"/>
    <col min="8718" max="8719" width="8.25" style="143" bestFit="1" customWidth="1"/>
    <col min="8720" max="8720" width="11" style="143" bestFit="1" customWidth="1"/>
    <col min="8721" max="8721" width="8" style="143" bestFit="1" customWidth="1"/>
    <col min="8722" max="8722" width="7.75" style="143" bestFit="1" customWidth="1"/>
    <col min="8723" max="8724" width="9.625" style="143" bestFit="1" customWidth="1"/>
    <col min="8725" max="8726" width="9.625" style="143" customWidth="1"/>
    <col min="8727" max="8727" width="9.25" style="143" bestFit="1" customWidth="1"/>
    <col min="8728" max="8728" width="11" style="143" bestFit="1" customWidth="1"/>
    <col min="8729" max="8961" width="9" style="143"/>
    <col min="8962" max="8962" width="4.625" style="143" bestFit="1" customWidth="1"/>
    <col min="8963" max="8963" width="7.5" style="143" bestFit="1" customWidth="1"/>
    <col min="8964" max="8964" width="6.25" style="143" customWidth="1"/>
    <col min="8965" max="8965" width="11" style="143" bestFit="1" customWidth="1"/>
    <col min="8966" max="8967" width="9.625" style="143" bestFit="1" customWidth="1"/>
    <col min="8968" max="8968" width="8.25" style="143" bestFit="1" customWidth="1"/>
    <col min="8969" max="8970" width="9.625" style="143" bestFit="1" customWidth="1"/>
    <col min="8971" max="8971" width="8.25" style="143" bestFit="1" customWidth="1"/>
    <col min="8972" max="8973" width="9.625" style="143" bestFit="1" customWidth="1"/>
    <col min="8974" max="8975" width="8.25" style="143" bestFit="1" customWidth="1"/>
    <col min="8976" max="8976" width="11" style="143" bestFit="1" customWidth="1"/>
    <col min="8977" max="8977" width="8" style="143" bestFit="1" customWidth="1"/>
    <col min="8978" max="8978" width="7.75" style="143" bestFit="1" customWidth="1"/>
    <col min="8979" max="8980" width="9.625" style="143" bestFit="1" customWidth="1"/>
    <col min="8981" max="8982" width="9.625" style="143" customWidth="1"/>
    <col min="8983" max="8983" width="9.25" style="143" bestFit="1" customWidth="1"/>
    <col min="8984" max="8984" width="11" style="143" bestFit="1" customWidth="1"/>
    <col min="8985" max="9217" width="9" style="143"/>
    <col min="9218" max="9218" width="4.625" style="143" bestFit="1" customWidth="1"/>
    <col min="9219" max="9219" width="7.5" style="143" bestFit="1" customWidth="1"/>
    <col min="9220" max="9220" width="6.25" style="143" customWidth="1"/>
    <col min="9221" max="9221" width="11" style="143" bestFit="1" customWidth="1"/>
    <col min="9222" max="9223" width="9.625" style="143" bestFit="1" customWidth="1"/>
    <col min="9224" max="9224" width="8.25" style="143" bestFit="1" customWidth="1"/>
    <col min="9225" max="9226" width="9.625" style="143" bestFit="1" customWidth="1"/>
    <col min="9227" max="9227" width="8.25" style="143" bestFit="1" customWidth="1"/>
    <col min="9228" max="9229" width="9.625" style="143" bestFit="1" customWidth="1"/>
    <col min="9230" max="9231" width="8.25" style="143" bestFit="1" customWidth="1"/>
    <col min="9232" max="9232" width="11" style="143" bestFit="1" customWidth="1"/>
    <col min="9233" max="9233" width="8" style="143" bestFit="1" customWidth="1"/>
    <col min="9234" max="9234" width="7.75" style="143" bestFit="1" customWidth="1"/>
    <col min="9235" max="9236" width="9.625" style="143" bestFit="1" customWidth="1"/>
    <col min="9237" max="9238" width="9.625" style="143" customWidth="1"/>
    <col min="9239" max="9239" width="9.25" style="143" bestFit="1" customWidth="1"/>
    <col min="9240" max="9240" width="11" style="143" bestFit="1" customWidth="1"/>
    <col min="9241" max="9473" width="9" style="143"/>
    <col min="9474" max="9474" width="4.625" style="143" bestFit="1" customWidth="1"/>
    <col min="9475" max="9475" width="7.5" style="143" bestFit="1" customWidth="1"/>
    <col min="9476" max="9476" width="6.25" style="143" customWidth="1"/>
    <col min="9477" max="9477" width="11" style="143" bestFit="1" customWidth="1"/>
    <col min="9478" max="9479" width="9.625" style="143" bestFit="1" customWidth="1"/>
    <col min="9480" max="9480" width="8.25" style="143" bestFit="1" customWidth="1"/>
    <col min="9481" max="9482" width="9.625" style="143" bestFit="1" customWidth="1"/>
    <col min="9483" max="9483" width="8.25" style="143" bestFit="1" customWidth="1"/>
    <col min="9484" max="9485" width="9.625" style="143" bestFit="1" customWidth="1"/>
    <col min="9486" max="9487" width="8.25" style="143" bestFit="1" customWidth="1"/>
    <col min="9488" max="9488" width="11" style="143" bestFit="1" customWidth="1"/>
    <col min="9489" max="9489" width="8" style="143" bestFit="1" customWidth="1"/>
    <col min="9490" max="9490" width="7.75" style="143" bestFit="1" customWidth="1"/>
    <col min="9491" max="9492" width="9.625" style="143" bestFit="1" customWidth="1"/>
    <col min="9493" max="9494" width="9.625" style="143" customWidth="1"/>
    <col min="9495" max="9495" width="9.25" style="143" bestFit="1" customWidth="1"/>
    <col min="9496" max="9496" width="11" style="143" bestFit="1" customWidth="1"/>
    <col min="9497" max="9729" width="9" style="143"/>
    <col min="9730" max="9730" width="4.625" style="143" bestFit="1" customWidth="1"/>
    <col min="9731" max="9731" width="7.5" style="143" bestFit="1" customWidth="1"/>
    <col min="9732" max="9732" width="6.25" style="143" customWidth="1"/>
    <col min="9733" max="9733" width="11" style="143" bestFit="1" customWidth="1"/>
    <col min="9734" max="9735" width="9.625" style="143" bestFit="1" customWidth="1"/>
    <col min="9736" max="9736" width="8.25" style="143" bestFit="1" customWidth="1"/>
    <col min="9737" max="9738" width="9.625" style="143" bestFit="1" customWidth="1"/>
    <col min="9739" max="9739" width="8.25" style="143" bestFit="1" customWidth="1"/>
    <col min="9740" max="9741" width="9.625" style="143" bestFit="1" customWidth="1"/>
    <col min="9742" max="9743" width="8.25" style="143" bestFit="1" customWidth="1"/>
    <col min="9744" max="9744" width="11" style="143" bestFit="1" customWidth="1"/>
    <col min="9745" max="9745" width="8" style="143" bestFit="1" customWidth="1"/>
    <col min="9746" max="9746" width="7.75" style="143" bestFit="1" customWidth="1"/>
    <col min="9747" max="9748" width="9.625" style="143" bestFit="1" customWidth="1"/>
    <col min="9749" max="9750" width="9.625" style="143" customWidth="1"/>
    <col min="9751" max="9751" width="9.25" style="143" bestFit="1" customWidth="1"/>
    <col min="9752" max="9752" width="11" style="143" bestFit="1" customWidth="1"/>
    <col min="9753" max="9985" width="9" style="143"/>
    <col min="9986" max="9986" width="4.625" style="143" bestFit="1" customWidth="1"/>
    <col min="9987" max="9987" width="7.5" style="143" bestFit="1" customWidth="1"/>
    <col min="9988" max="9988" width="6.25" style="143" customWidth="1"/>
    <col min="9989" max="9989" width="11" style="143" bestFit="1" customWidth="1"/>
    <col min="9990" max="9991" width="9.625" style="143" bestFit="1" customWidth="1"/>
    <col min="9992" max="9992" width="8.25" style="143" bestFit="1" customWidth="1"/>
    <col min="9993" max="9994" width="9.625" style="143" bestFit="1" customWidth="1"/>
    <col min="9995" max="9995" width="8.25" style="143" bestFit="1" customWidth="1"/>
    <col min="9996" max="9997" width="9.625" style="143" bestFit="1" customWidth="1"/>
    <col min="9998" max="9999" width="8.25" style="143" bestFit="1" customWidth="1"/>
    <col min="10000" max="10000" width="11" style="143" bestFit="1" customWidth="1"/>
    <col min="10001" max="10001" width="8" style="143" bestFit="1" customWidth="1"/>
    <col min="10002" max="10002" width="7.75" style="143" bestFit="1" customWidth="1"/>
    <col min="10003" max="10004" width="9.625" style="143" bestFit="1" customWidth="1"/>
    <col min="10005" max="10006" width="9.625" style="143" customWidth="1"/>
    <col min="10007" max="10007" width="9.25" style="143" bestFit="1" customWidth="1"/>
    <col min="10008" max="10008" width="11" style="143" bestFit="1" customWidth="1"/>
    <col min="10009" max="10241" width="9" style="143"/>
    <col min="10242" max="10242" width="4.625" style="143" bestFit="1" customWidth="1"/>
    <col min="10243" max="10243" width="7.5" style="143" bestFit="1" customWidth="1"/>
    <col min="10244" max="10244" width="6.25" style="143" customWidth="1"/>
    <col min="10245" max="10245" width="11" style="143" bestFit="1" customWidth="1"/>
    <col min="10246" max="10247" width="9.625" style="143" bestFit="1" customWidth="1"/>
    <col min="10248" max="10248" width="8.25" style="143" bestFit="1" customWidth="1"/>
    <col min="10249" max="10250" width="9.625" style="143" bestFit="1" customWidth="1"/>
    <col min="10251" max="10251" width="8.25" style="143" bestFit="1" customWidth="1"/>
    <col min="10252" max="10253" width="9.625" style="143" bestFit="1" customWidth="1"/>
    <col min="10254" max="10255" width="8.25" style="143" bestFit="1" customWidth="1"/>
    <col min="10256" max="10256" width="11" style="143" bestFit="1" customWidth="1"/>
    <col min="10257" max="10257" width="8" style="143" bestFit="1" customWidth="1"/>
    <col min="10258" max="10258" width="7.75" style="143" bestFit="1" customWidth="1"/>
    <col min="10259" max="10260" width="9.625" style="143" bestFit="1" customWidth="1"/>
    <col min="10261" max="10262" width="9.625" style="143" customWidth="1"/>
    <col min="10263" max="10263" width="9.25" style="143" bestFit="1" customWidth="1"/>
    <col min="10264" max="10264" width="11" style="143" bestFit="1" customWidth="1"/>
    <col min="10265" max="10497" width="9" style="143"/>
    <col min="10498" max="10498" width="4.625" style="143" bestFit="1" customWidth="1"/>
    <col min="10499" max="10499" width="7.5" style="143" bestFit="1" customWidth="1"/>
    <col min="10500" max="10500" width="6.25" style="143" customWidth="1"/>
    <col min="10501" max="10501" width="11" style="143" bestFit="1" customWidth="1"/>
    <col min="10502" max="10503" width="9.625" style="143" bestFit="1" customWidth="1"/>
    <col min="10504" max="10504" width="8.25" style="143" bestFit="1" customWidth="1"/>
    <col min="10505" max="10506" width="9.625" style="143" bestFit="1" customWidth="1"/>
    <col min="10507" max="10507" width="8.25" style="143" bestFit="1" customWidth="1"/>
    <col min="10508" max="10509" width="9.625" style="143" bestFit="1" customWidth="1"/>
    <col min="10510" max="10511" width="8.25" style="143" bestFit="1" customWidth="1"/>
    <col min="10512" max="10512" width="11" style="143" bestFit="1" customWidth="1"/>
    <col min="10513" max="10513" width="8" style="143" bestFit="1" customWidth="1"/>
    <col min="10514" max="10514" width="7.75" style="143" bestFit="1" customWidth="1"/>
    <col min="10515" max="10516" width="9.625" style="143" bestFit="1" customWidth="1"/>
    <col min="10517" max="10518" width="9.625" style="143" customWidth="1"/>
    <col min="10519" max="10519" width="9.25" style="143" bestFit="1" customWidth="1"/>
    <col min="10520" max="10520" width="11" style="143" bestFit="1" customWidth="1"/>
    <col min="10521" max="10753" width="9" style="143"/>
    <col min="10754" max="10754" width="4.625" style="143" bestFit="1" customWidth="1"/>
    <col min="10755" max="10755" width="7.5" style="143" bestFit="1" customWidth="1"/>
    <col min="10756" max="10756" width="6.25" style="143" customWidth="1"/>
    <col min="10757" max="10757" width="11" style="143" bestFit="1" customWidth="1"/>
    <col min="10758" max="10759" width="9.625" style="143" bestFit="1" customWidth="1"/>
    <col min="10760" max="10760" width="8.25" style="143" bestFit="1" customWidth="1"/>
    <col min="10761" max="10762" width="9.625" style="143" bestFit="1" customWidth="1"/>
    <col min="10763" max="10763" width="8.25" style="143" bestFit="1" customWidth="1"/>
    <col min="10764" max="10765" width="9.625" style="143" bestFit="1" customWidth="1"/>
    <col min="10766" max="10767" width="8.25" style="143" bestFit="1" customWidth="1"/>
    <col min="10768" max="10768" width="11" style="143" bestFit="1" customWidth="1"/>
    <col min="10769" max="10769" width="8" style="143" bestFit="1" customWidth="1"/>
    <col min="10770" max="10770" width="7.75" style="143" bestFit="1" customWidth="1"/>
    <col min="10771" max="10772" width="9.625" style="143" bestFit="1" customWidth="1"/>
    <col min="10773" max="10774" width="9.625" style="143" customWidth="1"/>
    <col min="10775" max="10775" width="9.25" style="143" bestFit="1" customWidth="1"/>
    <col min="10776" max="10776" width="11" style="143" bestFit="1" customWidth="1"/>
    <col min="10777" max="11009" width="9" style="143"/>
    <col min="11010" max="11010" width="4.625" style="143" bestFit="1" customWidth="1"/>
    <col min="11011" max="11011" width="7.5" style="143" bestFit="1" customWidth="1"/>
    <col min="11012" max="11012" width="6.25" style="143" customWidth="1"/>
    <col min="11013" max="11013" width="11" style="143" bestFit="1" customWidth="1"/>
    <col min="11014" max="11015" width="9.625" style="143" bestFit="1" customWidth="1"/>
    <col min="11016" max="11016" width="8.25" style="143" bestFit="1" customWidth="1"/>
    <col min="11017" max="11018" width="9.625" style="143" bestFit="1" customWidth="1"/>
    <col min="11019" max="11019" width="8.25" style="143" bestFit="1" customWidth="1"/>
    <col min="11020" max="11021" width="9.625" style="143" bestFit="1" customWidth="1"/>
    <col min="11022" max="11023" width="8.25" style="143" bestFit="1" customWidth="1"/>
    <col min="11024" max="11024" width="11" style="143" bestFit="1" customWidth="1"/>
    <col min="11025" max="11025" width="8" style="143" bestFit="1" customWidth="1"/>
    <col min="11026" max="11026" width="7.75" style="143" bestFit="1" customWidth="1"/>
    <col min="11027" max="11028" width="9.625" style="143" bestFit="1" customWidth="1"/>
    <col min="11029" max="11030" width="9.625" style="143" customWidth="1"/>
    <col min="11031" max="11031" width="9.25" style="143" bestFit="1" customWidth="1"/>
    <col min="11032" max="11032" width="11" style="143" bestFit="1" customWidth="1"/>
    <col min="11033" max="11265" width="9" style="143"/>
    <col min="11266" max="11266" width="4.625" style="143" bestFit="1" customWidth="1"/>
    <col min="11267" max="11267" width="7.5" style="143" bestFit="1" customWidth="1"/>
    <col min="11268" max="11268" width="6.25" style="143" customWidth="1"/>
    <col min="11269" max="11269" width="11" style="143" bestFit="1" customWidth="1"/>
    <col min="11270" max="11271" width="9.625" style="143" bestFit="1" customWidth="1"/>
    <col min="11272" max="11272" width="8.25" style="143" bestFit="1" customWidth="1"/>
    <col min="11273" max="11274" width="9.625" style="143" bestFit="1" customWidth="1"/>
    <col min="11275" max="11275" width="8.25" style="143" bestFit="1" customWidth="1"/>
    <col min="11276" max="11277" width="9.625" style="143" bestFit="1" customWidth="1"/>
    <col min="11278" max="11279" width="8.25" style="143" bestFit="1" customWidth="1"/>
    <col min="11280" max="11280" width="11" style="143" bestFit="1" customWidth="1"/>
    <col min="11281" max="11281" width="8" style="143" bestFit="1" customWidth="1"/>
    <col min="11282" max="11282" width="7.75" style="143" bestFit="1" customWidth="1"/>
    <col min="11283" max="11284" width="9.625" style="143" bestFit="1" customWidth="1"/>
    <col min="11285" max="11286" width="9.625" style="143" customWidth="1"/>
    <col min="11287" max="11287" width="9.25" style="143" bestFit="1" customWidth="1"/>
    <col min="11288" max="11288" width="11" style="143" bestFit="1" customWidth="1"/>
    <col min="11289" max="11521" width="9" style="143"/>
    <col min="11522" max="11522" width="4.625" style="143" bestFit="1" customWidth="1"/>
    <col min="11523" max="11523" width="7.5" style="143" bestFit="1" customWidth="1"/>
    <col min="11524" max="11524" width="6.25" style="143" customWidth="1"/>
    <col min="11525" max="11525" width="11" style="143" bestFit="1" customWidth="1"/>
    <col min="11526" max="11527" width="9.625" style="143" bestFit="1" customWidth="1"/>
    <col min="11528" max="11528" width="8.25" style="143" bestFit="1" customWidth="1"/>
    <col min="11529" max="11530" width="9.625" style="143" bestFit="1" customWidth="1"/>
    <col min="11531" max="11531" width="8.25" style="143" bestFit="1" customWidth="1"/>
    <col min="11532" max="11533" width="9.625" style="143" bestFit="1" customWidth="1"/>
    <col min="11534" max="11535" width="8.25" style="143" bestFit="1" customWidth="1"/>
    <col min="11536" max="11536" width="11" style="143" bestFit="1" customWidth="1"/>
    <col min="11537" max="11537" width="8" style="143" bestFit="1" customWidth="1"/>
    <col min="11538" max="11538" width="7.75" style="143" bestFit="1" customWidth="1"/>
    <col min="11539" max="11540" width="9.625" style="143" bestFit="1" customWidth="1"/>
    <col min="11541" max="11542" width="9.625" style="143" customWidth="1"/>
    <col min="11543" max="11543" width="9.25" style="143" bestFit="1" customWidth="1"/>
    <col min="11544" max="11544" width="11" style="143" bestFit="1" customWidth="1"/>
    <col min="11545" max="11777" width="9" style="143"/>
    <col min="11778" max="11778" width="4.625" style="143" bestFit="1" customWidth="1"/>
    <col min="11779" max="11779" width="7.5" style="143" bestFit="1" customWidth="1"/>
    <col min="11780" max="11780" width="6.25" style="143" customWidth="1"/>
    <col min="11781" max="11781" width="11" style="143" bestFit="1" customWidth="1"/>
    <col min="11782" max="11783" width="9.625" style="143" bestFit="1" customWidth="1"/>
    <col min="11784" max="11784" width="8.25" style="143" bestFit="1" customWidth="1"/>
    <col min="11785" max="11786" width="9.625" style="143" bestFit="1" customWidth="1"/>
    <col min="11787" max="11787" width="8.25" style="143" bestFit="1" customWidth="1"/>
    <col min="11788" max="11789" width="9.625" style="143" bestFit="1" customWidth="1"/>
    <col min="11790" max="11791" width="8.25" style="143" bestFit="1" customWidth="1"/>
    <col min="11792" max="11792" width="11" style="143" bestFit="1" customWidth="1"/>
    <col min="11793" max="11793" width="8" style="143" bestFit="1" customWidth="1"/>
    <col min="11794" max="11794" width="7.75" style="143" bestFit="1" customWidth="1"/>
    <col min="11795" max="11796" width="9.625" style="143" bestFit="1" customWidth="1"/>
    <col min="11797" max="11798" width="9.625" style="143" customWidth="1"/>
    <col min="11799" max="11799" width="9.25" style="143" bestFit="1" customWidth="1"/>
    <col min="11800" max="11800" width="11" style="143" bestFit="1" customWidth="1"/>
    <col min="11801" max="12033" width="9" style="143"/>
    <col min="12034" max="12034" width="4.625" style="143" bestFit="1" customWidth="1"/>
    <col min="12035" max="12035" width="7.5" style="143" bestFit="1" customWidth="1"/>
    <col min="12036" max="12036" width="6.25" style="143" customWidth="1"/>
    <col min="12037" max="12037" width="11" style="143" bestFit="1" customWidth="1"/>
    <col min="12038" max="12039" width="9.625" style="143" bestFit="1" customWidth="1"/>
    <col min="12040" max="12040" width="8.25" style="143" bestFit="1" customWidth="1"/>
    <col min="12041" max="12042" width="9.625" style="143" bestFit="1" customWidth="1"/>
    <col min="12043" max="12043" width="8.25" style="143" bestFit="1" customWidth="1"/>
    <col min="12044" max="12045" width="9.625" style="143" bestFit="1" customWidth="1"/>
    <col min="12046" max="12047" width="8.25" style="143" bestFit="1" customWidth="1"/>
    <col min="12048" max="12048" width="11" style="143" bestFit="1" customWidth="1"/>
    <col min="12049" max="12049" width="8" style="143" bestFit="1" customWidth="1"/>
    <col min="12050" max="12050" width="7.75" style="143" bestFit="1" customWidth="1"/>
    <col min="12051" max="12052" width="9.625" style="143" bestFit="1" customWidth="1"/>
    <col min="12053" max="12054" width="9.625" style="143" customWidth="1"/>
    <col min="12055" max="12055" width="9.25" style="143" bestFit="1" customWidth="1"/>
    <col min="12056" max="12056" width="11" style="143" bestFit="1" customWidth="1"/>
    <col min="12057" max="12289" width="9" style="143"/>
    <col min="12290" max="12290" width="4.625" style="143" bestFit="1" customWidth="1"/>
    <col min="12291" max="12291" width="7.5" style="143" bestFit="1" customWidth="1"/>
    <col min="12292" max="12292" width="6.25" style="143" customWidth="1"/>
    <col min="12293" max="12293" width="11" style="143" bestFit="1" customWidth="1"/>
    <col min="12294" max="12295" width="9.625" style="143" bestFit="1" customWidth="1"/>
    <col min="12296" max="12296" width="8.25" style="143" bestFit="1" customWidth="1"/>
    <col min="12297" max="12298" width="9.625" style="143" bestFit="1" customWidth="1"/>
    <col min="12299" max="12299" width="8.25" style="143" bestFit="1" customWidth="1"/>
    <col min="12300" max="12301" width="9.625" style="143" bestFit="1" customWidth="1"/>
    <col min="12302" max="12303" width="8.25" style="143" bestFit="1" customWidth="1"/>
    <col min="12304" max="12304" width="11" style="143" bestFit="1" customWidth="1"/>
    <col min="12305" max="12305" width="8" style="143" bestFit="1" customWidth="1"/>
    <col min="12306" max="12306" width="7.75" style="143" bestFit="1" customWidth="1"/>
    <col min="12307" max="12308" width="9.625" style="143" bestFit="1" customWidth="1"/>
    <col min="12309" max="12310" width="9.625" style="143" customWidth="1"/>
    <col min="12311" max="12311" width="9.25" style="143" bestFit="1" customWidth="1"/>
    <col min="12312" max="12312" width="11" style="143" bestFit="1" customWidth="1"/>
    <col min="12313" max="12545" width="9" style="143"/>
    <col min="12546" max="12546" width="4.625" style="143" bestFit="1" customWidth="1"/>
    <col min="12547" max="12547" width="7.5" style="143" bestFit="1" customWidth="1"/>
    <col min="12548" max="12548" width="6.25" style="143" customWidth="1"/>
    <col min="12549" max="12549" width="11" style="143" bestFit="1" customWidth="1"/>
    <col min="12550" max="12551" width="9.625" style="143" bestFit="1" customWidth="1"/>
    <col min="12552" max="12552" width="8.25" style="143" bestFit="1" customWidth="1"/>
    <col min="12553" max="12554" width="9.625" style="143" bestFit="1" customWidth="1"/>
    <col min="12555" max="12555" width="8.25" style="143" bestFit="1" customWidth="1"/>
    <col min="12556" max="12557" width="9.625" style="143" bestFit="1" customWidth="1"/>
    <col min="12558" max="12559" width="8.25" style="143" bestFit="1" customWidth="1"/>
    <col min="12560" max="12560" width="11" style="143" bestFit="1" customWidth="1"/>
    <col min="12561" max="12561" width="8" style="143" bestFit="1" customWidth="1"/>
    <col min="12562" max="12562" width="7.75" style="143" bestFit="1" customWidth="1"/>
    <col min="12563" max="12564" width="9.625" style="143" bestFit="1" customWidth="1"/>
    <col min="12565" max="12566" width="9.625" style="143" customWidth="1"/>
    <col min="12567" max="12567" width="9.25" style="143" bestFit="1" customWidth="1"/>
    <col min="12568" max="12568" width="11" style="143" bestFit="1" customWidth="1"/>
    <col min="12569" max="12801" width="9" style="143"/>
    <col min="12802" max="12802" width="4.625" style="143" bestFit="1" customWidth="1"/>
    <col min="12803" max="12803" width="7.5" style="143" bestFit="1" customWidth="1"/>
    <col min="12804" max="12804" width="6.25" style="143" customWidth="1"/>
    <col min="12805" max="12805" width="11" style="143" bestFit="1" customWidth="1"/>
    <col min="12806" max="12807" width="9.625" style="143" bestFit="1" customWidth="1"/>
    <col min="12808" max="12808" width="8.25" style="143" bestFit="1" customWidth="1"/>
    <col min="12809" max="12810" width="9.625" style="143" bestFit="1" customWidth="1"/>
    <col min="12811" max="12811" width="8.25" style="143" bestFit="1" customWidth="1"/>
    <col min="12812" max="12813" width="9.625" style="143" bestFit="1" customWidth="1"/>
    <col min="12814" max="12815" width="8.25" style="143" bestFit="1" customWidth="1"/>
    <col min="12816" max="12816" width="11" style="143" bestFit="1" customWidth="1"/>
    <col min="12817" max="12817" width="8" style="143" bestFit="1" customWidth="1"/>
    <col min="12818" max="12818" width="7.75" style="143" bestFit="1" customWidth="1"/>
    <col min="12819" max="12820" width="9.625" style="143" bestFit="1" customWidth="1"/>
    <col min="12821" max="12822" width="9.625" style="143" customWidth="1"/>
    <col min="12823" max="12823" width="9.25" style="143" bestFit="1" customWidth="1"/>
    <col min="12824" max="12824" width="11" style="143" bestFit="1" customWidth="1"/>
    <col min="12825" max="13057" width="9" style="143"/>
    <col min="13058" max="13058" width="4.625" style="143" bestFit="1" customWidth="1"/>
    <col min="13059" max="13059" width="7.5" style="143" bestFit="1" customWidth="1"/>
    <col min="13060" max="13060" width="6.25" style="143" customWidth="1"/>
    <col min="13061" max="13061" width="11" style="143" bestFit="1" customWidth="1"/>
    <col min="13062" max="13063" width="9.625" style="143" bestFit="1" customWidth="1"/>
    <col min="13064" max="13064" width="8.25" style="143" bestFit="1" customWidth="1"/>
    <col min="13065" max="13066" width="9.625" style="143" bestFit="1" customWidth="1"/>
    <col min="13067" max="13067" width="8.25" style="143" bestFit="1" customWidth="1"/>
    <col min="13068" max="13069" width="9.625" style="143" bestFit="1" customWidth="1"/>
    <col min="13070" max="13071" width="8.25" style="143" bestFit="1" customWidth="1"/>
    <col min="13072" max="13072" width="11" style="143" bestFit="1" customWidth="1"/>
    <col min="13073" max="13073" width="8" style="143" bestFit="1" customWidth="1"/>
    <col min="13074" max="13074" width="7.75" style="143" bestFit="1" customWidth="1"/>
    <col min="13075" max="13076" width="9.625" style="143" bestFit="1" customWidth="1"/>
    <col min="13077" max="13078" width="9.625" style="143" customWidth="1"/>
    <col min="13079" max="13079" width="9.25" style="143" bestFit="1" customWidth="1"/>
    <col min="13080" max="13080" width="11" style="143" bestFit="1" customWidth="1"/>
    <col min="13081" max="13313" width="9" style="143"/>
    <col min="13314" max="13314" width="4.625" style="143" bestFit="1" customWidth="1"/>
    <col min="13315" max="13315" width="7.5" style="143" bestFit="1" customWidth="1"/>
    <col min="13316" max="13316" width="6.25" style="143" customWidth="1"/>
    <col min="13317" max="13317" width="11" style="143" bestFit="1" customWidth="1"/>
    <col min="13318" max="13319" width="9.625" style="143" bestFit="1" customWidth="1"/>
    <col min="13320" max="13320" width="8.25" style="143" bestFit="1" customWidth="1"/>
    <col min="13321" max="13322" width="9.625" style="143" bestFit="1" customWidth="1"/>
    <col min="13323" max="13323" width="8.25" style="143" bestFit="1" customWidth="1"/>
    <col min="13324" max="13325" width="9.625" style="143" bestFit="1" customWidth="1"/>
    <col min="13326" max="13327" width="8.25" style="143" bestFit="1" customWidth="1"/>
    <col min="13328" max="13328" width="11" style="143" bestFit="1" customWidth="1"/>
    <col min="13329" max="13329" width="8" style="143" bestFit="1" customWidth="1"/>
    <col min="13330" max="13330" width="7.75" style="143" bestFit="1" customWidth="1"/>
    <col min="13331" max="13332" width="9.625" style="143" bestFit="1" customWidth="1"/>
    <col min="13333" max="13334" width="9.625" style="143" customWidth="1"/>
    <col min="13335" max="13335" width="9.25" style="143" bestFit="1" customWidth="1"/>
    <col min="13336" max="13336" width="11" style="143" bestFit="1" customWidth="1"/>
    <col min="13337" max="13569" width="9" style="143"/>
    <col min="13570" max="13570" width="4.625" style="143" bestFit="1" customWidth="1"/>
    <col min="13571" max="13571" width="7.5" style="143" bestFit="1" customWidth="1"/>
    <col min="13572" max="13572" width="6.25" style="143" customWidth="1"/>
    <col min="13573" max="13573" width="11" style="143" bestFit="1" customWidth="1"/>
    <col min="13574" max="13575" width="9.625" style="143" bestFit="1" customWidth="1"/>
    <col min="13576" max="13576" width="8.25" style="143" bestFit="1" customWidth="1"/>
    <col min="13577" max="13578" width="9.625" style="143" bestFit="1" customWidth="1"/>
    <col min="13579" max="13579" width="8.25" style="143" bestFit="1" customWidth="1"/>
    <col min="13580" max="13581" width="9.625" style="143" bestFit="1" customWidth="1"/>
    <col min="13582" max="13583" width="8.25" style="143" bestFit="1" customWidth="1"/>
    <col min="13584" max="13584" width="11" style="143" bestFit="1" customWidth="1"/>
    <col min="13585" max="13585" width="8" style="143" bestFit="1" customWidth="1"/>
    <col min="13586" max="13586" width="7.75" style="143" bestFit="1" customWidth="1"/>
    <col min="13587" max="13588" width="9.625" style="143" bestFit="1" customWidth="1"/>
    <col min="13589" max="13590" width="9.625" style="143" customWidth="1"/>
    <col min="13591" max="13591" width="9.25" style="143" bestFit="1" customWidth="1"/>
    <col min="13592" max="13592" width="11" style="143" bestFit="1" customWidth="1"/>
    <col min="13593" max="13825" width="9" style="143"/>
    <col min="13826" max="13826" width="4.625" style="143" bestFit="1" customWidth="1"/>
    <col min="13827" max="13827" width="7.5" style="143" bestFit="1" customWidth="1"/>
    <col min="13828" max="13828" width="6.25" style="143" customWidth="1"/>
    <col min="13829" max="13829" width="11" style="143" bestFit="1" customWidth="1"/>
    <col min="13830" max="13831" width="9.625" style="143" bestFit="1" customWidth="1"/>
    <col min="13832" max="13832" width="8.25" style="143" bestFit="1" customWidth="1"/>
    <col min="13833" max="13834" width="9.625" style="143" bestFit="1" customWidth="1"/>
    <col min="13835" max="13835" width="8.25" style="143" bestFit="1" customWidth="1"/>
    <col min="13836" max="13837" width="9.625" style="143" bestFit="1" customWidth="1"/>
    <col min="13838" max="13839" width="8.25" style="143" bestFit="1" customWidth="1"/>
    <col min="13840" max="13840" width="11" style="143" bestFit="1" customWidth="1"/>
    <col min="13841" max="13841" width="8" style="143" bestFit="1" customWidth="1"/>
    <col min="13842" max="13842" width="7.75" style="143" bestFit="1" customWidth="1"/>
    <col min="13843" max="13844" width="9.625" style="143" bestFit="1" customWidth="1"/>
    <col min="13845" max="13846" width="9.625" style="143" customWidth="1"/>
    <col min="13847" max="13847" width="9.25" style="143" bestFit="1" customWidth="1"/>
    <col min="13848" max="13848" width="11" style="143" bestFit="1" customWidth="1"/>
    <col min="13849" max="14081" width="9" style="143"/>
    <col min="14082" max="14082" width="4.625" style="143" bestFit="1" customWidth="1"/>
    <col min="14083" max="14083" width="7.5" style="143" bestFit="1" customWidth="1"/>
    <col min="14084" max="14084" width="6.25" style="143" customWidth="1"/>
    <col min="14085" max="14085" width="11" style="143" bestFit="1" customWidth="1"/>
    <col min="14086" max="14087" width="9.625" style="143" bestFit="1" customWidth="1"/>
    <col min="14088" max="14088" width="8.25" style="143" bestFit="1" customWidth="1"/>
    <col min="14089" max="14090" width="9.625" style="143" bestFit="1" customWidth="1"/>
    <col min="14091" max="14091" width="8.25" style="143" bestFit="1" customWidth="1"/>
    <col min="14092" max="14093" width="9.625" style="143" bestFit="1" customWidth="1"/>
    <col min="14094" max="14095" width="8.25" style="143" bestFit="1" customWidth="1"/>
    <col min="14096" max="14096" width="11" style="143" bestFit="1" customWidth="1"/>
    <col min="14097" max="14097" width="8" style="143" bestFit="1" customWidth="1"/>
    <col min="14098" max="14098" width="7.75" style="143" bestFit="1" customWidth="1"/>
    <col min="14099" max="14100" width="9.625" style="143" bestFit="1" customWidth="1"/>
    <col min="14101" max="14102" width="9.625" style="143" customWidth="1"/>
    <col min="14103" max="14103" width="9.25" style="143" bestFit="1" customWidth="1"/>
    <col min="14104" max="14104" width="11" style="143" bestFit="1" customWidth="1"/>
    <col min="14105" max="14337" width="9" style="143"/>
    <col min="14338" max="14338" width="4.625" style="143" bestFit="1" customWidth="1"/>
    <col min="14339" max="14339" width="7.5" style="143" bestFit="1" customWidth="1"/>
    <col min="14340" max="14340" width="6.25" style="143" customWidth="1"/>
    <col min="14341" max="14341" width="11" style="143" bestFit="1" customWidth="1"/>
    <col min="14342" max="14343" width="9.625" style="143" bestFit="1" customWidth="1"/>
    <col min="14344" max="14344" width="8.25" style="143" bestFit="1" customWidth="1"/>
    <col min="14345" max="14346" width="9.625" style="143" bestFit="1" customWidth="1"/>
    <col min="14347" max="14347" width="8.25" style="143" bestFit="1" customWidth="1"/>
    <col min="14348" max="14349" width="9.625" style="143" bestFit="1" customWidth="1"/>
    <col min="14350" max="14351" width="8.25" style="143" bestFit="1" customWidth="1"/>
    <col min="14352" max="14352" width="11" style="143" bestFit="1" customWidth="1"/>
    <col min="14353" max="14353" width="8" style="143" bestFit="1" customWidth="1"/>
    <col min="14354" max="14354" width="7.75" style="143" bestFit="1" customWidth="1"/>
    <col min="14355" max="14356" width="9.625" style="143" bestFit="1" customWidth="1"/>
    <col min="14357" max="14358" width="9.625" style="143" customWidth="1"/>
    <col min="14359" max="14359" width="9.25" style="143" bestFit="1" customWidth="1"/>
    <col min="14360" max="14360" width="11" style="143" bestFit="1" customWidth="1"/>
    <col min="14361" max="14593" width="9" style="143"/>
    <col min="14594" max="14594" width="4.625" style="143" bestFit="1" customWidth="1"/>
    <col min="14595" max="14595" width="7.5" style="143" bestFit="1" customWidth="1"/>
    <col min="14596" max="14596" width="6.25" style="143" customWidth="1"/>
    <col min="14597" max="14597" width="11" style="143" bestFit="1" customWidth="1"/>
    <col min="14598" max="14599" width="9.625" style="143" bestFit="1" customWidth="1"/>
    <col min="14600" max="14600" width="8.25" style="143" bestFit="1" customWidth="1"/>
    <col min="14601" max="14602" width="9.625" style="143" bestFit="1" customWidth="1"/>
    <col min="14603" max="14603" width="8.25" style="143" bestFit="1" customWidth="1"/>
    <col min="14604" max="14605" width="9.625" style="143" bestFit="1" customWidth="1"/>
    <col min="14606" max="14607" width="8.25" style="143" bestFit="1" customWidth="1"/>
    <col min="14608" max="14608" width="11" style="143" bestFit="1" customWidth="1"/>
    <col min="14609" max="14609" width="8" style="143" bestFit="1" customWidth="1"/>
    <col min="14610" max="14610" width="7.75" style="143" bestFit="1" customWidth="1"/>
    <col min="14611" max="14612" width="9.625" style="143" bestFit="1" customWidth="1"/>
    <col min="14613" max="14614" width="9.625" style="143" customWidth="1"/>
    <col min="14615" max="14615" width="9.25" style="143" bestFit="1" customWidth="1"/>
    <col min="14616" max="14616" width="11" style="143" bestFit="1" customWidth="1"/>
    <col min="14617" max="14849" width="9" style="143"/>
    <col min="14850" max="14850" width="4.625" style="143" bestFit="1" customWidth="1"/>
    <col min="14851" max="14851" width="7.5" style="143" bestFit="1" customWidth="1"/>
    <col min="14852" max="14852" width="6.25" style="143" customWidth="1"/>
    <col min="14853" max="14853" width="11" style="143" bestFit="1" customWidth="1"/>
    <col min="14854" max="14855" width="9.625" style="143" bestFit="1" customWidth="1"/>
    <col min="14856" max="14856" width="8.25" style="143" bestFit="1" customWidth="1"/>
    <col min="14857" max="14858" width="9.625" style="143" bestFit="1" customWidth="1"/>
    <col min="14859" max="14859" width="8.25" style="143" bestFit="1" customWidth="1"/>
    <col min="14860" max="14861" width="9.625" style="143" bestFit="1" customWidth="1"/>
    <col min="14862" max="14863" width="8.25" style="143" bestFit="1" customWidth="1"/>
    <col min="14864" max="14864" width="11" style="143" bestFit="1" customWidth="1"/>
    <col min="14865" max="14865" width="8" style="143" bestFit="1" customWidth="1"/>
    <col min="14866" max="14866" width="7.75" style="143" bestFit="1" customWidth="1"/>
    <col min="14867" max="14868" width="9.625" style="143" bestFit="1" customWidth="1"/>
    <col min="14869" max="14870" width="9.625" style="143" customWidth="1"/>
    <col min="14871" max="14871" width="9.25" style="143" bestFit="1" customWidth="1"/>
    <col min="14872" max="14872" width="11" style="143" bestFit="1" customWidth="1"/>
    <col min="14873" max="15105" width="9" style="143"/>
    <col min="15106" max="15106" width="4.625" style="143" bestFit="1" customWidth="1"/>
    <col min="15107" max="15107" width="7.5" style="143" bestFit="1" customWidth="1"/>
    <col min="15108" max="15108" width="6.25" style="143" customWidth="1"/>
    <col min="15109" max="15109" width="11" style="143" bestFit="1" customWidth="1"/>
    <col min="15110" max="15111" width="9.625" style="143" bestFit="1" customWidth="1"/>
    <col min="15112" max="15112" width="8.25" style="143" bestFit="1" customWidth="1"/>
    <col min="15113" max="15114" width="9.625" style="143" bestFit="1" customWidth="1"/>
    <col min="15115" max="15115" width="8.25" style="143" bestFit="1" customWidth="1"/>
    <col min="15116" max="15117" width="9.625" style="143" bestFit="1" customWidth="1"/>
    <col min="15118" max="15119" width="8.25" style="143" bestFit="1" customWidth="1"/>
    <col min="15120" max="15120" width="11" style="143" bestFit="1" customWidth="1"/>
    <col min="15121" max="15121" width="8" style="143" bestFit="1" customWidth="1"/>
    <col min="15122" max="15122" width="7.75" style="143" bestFit="1" customWidth="1"/>
    <col min="15123" max="15124" width="9.625" style="143" bestFit="1" customWidth="1"/>
    <col min="15125" max="15126" width="9.625" style="143" customWidth="1"/>
    <col min="15127" max="15127" width="9.25" style="143" bestFit="1" customWidth="1"/>
    <col min="15128" max="15128" width="11" style="143" bestFit="1" customWidth="1"/>
    <col min="15129" max="15361" width="9" style="143"/>
    <col min="15362" max="15362" width="4.625" style="143" bestFit="1" customWidth="1"/>
    <col min="15363" max="15363" width="7.5" style="143" bestFit="1" customWidth="1"/>
    <col min="15364" max="15364" width="6.25" style="143" customWidth="1"/>
    <col min="15365" max="15365" width="11" style="143" bestFit="1" customWidth="1"/>
    <col min="15366" max="15367" width="9.625" style="143" bestFit="1" customWidth="1"/>
    <col min="15368" max="15368" width="8.25" style="143" bestFit="1" customWidth="1"/>
    <col min="15369" max="15370" width="9.625" style="143" bestFit="1" customWidth="1"/>
    <col min="15371" max="15371" width="8.25" style="143" bestFit="1" customWidth="1"/>
    <col min="15372" max="15373" width="9.625" style="143" bestFit="1" customWidth="1"/>
    <col min="15374" max="15375" width="8.25" style="143" bestFit="1" customWidth="1"/>
    <col min="15376" max="15376" width="11" style="143" bestFit="1" customWidth="1"/>
    <col min="15377" max="15377" width="8" style="143" bestFit="1" customWidth="1"/>
    <col min="15378" max="15378" width="7.75" style="143" bestFit="1" customWidth="1"/>
    <col min="15379" max="15380" width="9.625" style="143" bestFit="1" customWidth="1"/>
    <col min="15381" max="15382" width="9.625" style="143" customWidth="1"/>
    <col min="15383" max="15383" width="9.25" style="143" bestFit="1" customWidth="1"/>
    <col min="15384" max="15384" width="11" style="143" bestFit="1" customWidth="1"/>
    <col min="15385" max="15617" width="9" style="143"/>
    <col min="15618" max="15618" width="4.625" style="143" bestFit="1" customWidth="1"/>
    <col min="15619" max="15619" width="7.5" style="143" bestFit="1" customWidth="1"/>
    <col min="15620" max="15620" width="6.25" style="143" customWidth="1"/>
    <col min="15621" max="15621" width="11" style="143" bestFit="1" customWidth="1"/>
    <col min="15622" max="15623" width="9.625" style="143" bestFit="1" customWidth="1"/>
    <col min="15624" max="15624" width="8.25" style="143" bestFit="1" customWidth="1"/>
    <col min="15625" max="15626" width="9.625" style="143" bestFit="1" customWidth="1"/>
    <col min="15627" max="15627" width="8.25" style="143" bestFit="1" customWidth="1"/>
    <col min="15628" max="15629" width="9.625" style="143" bestFit="1" customWidth="1"/>
    <col min="15630" max="15631" width="8.25" style="143" bestFit="1" customWidth="1"/>
    <col min="15632" max="15632" width="11" style="143" bestFit="1" customWidth="1"/>
    <col min="15633" max="15633" width="8" style="143" bestFit="1" customWidth="1"/>
    <col min="15634" max="15634" width="7.75" style="143" bestFit="1" customWidth="1"/>
    <col min="15635" max="15636" width="9.625" style="143" bestFit="1" customWidth="1"/>
    <col min="15637" max="15638" width="9.625" style="143" customWidth="1"/>
    <col min="15639" max="15639" width="9.25" style="143" bestFit="1" customWidth="1"/>
    <col min="15640" max="15640" width="11" style="143" bestFit="1" customWidth="1"/>
    <col min="15641" max="15873" width="9" style="143"/>
    <col min="15874" max="15874" width="4.625" style="143" bestFit="1" customWidth="1"/>
    <col min="15875" max="15875" width="7.5" style="143" bestFit="1" customWidth="1"/>
    <col min="15876" max="15876" width="6.25" style="143" customWidth="1"/>
    <col min="15877" max="15877" width="11" style="143" bestFit="1" customWidth="1"/>
    <col min="15878" max="15879" width="9.625" style="143" bestFit="1" customWidth="1"/>
    <col min="15880" max="15880" width="8.25" style="143" bestFit="1" customWidth="1"/>
    <col min="15881" max="15882" width="9.625" style="143" bestFit="1" customWidth="1"/>
    <col min="15883" max="15883" width="8.25" style="143" bestFit="1" customWidth="1"/>
    <col min="15884" max="15885" width="9.625" style="143" bestFit="1" customWidth="1"/>
    <col min="15886" max="15887" width="8.25" style="143" bestFit="1" customWidth="1"/>
    <col min="15888" max="15888" width="11" style="143" bestFit="1" customWidth="1"/>
    <col min="15889" max="15889" width="8" style="143" bestFit="1" customWidth="1"/>
    <col min="15890" max="15890" width="7.75" style="143" bestFit="1" customWidth="1"/>
    <col min="15891" max="15892" width="9.625" style="143" bestFit="1" customWidth="1"/>
    <col min="15893" max="15894" width="9.625" style="143" customWidth="1"/>
    <col min="15895" max="15895" width="9.25" style="143" bestFit="1" customWidth="1"/>
    <col min="15896" max="15896" width="11" style="143" bestFit="1" customWidth="1"/>
    <col min="15897" max="16129" width="9" style="143"/>
    <col min="16130" max="16130" width="4.625" style="143" bestFit="1" customWidth="1"/>
    <col min="16131" max="16131" width="7.5" style="143" bestFit="1" customWidth="1"/>
    <col min="16132" max="16132" width="6.25" style="143" customWidth="1"/>
    <col min="16133" max="16133" width="11" style="143" bestFit="1" customWidth="1"/>
    <col min="16134" max="16135" width="9.625" style="143" bestFit="1" customWidth="1"/>
    <col min="16136" max="16136" width="8.25" style="143" bestFit="1" customWidth="1"/>
    <col min="16137" max="16138" width="9.625" style="143" bestFit="1" customWidth="1"/>
    <col min="16139" max="16139" width="8.25" style="143" bestFit="1" customWidth="1"/>
    <col min="16140" max="16141" width="9.625" style="143" bestFit="1" customWidth="1"/>
    <col min="16142" max="16143" width="8.25" style="143" bestFit="1" customWidth="1"/>
    <col min="16144" max="16144" width="11" style="143" bestFit="1" customWidth="1"/>
    <col min="16145" max="16145" width="8" style="143" bestFit="1" customWidth="1"/>
    <col min="16146" max="16146" width="7.75" style="143" bestFit="1" customWidth="1"/>
    <col min="16147" max="16148" width="9.625" style="143" bestFit="1" customWidth="1"/>
    <col min="16149" max="16150" width="9.625" style="143" customWidth="1"/>
    <col min="16151" max="16151" width="9.25" style="143" bestFit="1" customWidth="1"/>
    <col min="16152" max="16152" width="11" style="143" bestFit="1" customWidth="1"/>
    <col min="16153" max="16384" width="9" style="143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158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41"/>
      <c r="V4" s="252"/>
      <c r="W4" s="252"/>
      <c r="X4" s="252"/>
    </row>
    <row r="5" spans="2:29" ht="20.25" customHeight="1" x14ac:dyDescent="0.3">
      <c r="B5" s="253" t="s">
        <v>157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42"/>
      <c r="Q5" s="69"/>
      <c r="R5" s="69"/>
      <c r="S5" s="69"/>
      <c r="T5" s="252"/>
      <c r="U5" s="141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99</v>
      </c>
      <c r="F7" s="243"/>
      <c r="G7" s="243"/>
      <c r="H7" s="243"/>
      <c r="I7" s="243"/>
      <c r="J7" s="243"/>
      <c r="K7" s="243"/>
      <c r="L7" s="243"/>
      <c r="M7" s="243"/>
      <c r="N7" s="242" t="s">
        <v>100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101</v>
      </c>
      <c r="AA7" s="250" t="s">
        <v>102</v>
      </c>
      <c r="AC7" s="234" t="s">
        <v>103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104</v>
      </c>
      <c r="G8" s="81" t="s">
        <v>105</v>
      </c>
      <c r="H8" s="81" t="s">
        <v>106</v>
      </c>
      <c r="I8" s="81" t="s">
        <v>77</v>
      </c>
      <c r="J8" s="82" t="s">
        <v>107</v>
      </c>
      <c r="K8" s="82" t="s">
        <v>108</v>
      </c>
      <c r="L8" s="82" t="s">
        <v>80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5" si="0">SUM(E9:O9)</f>
        <v>2500000</v>
      </c>
      <c r="Q9" s="94">
        <f t="shared" ref="Q9:Q20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0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0" si="3">IFERROR(ROUNDDOWN((P9-AC9)*3.43%,-1),)</f>
        <v>75460</v>
      </c>
      <c r="U9" s="96">
        <f t="shared" ref="U9:U20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0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4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>
        <f t="shared" si="8"/>
        <v>99000</v>
      </c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229290</v>
      </c>
      <c r="X11" s="128">
        <f t="shared" si="7"/>
        <v>2270710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tr">
        <f>[1]직원인적급여카드!B5</f>
        <v>김태현</v>
      </c>
      <c r="D12" s="88" t="str">
        <f>[1]직원인적급여카드!C5</f>
        <v>과장</v>
      </c>
      <c r="E12" s="89"/>
      <c r="F12" s="102"/>
      <c r="G12" s="102"/>
      <c r="H12" s="102"/>
      <c r="I12" s="102"/>
      <c r="J12" s="103"/>
      <c r="K12" s="103"/>
      <c r="L12" s="103"/>
      <c r="M12" s="103"/>
      <c r="N12" s="89"/>
      <c r="O12" s="129"/>
      <c r="P12" s="124"/>
      <c r="Q12" s="125">
        <f t="shared" si="1"/>
        <v>0</v>
      </c>
      <c r="R12" s="126">
        <f t="shared" si="2"/>
        <v>0</v>
      </c>
      <c r="S12" s="126">
        <f t="shared" si="8"/>
        <v>0</v>
      </c>
      <c r="T12" s="95">
        <f t="shared" si="3"/>
        <v>0</v>
      </c>
      <c r="U12" s="96">
        <f t="shared" si="4"/>
        <v>0</v>
      </c>
      <c r="V12" s="127">
        <f t="shared" si="5"/>
        <v>0</v>
      </c>
      <c r="W12" s="124">
        <f t="shared" si="6"/>
        <v>0</v>
      </c>
      <c r="X12" s="128">
        <f t="shared" si="7"/>
        <v>0</v>
      </c>
      <c r="Z12" s="98">
        <v>1</v>
      </c>
      <c r="AA12" s="99"/>
      <c r="AC12" s="100">
        <f t="shared" si="9"/>
        <v>0</v>
      </c>
    </row>
    <row r="13" spans="2:29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>
        <f t="shared" si="8"/>
        <v>99000</v>
      </c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229290</v>
      </c>
      <c r="X14" s="128">
        <f t="shared" si="7"/>
        <v>2270710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tr">
        <f>[1]직원인적급여카드!B8</f>
        <v>이일복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95"/>
      <c r="T15" s="95">
        <f t="shared" si="3"/>
        <v>75460</v>
      </c>
      <c r="U15" s="96">
        <f t="shared" si="4"/>
        <v>8690</v>
      </c>
      <c r="V15" s="96">
        <f t="shared" ref="V15:V20" si="10">IFERROR(IF(D15&lt;&gt;"대표이사",ROUNDDOWN((P15-AC15)*고용보험율,-1),0),)</f>
        <v>17600</v>
      </c>
      <c r="W15" s="93">
        <f t="shared" ref="W15:W20" si="11">SUM(Q15:V15)</f>
        <v>130290</v>
      </c>
      <c r="X15" s="97">
        <f t="shared" si="7"/>
        <v>2369710</v>
      </c>
      <c r="Z15" s="98">
        <v>1</v>
      </c>
      <c r="AA15" s="99"/>
      <c r="AC15" s="100">
        <f t="shared" ref="AC15:AC20" si="12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44</v>
      </c>
      <c r="D16" s="88" t="s">
        <v>45</v>
      </c>
      <c r="E16" s="89"/>
      <c r="F16" s="102"/>
      <c r="G16" s="102"/>
      <c r="H16" s="102"/>
      <c r="I16" s="102"/>
      <c r="J16" s="103"/>
      <c r="K16" s="103"/>
      <c r="L16" s="103"/>
      <c r="M16" s="103"/>
      <c r="N16" s="89"/>
      <c r="O16" s="104"/>
      <c r="P16" s="93"/>
      <c r="Q16" s="94">
        <f t="shared" si="1"/>
        <v>0</v>
      </c>
      <c r="R16" s="95">
        <f t="shared" si="2"/>
        <v>0</v>
      </c>
      <c r="S16" s="95">
        <f t="shared" ref="S16:S20" si="13">IFERROR(IF(AND(P16-AC16&gt;=월액최저,P16-AC16&lt;=월액최고),ROUNDDOWN((P16-AC16)*국민연금,-1),IF(P16-AC16&gt;=월액최고,최고연금,IF(AND(P16-AC16&lt;=월액최저,P16-AC16&gt;=1),최저연금,))),)</f>
        <v>0</v>
      </c>
      <c r="T16" s="95">
        <f t="shared" si="3"/>
        <v>0</v>
      </c>
      <c r="U16" s="96">
        <f t="shared" si="4"/>
        <v>0</v>
      </c>
      <c r="V16" s="96">
        <f t="shared" si="10"/>
        <v>0</v>
      </c>
      <c r="W16" s="93">
        <f t="shared" si="11"/>
        <v>0</v>
      </c>
      <c r="X16" s="97">
        <f t="shared" si="7"/>
        <v>0</v>
      </c>
      <c r="Z16" s="98">
        <v>1</v>
      </c>
      <c r="AA16" s="99"/>
      <c r="AC16" s="100">
        <f t="shared" si="12"/>
        <v>0</v>
      </c>
    </row>
    <row r="17" spans="2:29" ht="20.100000000000001" customHeight="1" x14ac:dyDescent="0.3">
      <c r="B17" s="101">
        <v>9</v>
      </c>
      <c r="C17" s="87" t="s">
        <v>143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20" si="14">SUM(E17:O17)</f>
        <v>2500000</v>
      </c>
      <c r="Q17" s="125">
        <f t="shared" si="1"/>
        <v>25950</v>
      </c>
      <c r="R17" s="126">
        <f t="shared" si="2"/>
        <v>2590</v>
      </c>
      <c r="S17" s="126">
        <f t="shared" si="13"/>
        <v>99000</v>
      </c>
      <c r="T17" s="95">
        <f t="shared" si="3"/>
        <v>75460</v>
      </c>
      <c r="U17" s="96">
        <f t="shared" si="4"/>
        <v>8690</v>
      </c>
      <c r="V17" s="127">
        <f t="shared" si="10"/>
        <v>17600</v>
      </c>
      <c r="W17" s="124">
        <f t="shared" si="11"/>
        <v>229290</v>
      </c>
      <c r="X17" s="128">
        <f t="shared" si="7"/>
        <v>2270710</v>
      </c>
      <c r="Z17" s="98">
        <v>1</v>
      </c>
      <c r="AA17" s="99"/>
      <c r="AC17" s="100">
        <f t="shared" si="12"/>
        <v>300000</v>
      </c>
    </row>
    <row r="18" spans="2:29" ht="20.100000000000001" customHeight="1" x14ac:dyDescent="0.3">
      <c r="B18" s="101">
        <v>10</v>
      </c>
      <c r="C18" s="87" t="s">
        <v>117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4"/>
        <v>2500000</v>
      </c>
      <c r="Q18" s="125">
        <f t="shared" si="1"/>
        <v>25950</v>
      </c>
      <c r="R18" s="126">
        <f t="shared" si="2"/>
        <v>2590</v>
      </c>
      <c r="S18" s="126">
        <f t="shared" si="13"/>
        <v>99000</v>
      </c>
      <c r="T18" s="95">
        <f t="shared" si="3"/>
        <v>75460</v>
      </c>
      <c r="U18" s="96">
        <f t="shared" si="4"/>
        <v>8690</v>
      </c>
      <c r="V18" s="127">
        <f t="shared" si="10"/>
        <v>17600</v>
      </c>
      <c r="W18" s="124">
        <f t="shared" si="11"/>
        <v>229290</v>
      </c>
      <c r="X18" s="128">
        <f t="shared" si="7"/>
        <v>2270710</v>
      </c>
      <c r="Z18" s="98">
        <v>1</v>
      </c>
      <c r="AA18" s="99"/>
      <c r="AC18" s="100">
        <f t="shared" si="12"/>
        <v>300000</v>
      </c>
    </row>
    <row r="19" spans="2:29" ht="20.100000000000001" customHeight="1" x14ac:dyDescent="0.3">
      <c r="B19" s="101">
        <v>11</v>
      </c>
      <c r="C19" s="87" t="s">
        <v>56</v>
      </c>
      <c r="D19" s="88" t="s">
        <v>50</v>
      </c>
      <c r="E19" s="89">
        <v>2100000</v>
      </c>
      <c r="F19" s="106"/>
      <c r="G19" s="106"/>
      <c r="H19" s="106"/>
      <c r="I19" s="106"/>
      <c r="J19" s="107"/>
      <c r="K19" s="107"/>
      <c r="L19" s="107"/>
      <c r="M19" s="107"/>
      <c r="N19" s="89">
        <v>200000</v>
      </c>
      <c r="O19" s="130">
        <v>200000</v>
      </c>
      <c r="P19" s="124">
        <f t="shared" si="14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 t="shared" si="10"/>
        <v>17600</v>
      </c>
      <c r="W19" s="124">
        <f t="shared" si="11"/>
        <v>130290</v>
      </c>
      <c r="X19" s="128">
        <f t="shared" si="7"/>
        <v>2369710</v>
      </c>
      <c r="Z19" s="98">
        <v>1</v>
      </c>
      <c r="AA19" s="99"/>
      <c r="AC19" s="100">
        <f t="shared" si="12"/>
        <v>300000</v>
      </c>
    </row>
    <row r="20" spans="2:29" ht="20.100000000000001" customHeight="1" x14ac:dyDescent="0.3">
      <c r="B20" s="101">
        <v>12</v>
      </c>
      <c r="C20" s="87" t="s">
        <v>132</v>
      </c>
      <c r="D20" s="88" t="s">
        <v>133</v>
      </c>
      <c r="E20" s="89">
        <v>2100000</v>
      </c>
      <c r="F20" s="106"/>
      <c r="G20" s="106"/>
      <c r="H20" s="106"/>
      <c r="I20" s="106"/>
      <c r="J20" s="107"/>
      <c r="K20" s="107"/>
      <c r="L20" s="107"/>
      <c r="M20" s="107"/>
      <c r="N20" s="89">
        <v>200000</v>
      </c>
      <c r="O20" s="130">
        <v>200000</v>
      </c>
      <c r="P20" s="124">
        <f t="shared" si="14"/>
        <v>2500000</v>
      </c>
      <c r="Q20" s="125">
        <f t="shared" si="1"/>
        <v>25950</v>
      </c>
      <c r="R20" s="126">
        <f t="shared" si="2"/>
        <v>2590</v>
      </c>
      <c r="S20" s="126">
        <f t="shared" si="13"/>
        <v>99000</v>
      </c>
      <c r="T20" s="95">
        <f t="shared" si="3"/>
        <v>75460</v>
      </c>
      <c r="U20" s="96">
        <f t="shared" si="4"/>
        <v>8690</v>
      </c>
      <c r="V20" s="127">
        <f t="shared" si="10"/>
        <v>17600</v>
      </c>
      <c r="W20" s="124">
        <f t="shared" si="11"/>
        <v>229290</v>
      </c>
      <c r="X20" s="128">
        <f t="shared" si="7"/>
        <v>2270710</v>
      </c>
      <c r="Z20" s="98">
        <v>1</v>
      </c>
      <c r="AA20" s="99"/>
      <c r="AC20" s="100">
        <f t="shared" si="12"/>
        <v>300000</v>
      </c>
    </row>
    <row r="21" spans="2:29" ht="20.100000000000001" customHeight="1" x14ac:dyDescent="0.3">
      <c r="B21" s="216" t="s">
        <v>93</v>
      </c>
      <c r="C21" s="217"/>
      <c r="D21" s="218"/>
      <c r="E21" s="131">
        <f t="shared" ref="E21:X21" si="15">SUM(E9:E20)</f>
        <v>21000000</v>
      </c>
      <c r="F21" s="132">
        <f t="shared" si="15"/>
        <v>0</v>
      </c>
      <c r="G21" s="132">
        <f t="shared" si="15"/>
        <v>0</v>
      </c>
      <c r="H21" s="132">
        <f t="shared" si="15"/>
        <v>0</v>
      </c>
      <c r="I21" s="132">
        <f t="shared" si="15"/>
        <v>0</v>
      </c>
      <c r="J21" s="132">
        <f t="shared" si="15"/>
        <v>0</v>
      </c>
      <c r="K21" s="132">
        <f t="shared" si="15"/>
        <v>0</v>
      </c>
      <c r="L21" s="132">
        <f t="shared" si="15"/>
        <v>0</v>
      </c>
      <c r="M21" s="133">
        <f t="shared" si="15"/>
        <v>0</v>
      </c>
      <c r="N21" s="131">
        <f t="shared" si="15"/>
        <v>2000000</v>
      </c>
      <c r="O21" s="134">
        <f t="shared" si="15"/>
        <v>2000000</v>
      </c>
      <c r="P21" s="135">
        <f t="shared" si="15"/>
        <v>25000000</v>
      </c>
      <c r="Q21" s="131">
        <f t="shared" si="15"/>
        <v>259500</v>
      </c>
      <c r="R21" s="132">
        <f t="shared" si="15"/>
        <v>25900</v>
      </c>
      <c r="S21" s="132">
        <f t="shared" si="15"/>
        <v>693000</v>
      </c>
      <c r="T21" s="132">
        <f t="shared" si="15"/>
        <v>754600</v>
      </c>
      <c r="U21" s="133">
        <f t="shared" si="15"/>
        <v>86900</v>
      </c>
      <c r="V21" s="133">
        <f t="shared" si="15"/>
        <v>176000</v>
      </c>
      <c r="W21" s="135">
        <f t="shared" si="15"/>
        <v>1995900</v>
      </c>
      <c r="X21" s="136">
        <f t="shared" si="15"/>
        <v>23004100</v>
      </c>
    </row>
    <row r="22" spans="2:29" ht="20.25" customHeight="1" thickBot="1" x14ac:dyDescent="0.35">
      <c r="B22" s="219" t="s">
        <v>121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</row>
    <row r="23" spans="2:29" ht="15" customHeight="1" x14ac:dyDescent="0.3">
      <c r="B23" s="118"/>
      <c r="C23" s="119" t="s">
        <v>122</v>
      </c>
      <c r="D23" s="220" t="s">
        <v>123</v>
      </c>
      <c r="E23" s="221"/>
      <c r="F23" s="220" t="s">
        <v>124</v>
      </c>
      <c r="G23" s="221"/>
      <c r="H23" s="222" t="s">
        <v>95</v>
      </c>
      <c r="I23" s="223"/>
      <c r="J23" s="223"/>
      <c r="K23" s="223"/>
      <c r="L23" s="223"/>
      <c r="M23" s="223"/>
      <c r="N23" s="223"/>
      <c r="O23" s="223"/>
      <c r="P23" s="224"/>
      <c r="Q23" s="64"/>
      <c r="R23" s="64"/>
      <c r="S23" s="64"/>
      <c r="T23" s="64"/>
      <c r="U23" s="64"/>
      <c r="V23" s="64"/>
    </row>
    <row r="24" spans="2:29" ht="15" customHeight="1" x14ac:dyDescent="0.3">
      <c r="B24" s="225" t="s">
        <v>96</v>
      </c>
      <c r="C24" s="120"/>
      <c r="D24" s="197"/>
      <c r="E24" s="198"/>
      <c r="F24" s="204"/>
      <c r="G24" s="205"/>
      <c r="H24" s="206"/>
      <c r="I24" s="207"/>
      <c r="J24" s="207"/>
      <c r="K24" s="207"/>
      <c r="L24" s="207"/>
      <c r="M24" s="207"/>
      <c r="N24" s="207"/>
      <c r="O24" s="207"/>
      <c r="P24" s="208"/>
      <c r="Q24" s="64"/>
      <c r="R24" s="64"/>
      <c r="S24" s="64"/>
      <c r="T24" s="64"/>
      <c r="U24" s="64"/>
      <c r="V24" s="64"/>
    </row>
    <row r="25" spans="2:29" ht="15" customHeight="1" x14ac:dyDescent="0.3">
      <c r="B25" s="195"/>
      <c r="C25" s="120"/>
      <c r="D25" s="197"/>
      <c r="E25" s="198"/>
      <c r="F25" s="204"/>
      <c r="G25" s="205"/>
      <c r="H25" s="206"/>
      <c r="I25" s="207"/>
      <c r="J25" s="207"/>
      <c r="K25" s="207"/>
      <c r="L25" s="207"/>
      <c r="M25" s="207"/>
      <c r="N25" s="207"/>
      <c r="O25" s="207"/>
      <c r="P25" s="208"/>
      <c r="Q25" s="64"/>
      <c r="R25" s="64"/>
      <c r="S25" s="64"/>
      <c r="T25" s="64"/>
      <c r="U25" s="64"/>
      <c r="V25" s="64"/>
    </row>
    <row r="26" spans="2:29" ht="15" customHeight="1" thickBot="1" x14ac:dyDescent="0.35">
      <c r="B26" s="226"/>
      <c r="C26" s="121"/>
      <c r="D26" s="227"/>
      <c r="E26" s="228"/>
      <c r="F26" s="229"/>
      <c r="G26" s="230"/>
      <c r="H26" s="231"/>
      <c r="I26" s="232"/>
      <c r="J26" s="232"/>
      <c r="K26" s="232"/>
      <c r="L26" s="232"/>
      <c r="M26" s="232"/>
      <c r="N26" s="232"/>
      <c r="O26" s="232"/>
      <c r="P26" s="233"/>
      <c r="Q26" s="64"/>
      <c r="R26" s="64"/>
      <c r="S26" s="64"/>
      <c r="T26" s="64"/>
      <c r="U26" s="64"/>
      <c r="V26" s="64"/>
    </row>
    <row r="27" spans="2:29" ht="15" customHeight="1" thickTop="1" x14ac:dyDescent="0.3">
      <c r="B27" s="195" t="s">
        <v>97</v>
      </c>
      <c r="C27" s="120"/>
      <c r="D27" s="197"/>
      <c r="E27" s="198"/>
      <c r="F27" s="199"/>
      <c r="G27" s="200"/>
      <c r="H27" s="201"/>
      <c r="I27" s="202"/>
      <c r="J27" s="202"/>
      <c r="K27" s="202"/>
      <c r="L27" s="202"/>
      <c r="M27" s="202"/>
      <c r="N27" s="202"/>
      <c r="O27" s="202"/>
      <c r="P27" s="203"/>
      <c r="Q27" s="64"/>
      <c r="R27" s="64"/>
      <c r="S27" s="64"/>
      <c r="T27" s="64"/>
      <c r="U27" s="64"/>
      <c r="V27" s="64"/>
    </row>
    <row r="28" spans="2:29" ht="15" customHeight="1" x14ac:dyDescent="0.3">
      <c r="B28" s="195"/>
      <c r="C28" s="120"/>
      <c r="D28" s="197"/>
      <c r="E28" s="198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thickBot="1" x14ac:dyDescent="0.35">
      <c r="B29" s="196"/>
      <c r="C29" s="122"/>
      <c r="D29" s="209"/>
      <c r="E29" s="210"/>
      <c r="F29" s="211"/>
      <c r="G29" s="212"/>
      <c r="H29" s="213"/>
      <c r="I29" s="214"/>
      <c r="J29" s="214"/>
      <c r="K29" s="214"/>
      <c r="L29" s="214"/>
      <c r="M29" s="214"/>
      <c r="N29" s="214"/>
      <c r="O29" s="214"/>
      <c r="P29" s="215"/>
      <c r="Q29" s="64"/>
      <c r="R29" s="64"/>
      <c r="S29" s="64"/>
      <c r="T29" s="64"/>
      <c r="U29" s="64"/>
      <c r="V29" s="64"/>
    </row>
    <row r="30" spans="2:29" ht="20.100000000000001" customHeight="1" x14ac:dyDescent="0.3">
      <c r="Q30" s="64"/>
      <c r="R30" s="64"/>
      <c r="S30" s="64"/>
      <c r="T30" s="64"/>
      <c r="U30" s="64"/>
      <c r="V30" s="64"/>
    </row>
    <row r="31" spans="2:29" s="64" customFormat="1" ht="20.100000000000001" customHeight="1" x14ac:dyDescent="0.3">
      <c r="B31" s="143"/>
      <c r="C31" s="143"/>
      <c r="D31" s="14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2:29" s="64" customFormat="1" ht="20.100000000000001" customHeight="1" x14ac:dyDescent="0.3">
      <c r="B32" s="143"/>
      <c r="C32" s="143"/>
      <c r="D32" s="14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s="64" customFormat="1" ht="20.100000000000001" customHeight="1" x14ac:dyDescent="0.3">
      <c r="B33" s="143"/>
      <c r="C33" s="143"/>
      <c r="D33" s="14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s="64" customFormat="1" ht="20.100000000000001" customHeight="1" x14ac:dyDescent="0.3">
      <c r="B34" s="143"/>
      <c r="C34" s="143"/>
      <c r="D34" s="14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2:15" s="64" customFormat="1" ht="20.100000000000001" customHeight="1" x14ac:dyDescent="0.3">
      <c r="B35" s="143"/>
      <c r="C35" s="143"/>
      <c r="D35" s="14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15" s="64" customFormat="1" ht="20.100000000000001" customHeight="1" x14ac:dyDescent="0.3">
      <c r="B36" s="143"/>
      <c r="C36" s="143"/>
      <c r="D36" s="14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15" s="64" customFormat="1" ht="20.100000000000001" customHeight="1" x14ac:dyDescent="0.3">
      <c r="B37" s="143"/>
      <c r="C37" s="143"/>
      <c r="D37" s="14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5" s="64" customFormat="1" ht="20.100000000000001" customHeight="1" x14ac:dyDescent="0.3">
      <c r="B38" s="143"/>
      <c r="C38" s="143"/>
      <c r="D38" s="14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15" s="64" customFormat="1" ht="20.100000000000001" customHeight="1" x14ac:dyDescent="0.3">
      <c r="B39" s="143"/>
      <c r="C39" s="143"/>
      <c r="D39" s="14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15" s="64" customFormat="1" ht="20.100000000000001" customHeight="1" x14ac:dyDescent="0.3">
      <c r="B40" s="143"/>
      <c r="C40" s="143"/>
      <c r="D40" s="14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5" s="64" customFormat="1" ht="20.100000000000001" customHeight="1" x14ac:dyDescent="0.3">
      <c r="B41" s="143"/>
      <c r="C41" s="143"/>
      <c r="D41" s="14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15" s="64" customFormat="1" ht="20.100000000000001" customHeight="1" x14ac:dyDescent="0.3">
      <c r="B42" s="143"/>
      <c r="C42" s="143"/>
      <c r="D42" s="14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15" s="64" customFormat="1" ht="20.100000000000001" customHeight="1" x14ac:dyDescent="0.3">
      <c r="B43" s="143"/>
      <c r="C43" s="143"/>
      <c r="D43" s="14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15" s="64" customFormat="1" ht="20.100000000000001" customHeight="1" x14ac:dyDescent="0.3">
      <c r="B44" s="143"/>
      <c r="C44" s="143"/>
      <c r="D44" s="14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15" s="64" customFormat="1" ht="20.100000000000001" customHeight="1" x14ac:dyDescent="0.3">
      <c r="B45" s="143"/>
      <c r="C45" s="143"/>
      <c r="D45" s="14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15" s="64" customFormat="1" ht="20.100000000000001" customHeight="1" x14ac:dyDescent="0.3">
      <c r="B46" s="143"/>
      <c r="C46" s="143"/>
      <c r="D46" s="14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15" s="64" customFormat="1" ht="20.100000000000001" customHeight="1" x14ac:dyDescent="0.3">
      <c r="B47" s="143"/>
      <c r="C47" s="143"/>
      <c r="D47" s="14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15" s="64" customFormat="1" ht="20.100000000000001" customHeight="1" x14ac:dyDescent="0.3">
      <c r="B48" s="143"/>
      <c r="C48" s="143"/>
      <c r="D48" s="14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43"/>
      <c r="C49" s="143"/>
      <c r="D49" s="14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43"/>
      <c r="C50" s="143"/>
      <c r="D50" s="14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43"/>
      <c r="C51" s="143"/>
      <c r="D51" s="14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43"/>
      <c r="C52" s="143"/>
      <c r="D52" s="14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43"/>
      <c r="C53" s="143"/>
      <c r="D53" s="14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43"/>
      <c r="C54" s="143"/>
      <c r="D54" s="14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43"/>
      <c r="C55" s="143"/>
      <c r="D55" s="14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43"/>
      <c r="C56" s="143"/>
      <c r="D56" s="14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43"/>
      <c r="C57" s="143"/>
      <c r="D57" s="14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43"/>
      <c r="C58" s="143"/>
      <c r="D58" s="14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43"/>
      <c r="C59" s="143"/>
      <c r="D59" s="14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43"/>
      <c r="C60" s="143"/>
      <c r="D60" s="14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43"/>
      <c r="C61" s="143"/>
      <c r="D61" s="14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43"/>
      <c r="C62" s="143"/>
      <c r="D62" s="14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43"/>
      <c r="C63" s="143"/>
      <c r="D63" s="14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43"/>
      <c r="C64" s="143"/>
      <c r="D64" s="14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43"/>
      <c r="C65" s="143"/>
      <c r="D65" s="14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43"/>
      <c r="C66" s="143"/>
      <c r="D66" s="14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43"/>
      <c r="C67" s="143"/>
      <c r="D67" s="14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43"/>
      <c r="C68" s="143"/>
      <c r="D68" s="14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43"/>
      <c r="C69" s="143"/>
      <c r="D69" s="14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43"/>
      <c r="C70" s="143"/>
      <c r="D70" s="14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43"/>
      <c r="C71" s="143"/>
      <c r="D71" s="14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43"/>
      <c r="C72" s="143"/>
      <c r="D72" s="14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43"/>
      <c r="C73" s="143"/>
      <c r="D73" s="14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43"/>
      <c r="C74" s="143"/>
      <c r="D74" s="14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43"/>
      <c r="C75" s="143"/>
      <c r="D75" s="14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43"/>
      <c r="C76" s="143"/>
      <c r="D76" s="14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43"/>
      <c r="C77" s="143"/>
      <c r="D77" s="14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43"/>
      <c r="C78" s="143"/>
      <c r="D78" s="14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43"/>
      <c r="C79" s="143"/>
      <c r="D79" s="14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43"/>
      <c r="C80" s="143"/>
      <c r="D80" s="14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43"/>
      <c r="C81" s="143"/>
      <c r="D81" s="14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43"/>
      <c r="C82" s="143"/>
      <c r="D82" s="14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43"/>
      <c r="C83" s="143"/>
      <c r="D83" s="14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43"/>
      <c r="C84" s="143"/>
      <c r="D84" s="14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43"/>
      <c r="C85" s="143"/>
      <c r="D85" s="14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43"/>
      <c r="C86" s="143"/>
      <c r="D86" s="14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43"/>
      <c r="C87" s="143"/>
      <c r="D87" s="14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43"/>
      <c r="C88" s="143"/>
      <c r="D88" s="14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43"/>
      <c r="C89" s="143"/>
      <c r="D89" s="14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43"/>
      <c r="C90" s="143"/>
      <c r="D90" s="14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43"/>
      <c r="C91" s="143"/>
      <c r="D91" s="14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43"/>
      <c r="C92" s="143"/>
      <c r="D92" s="14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43"/>
      <c r="C93" s="143"/>
      <c r="D93" s="14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43"/>
      <c r="C94" s="143"/>
      <c r="D94" s="14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43"/>
      <c r="C95" s="143"/>
      <c r="D95" s="14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43"/>
      <c r="C96" s="143"/>
      <c r="D96" s="14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43"/>
      <c r="C97" s="143"/>
      <c r="D97" s="14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43"/>
      <c r="C98" s="143"/>
      <c r="D98" s="14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43"/>
      <c r="C99" s="143"/>
      <c r="D99" s="14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43"/>
      <c r="C100" s="143"/>
      <c r="D100" s="14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43"/>
      <c r="C101" s="143"/>
      <c r="D101" s="14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43"/>
      <c r="C102" s="143"/>
      <c r="D102" s="14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43"/>
      <c r="C103" s="143"/>
      <c r="D103" s="14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43"/>
      <c r="C104" s="143"/>
      <c r="D104" s="14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43"/>
      <c r="C105" s="143"/>
      <c r="D105" s="14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43"/>
      <c r="C106" s="143"/>
      <c r="D106" s="14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43"/>
      <c r="C107" s="143"/>
      <c r="D107" s="14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43"/>
      <c r="C108" s="143"/>
      <c r="D108" s="14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43"/>
      <c r="C109" s="143"/>
      <c r="D109" s="14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43"/>
      <c r="C110" s="143"/>
      <c r="D110" s="14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43"/>
      <c r="C111" s="143"/>
      <c r="D111" s="14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43"/>
      <c r="C112" s="143"/>
      <c r="D112" s="14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43"/>
      <c r="C113" s="143"/>
      <c r="D113" s="14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43"/>
      <c r="C114" s="143"/>
      <c r="D114" s="14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43"/>
      <c r="C115" s="143"/>
      <c r="D115" s="14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43"/>
      <c r="C116" s="143"/>
      <c r="D116" s="14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43"/>
      <c r="C117" s="143"/>
      <c r="D117" s="14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43"/>
      <c r="C118" s="143"/>
      <c r="D118" s="14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43"/>
      <c r="C119" s="143"/>
      <c r="D119" s="14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43"/>
      <c r="C120" s="143"/>
      <c r="D120" s="14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43"/>
      <c r="C121" s="143"/>
      <c r="D121" s="14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43"/>
      <c r="C122" s="143"/>
      <c r="D122" s="14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43"/>
      <c r="C123" s="143"/>
      <c r="D123" s="14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43"/>
      <c r="C124" s="143"/>
      <c r="D124" s="14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43"/>
      <c r="C125" s="143"/>
      <c r="D125" s="14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43"/>
      <c r="C126" s="143"/>
      <c r="D126" s="14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43"/>
      <c r="C127" s="143"/>
      <c r="D127" s="14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43"/>
      <c r="C128" s="143"/>
      <c r="D128" s="14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43"/>
      <c r="C129" s="143"/>
      <c r="D129" s="14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43"/>
      <c r="C130" s="143"/>
      <c r="D130" s="14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43"/>
      <c r="C131" s="143"/>
      <c r="D131" s="14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43"/>
      <c r="C132" s="143"/>
      <c r="D132" s="14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43"/>
      <c r="C133" s="143"/>
      <c r="D133" s="14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43"/>
      <c r="C134" s="143"/>
      <c r="D134" s="14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43"/>
      <c r="C135" s="143"/>
      <c r="D135" s="14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43"/>
      <c r="C136" s="143"/>
      <c r="D136" s="14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43"/>
      <c r="C137" s="143"/>
      <c r="D137" s="14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43"/>
      <c r="C138" s="143"/>
      <c r="D138" s="14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43"/>
      <c r="C139" s="143"/>
      <c r="D139" s="14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43"/>
      <c r="C140" s="143"/>
      <c r="D140" s="14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43"/>
      <c r="C141" s="143"/>
      <c r="D141" s="14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43"/>
      <c r="C142" s="143"/>
      <c r="D142" s="14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43"/>
      <c r="C143" s="143"/>
      <c r="D143" s="14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43"/>
      <c r="C144" s="143"/>
      <c r="D144" s="14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43"/>
      <c r="C145" s="143"/>
      <c r="D145" s="14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43"/>
      <c r="C146" s="143"/>
      <c r="D146" s="14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43"/>
      <c r="C147" s="143"/>
      <c r="D147" s="14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43"/>
      <c r="C148" s="143"/>
      <c r="D148" s="14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43"/>
      <c r="C149" s="143"/>
      <c r="D149" s="14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43"/>
      <c r="C150" s="143"/>
      <c r="D150" s="14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43"/>
      <c r="C151" s="143"/>
      <c r="D151" s="14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43"/>
      <c r="C152" s="143"/>
      <c r="D152" s="14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43"/>
      <c r="C153" s="143"/>
      <c r="D153" s="14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43"/>
      <c r="C154" s="143"/>
      <c r="D154" s="14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43"/>
      <c r="C155" s="143"/>
      <c r="D155" s="14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43"/>
      <c r="C156" s="143"/>
      <c r="D156" s="14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43"/>
      <c r="C157" s="143"/>
      <c r="D157" s="14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43"/>
      <c r="C158" s="143"/>
      <c r="D158" s="14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43"/>
      <c r="C159" s="143"/>
      <c r="D159" s="14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43"/>
      <c r="C160" s="143"/>
      <c r="D160" s="14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43"/>
      <c r="C161" s="143"/>
      <c r="D161" s="14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43"/>
      <c r="C162" s="143"/>
      <c r="D162" s="14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43"/>
      <c r="C163" s="143"/>
      <c r="D163" s="14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43"/>
      <c r="C164" s="143"/>
      <c r="D164" s="14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43"/>
      <c r="C165" s="143"/>
      <c r="D165" s="14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43"/>
      <c r="C166" s="143"/>
      <c r="D166" s="14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43"/>
      <c r="C167" s="143"/>
      <c r="D167" s="14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43"/>
      <c r="C168" s="143"/>
      <c r="D168" s="14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43"/>
      <c r="C169" s="143"/>
      <c r="D169" s="14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43"/>
      <c r="C170" s="143"/>
      <c r="D170" s="14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43"/>
      <c r="C171" s="143"/>
      <c r="D171" s="14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43"/>
      <c r="C172" s="143"/>
      <c r="D172" s="14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43"/>
      <c r="C173" s="143"/>
      <c r="D173" s="14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43"/>
      <c r="C174" s="143"/>
      <c r="D174" s="14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43"/>
      <c r="C175" s="143"/>
      <c r="D175" s="14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43"/>
      <c r="C176" s="143"/>
      <c r="D176" s="14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43"/>
      <c r="C177" s="143"/>
      <c r="D177" s="14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43"/>
      <c r="C178" s="143"/>
      <c r="D178" s="14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43"/>
      <c r="C179" s="143"/>
      <c r="D179" s="14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43"/>
      <c r="C180" s="143"/>
      <c r="D180" s="14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43"/>
      <c r="C181" s="143"/>
      <c r="D181" s="14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43"/>
      <c r="C182" s="143"/>
      <c r="D182" s="14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43"/>
      <c r="C183" s="143"/>
      <c r="D183" s="14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43"/>
      <c r="C184" s="143"/>
      <c r="D184" s="14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43"/>
      <c r="C185" s="143"/>
      <c r="D185" s="14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43"/>
      <c r="C186" s="143"/>
      <c r="D186" s="14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43"/>
      <c r="C187" s="143"/>
      <c r="D187" s="14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43"/>
      <c r="C188" s="143"/>
      <c r="D188" s="14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43"/>
      <c r="C189" s="143"/>
      <c r="D189" s="14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43"/>
      <c r="C190" s="143"/>
      <c r="D190" s="14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43"/>
      <c r="C191" s="143"/>
      <c r="D191" s="14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43"/>
      <c r="C192" s="143"/>
      <c r="D192" s="14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43"/>
      <c r="C193" s="143"/>
      <c r="D193" s="14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43"/>
      <c r="C194" s="143"/>
      <c r="D194" s="14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43"/>
      <c r="C195" s="143"/>
      <c r="D195" s="14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43"/>
      <c r="C196" s="143"/>
      <c r="D196" s="14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43"/>
      <c r="C197" s="143"/>
      <c r="D197" s="14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43"/>
      <c r="C198" s="143"/>
      <c r="D198" s="14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43"/>
      <c r="C199" s="143"/>
      <c r="D199" s="14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43"/>
      <c r="C200" s="143"/>
      <c r="D200" s="14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43"/>
      <c r="C201" s="143"/>
      <c r="D201" s="14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43"/>
      <c r="C202" s="143"/>
      <c r="D202" s="14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43"/>
      <c r="C203" s="143"/>
      <c r="D203" s="14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43"/>
      <c r="C204" s="143"/>
      <c r="D204" s="14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43"/>
      <c r="C205" s="143"/>
      <c r="D205" s="14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43"/>
      <c r="C206" s="143"/>
      <c r="D206" s="14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43"/>
      <c r="C207" s="143"/>
      <c r="D207" s="14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43"/>
      <c r="C208" s="143"/>
      <c r="D208" s="14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43"/>
      <c r="C209" s="143"/>
      <c r="D209" s="14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43"/>
      <c r="C210" s="143"/>
      <c r="D210" s="14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43"/>
      <c r="C211" s="143"/>
      <c r="D211" s="14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43"/>
      <c r="C212" s="143"/>
      <c r="D212" s="14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43"/>
      <c r="C213" s="143"/>
      <c r="D213" s="14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43"/>
      <c r="C214" s="143"/>
      <c r="D214" s="14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43"/>
      <c r="C215" s="143"/>
      <c r="D215" s="14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43"/>
      <c r="C216" s="143"/>
      <c r="D216" s="14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43"/>
      <c r="C217" s="143"/>
      <c r="D217" s="14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43"/>
      <c r="C218" s="143"/>
      <c r="D218" s="14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43"/>
      <c r="C219" s="143"/>
      <c r="D219" s="14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43"/>
      <c r="C220" s="143"/>
      <c r="D220" s="14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43"/>
      <c r="C221" s="143"/>
      <c r="D221" s="14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43"/>
      <c r="C222" s="143"/>
      <c r="D222" s="14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43"/>
      <c r="C223" s="143"/>
      <c r="D223" s="14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43"/>
      <c r="C224" s="143"/>
      <c r="D224" s="14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43"/>
      <c r="C225" s="143"/>
      <c r="D225" s="14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43"/>
      <c r="C226" s="143"/>
      <c r="D226" s="14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43"/>
      <c r="C227" s="143"/>
      <c r="D227" s="14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43"/>
      <c r="C228" s="143"/>
      <c r="D228" s="14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43"/>
      <c r="C229" s="143"/>
      <c r="D229" s="14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43"/>
      <c r="C230" s="143"/>
      <c r="D230" s="14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43"/>
      <c r="C231" s="143"/>
      <c r="D231" s="14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43"/>
      <c r="C232" s="143"/>
      <c r="D232" s="14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43"/>
      <c r="C233" s="143"/>
      <c r="D233" s="14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43"/>
      <c r="C234" s="143"/>
      <c r="D234" s="14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43"/>
      <c r="C235" s="143"/>
      <c r="D235" s="14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43"/>
      <c r="C236" s="143"/>
      <c r="D236" s="14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43"/>
      <c r="C237" s="143"/>
      <c r="D237" s="14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43"/>
      <c r="C238" s="143"/>
      <c r="D238" s="14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43"/>
      <c r="C239" s="143"/>
      <c r="D239" s="14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43"/>
      <c r="C240" s="143"/>
      <c r="D240" s="14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43"/>
      <c r="C241" s="143"/>
      <c r="D241" s="14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43"/>
      <c r="C242" s="143"/>
      <c r="D242" s="14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43"/>
      <c r="C243" s="143"/>
      <c r="D243" s="14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43"/>
      <c r="C244" s="143"/>
      <c r="D244" s="14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43"/>
      <c r="C245" s="143"/>
      <c r="D245" s="14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43"/>
      <c r="C246" s="143"/>
      <c r="D246" s="14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43"/>
      <c r="C247" s="143"/>
      <c r="D247" s="14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43"/>
      <c r="C248" s="143"/>
      <c r="D248" s="14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43"/>
      <c r="C249" s="143"/>
      <c r="D249" s="14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43"/>
      <c r="C250" s="143"/>
      <c r="D250" s="14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43"/>
      <c r="C251" s="143"/>
      <c r="D251" s="14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43"/>
      <c r="C252" s="143"/>
      <c r="D252" s="14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43"/>
      <c r="C253" s="143"/>
      <c r="D253" s="14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43"/>
      <c r="C254" s="143"/>
      <c r="D254" s="14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43"/>
      <c r="C255" s="143"/>
      <c r="D255" s="14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43"/>
      <c r="C256" s="143"/>
      <c r="D256" s="14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43"/>
      <c r="C257" s="143"/>
      <c r="D257" s="14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43"/>
      <c r="C258" s="143"/>
      <c r="D258" s="14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43"/>
      <c r="C259" s="143"/>
      <c r="D259" s="14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43"/>
      <c r="C260" s="143"/>
      <c r="D260" s="14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43"/>
      <c r="C261" s="143"/>
      <c r="D261" s="14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43"/>
      <c r="C262" s="143"/>
      <c r="D262" s="14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43"/>
      <c r="C263" s="143"/>
      <c r="D263" s="14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43"/>
      <c r="C264" s="143"/>
      <c r="D264" s="14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43"/>
      <c r="C265" s="143"/>
      <c r="D265" s="14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43"/>
      <c r="C266" s="143"/>
      <c r="D266" s="14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43"/>
      <c r="C267" s="143"/>
      <c r="D267" s="14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43"/>
      <c r="C268" s="143"/>
      <c r="D268" s="14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43"/>
      <c r="C269" s="143"/>
      <c r="D269" s="14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43"/>
      <c r="C270" s="143"/>
      <c r="D270" s="14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43"/>
      <c r="C271" s="143"/>
      <c r="D271" s="14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43"/>
      <c r="C272" s="143"/>
      <c r="D272" s="14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43"/>
      <c r="C273" s="143"/>
      <c r="D273" s="14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43"/>
      <c r="C274" s="143"/>
      <c r="D274" s="14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43"/>
      <c r="C275" s="143"/>
      <c r="D275" s="14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43"/>
      <c r="C276" s="143"/>
      <c r="D276" s="14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43"/>
      <c r="C277" s="143"/>
      <c r="D277" s="14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</sheetData>
  <mergeCells count="45">
    <mergeCell ref="B27:B29"/>
    <mergeCell ref="D27:E27"/>
    <mergeCell ref="F27:G27"/>
    <mergeCell ref="H27:P27"/>
    <mergeCell ref="D28:E28"/>
    <mergeCell ref="F28:G28"/>
    <mergeCell ref="H28:P28"/>
    <mergeCell ref="D29:E29"/>
    <mergeCell ref="F29:G29"/>
    <mergeCell ref="H29:P29"/>
    <mergeCell ref="B21:D21"/>
    <mergeCell ref="B22:X22"/>
    <mergeCell ref="D23:E23"/>
    <mergeCell ref="F23:G23"/>
    <mergeCell ref="H23:P23"/>
    <mergeCell ref="B24:B26"/>
    <mergeCell ref="D24:E24"/>
    <mergeCell ref="F24:G24"/>
    <mergeCell ref="H24:P24"/>
    <mergeCell ref="D25:E25"/>
    <mergeCell ref="F25:G25"/>
    <mergeCell ref="H25:P25"/>
    <mergeCell ref="D26:E26"/>
    <mergeCell ref="F26:G26"/>
    <mergeCell ref="H26:P26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1"/>
  <sheetViews>
    <sheetView topLeftCell="A8" zoomScale="90" zoomScaleNormal="90" workbookViewId="0">
      <selection activeCell="A14" sqref="A14:XFD14"/>
    </sheetView>
  </sheetViews>
  <sheetFormatPr defaultRowHeight="13.5" x14ac:dyDescent="0.3"/>
  <cols>
    <col min="1" max="1" width="1.625" style="144" customWidth="1"/>
    <col min="2" max="2" width="4.625" style="144" bestFit="1" customWidth="1"/>
    <col min="3" max="3" width="7.625" style="144" bestFit="1" customWidth="1"/>
    <col min="4" max="4" width="8" style="144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44" customWidth="1"/>
    <col min="26" max="26" width="8.375" style="144" customWidth="1"/>
    <col min="27" max="27" width="7.25" style="144" customWidth="1"/>
    <col min="28" max="28" width="3.875" style="144" customWidth="1"/>
    <col min="29" max="29" width="0.5" style="144" customWidth="1"/>
    <col min="30" max="257" width="9" style="144"/>
    <col min="258" max="258" width="4.625" style="144" bestFit="1" customWidth="1"/>
    <col min="259" max="259" width="7.5" style="144" bestFit="1" customWidth="1"/>
    <col min="260" max="260" width="6.25" style="144" customWidth="1"/>
    <col min="261" max="261" width="11" style="144" bestFit="1" customWidth="1"/>
    <col min="262" max="263" width="9.625" style="144" bestFit="1" customWidth="1"/>
    <col min="264" max="264" width="8.25" style="144" bestFit="1" customWidth="1"/>
    <col min="265" max="266" width="9.625" style="144" bestFit="1" customWidth="1"/>
    <col min="267" max="267" width="8.25" style="144" bestFit="1" customWidth="1"/>
    <col min="268" max="269" width="9.625" style="144" bestFit="1" customWidth="1"/>
    <col min="270" max="271" width="8.25" style="144" bestFit="1" customWidth="1"/>
    <col min="272" max="272" width="11" style="144" bestFit="1" customWidth="1"/>
    <col min="273" max="273" width="8" style="144" bestFit="1" customWidth="1"/>
    <col min="274" max="274" width="7.75" style="144" bestFit="1" customWidth="1"/>
    <col min="275" max="276" width="9.625" style="144" bestFit="1" customWidth="1"/>
    <col min="277" max="278" width="9.625" style="144" customWidth="1"/>
    <col min="279" max="279" width="9.25" style="144" bestFit="1" customWidth="1"/>
    <col min="280" max="280" width="11" style="144" bestFit="1" customWidth="1"/>
    <col min="281" max="513" width="9" style="144"/>
    <col min="514" max="514" width="4.625" style="144" bestFit="1" customWidth="1"/>
    <col min="515" max="515" width="7.5" style="144" bestFit="1" customWidth="1"/>
    <col min="516" max="516" width="6.25" style="144" customWidth="1"/>
    <col min="517" max="517" width="11" style="144" bestFit="1" customWidth="1"/>
    <col min="518" max="519" width="9.625" style="144" bestFit="1" customWidth="1"/>
    <col min="520" max="520" width="8.25" style="144" bestFit="1" customWidth="1"/>
    <col min="521" max="522" width="9.625" style="144" bestFit="1" customWidth="1"/>
    <col min="523" max="523" width="8.25" style="144" bestFit="1" customWidth="1"/>
    <col min="524" max="525" width="9.625" style="144" bestFit="1" customWidth="1"/>
    <col min="526" max="527" width="8.25" style="144" bestFit="1" customWidth="1"/>
    <col min="528" max="528" width="11" style="144" bestFit="1" customWidth="1"/>
    <col min="529" max="529" width="8" style="144" bestFit="1" customWidth="1"/>
    <col min="530" max="530" width="7.75" style="144" bestFit="1" customWidth="1"/>
    <col min="531" max="532" width="9.625" style="144" bestFit="1" customWidth="1"/>
    <col min="533" max="534" width="9.625" style="144" customWidth="1"/>
    <col min="535" max="535" width="9.25" style="144" bestFit="1" customWidth="1"/>
    <col min="536" max="536" width="11" style="144" bestFit="1" customWidth="1"/>
    <col min="537" max="769" width="9" style="144"/>
    <col min="770" max="770" width="4.625" style="144" bestFit="1" customWidth="1"/>
    <col min="771" max="771" width="7.5" style="144" bestFit="1" customWidth="1"/>
    <col min="772" max="772" width="6.25" style="144" customWidth="1"/>
    <col min="773" max="773" width="11" style="144" bestFit="1" customWidth="1"/>
    <col min="774" max="775" width="9.625" style="144" bestFit="1" customWidth="1"/>
    <col min="776" max="776" width="8.25" style="144" bestFit="1" customWidth="1"/>
    <col min="777" max="778" width="9.625" style="144" bestFit="1" customWidth="1"/>
    <col min="779" max="779" width="8.25" style="144" bestFit="1" customWidth="1"/>
    <col min="780" max="781" width="9.625" style="144" bestFit="1" customWidth="1"/>
    <col min="782" max="783" width="8.25" style="144" bestFit="1" customWidth="1"/>
    <col min="784" max="784" width="11" style="144" bestFit="1" customWidth="1"/>
    <col min="785" max="785" width="8" style="144" bestFit="1" customWidth="1"/>
    <col min="786" max="786" width="7.75" style="144" bestFit="1" customWidth="1"/>
    <col min="787" max="788" width="9.625" style="144" bestFit="1" customWidth="1"/>
    <col min="789" max="790" width="9.625" style="144" customWidth="1"/>
    <col min="791" max="791" width="9.25" style="144" bestFit="1" customWidth="1"/>
    <col min="792" max="792" width="11" style="144" bestFit="1" customWidth="1"/>
    <col min="793" max="1025" width="9" style="144"/>
    <col min="1026" max="1026" width="4.625" style="144" bestFit="1" customWidth="1"/>
    <col min="1027" max="1027" width="7.5" style="144" bestFit="1" customWidth="1"/>
    <col min="1028" max="1028" width="6.25" style="144" customWidth="1"/>
    <col min="1029" max="1029" width="11" style="144" bestFit="1" customWidth="1"/>
    <col min="1030" max="1031" width="9.625" style="144" bestFit="1" customWidth="1"/>
    <col min="1032" max="1032" width="8.25" style="144" bestFit="1" customWidth="1"/>
    <col min="1033" max="1034" width="9.625" style="144" bestFit="1" customWidth="1"/>
    <col min="1035" max="1035" width="8.25" style="144" bestFit="1" customWidth="1"/>
    <col min="1036" max="1037" width="9.625" style="144" bestFit="1" customWidth="1"/>
    <col min="1038" max="1039" width="8.25" style="144" bestFit="1" customWidth="1"/>
    <col min="1040" max="1040" width="11" style="144" bestFit="1" customWidth="1"/>
    <col min="1041" max="1041" width="8" style="144" bestFit="1" customWidth="1"/>
    <col min="1042" max="1042" width="7.75" style="144" bestFit="1" customWidth="1"/>
    <col min="1043" max="1044" width="9.625" style="144" bestFit="1" customWidth="1"/>
    <col min="1045" max="1046" width="9.625" style="144" customWidth="1"/>
    <col min="1047" max="1047" width="9.25" style="144" bestFit="1" customWidth="1"/>
    <col min="1048" max="1048" width="11" style="144" bestFit="1" customWidth="1"/>
    <col min="1049" max="1281" width="9" style="144"/>
    <col min="1282" max="1282" width="4.625" style="144" bestFit="1" customWidth="1"/>
    <col min="1283" max="1283" width="7.5" style="144" bestFit="1" customWidth="1"/>
    <col min="1284" max="1284" width="6.25" style="144" customWidth="1"/>
    <col min="1285" max="1285" width="11" style="144" bestFit="1" customWidth="1"/>
    <col min="1286" max="1287" width="9.625" style="144" bestFit="1" customWidth="1"/>
    <col min="1288" max="1288" width="8.25" style="144" bestFit="1" customWidth="1"/>
    <col min="1289" max="1290" width="9.625" style="144" bestFit="1" customWidth="1"/>
    <col min="1291" max="1291" width="8.25" style="144" bestFit="1" customWidth="1"/>
    <col min="1292" max="1293" width="9.625" style="144" bestFit="1" customWidth="1"/>
    <col min="1294" max="1295" width="8.25" style="144" bestFit="1" customWidth="1"/>
    <col min="1296" max="1296" width="11" style="144" bestFit="1" customWidth="1"/>
    <col min="1297" max="1297" width="8" style="144" bestFit="1" customWidth="1"/>
    <col min="1298" max="1298" width="7.75" style="144" bestFit="1" customWidth="1"/>
    <col min="1299" max="1300" width="9.625" style="144" bestFit="1" customWidth="1"/>
    <col min="1301" max="1302" width="9.625" style="144" customWidth="1"/>
    <col min="1303" max="1303" width="9.25" style="144" bestFit="1" customWidth="1"/>
    <col min="1304" max="1304" width="11" style="144" bestFit="1" customWidth="1"/>
    <col min="1305" max="1537" width="9" style="144"/>
    <col min="1538" max="1538" width="4.625" style="144" bestFit="1" customWidth="1"/>
    <col min="1539" max="1539" width="7.5" style="144" bestFit="1" customWidth="1"/>
    <col min="1540" max="1540" width="6.25" style="144" customWidth="1"/>
    <col min="1541" max="1541" width="11" style="144" bestFit="1" customWidth="1"/>
    <col min="1542" max="1543" width="9.625" style="144" bestFit="1" customWidth="1"/>
    <col min="1544" max="1544" width="8.25" style="144" bestFit="1" customWidth="1"/>
    <col min="1545" max="1546" width="9.625" style="144" bestFit="1" customWidth="1"/>
    <col min="1547" max="1547" width="8.25" style="144" bestFit="1" customWidth="1"/>
    <col min="1548" max="1549" width="9.625" style="144" bestFit="1" customWidth="1"/>
    <col min="1550" max="1551" width="8.25" style="144" bestFit="1" customWidth="1"/>
    <col min="1552" max="1552" width="11" style="144" bestFit="1" customWidth="1"/>
    <col min="1553" max="1553" width="8" style="144" bestFit="1" customWidth="1"/>
    <col min="1554" max="1554" width="7.75" style="144" bestFit="1" customWidth="1"/>
    <col min="1555" max="1556" width="9.625" style="144" bestFit="1" customWidth="1"/>
    <col min="1557" max="1558" width="9.625" style="144" customWidth="1"/>
    <col min="1559" max="1559" width="9.25" style="144" bestFit="1" customWidth="1"/>
    <col min="1560" max="1560" width="11" style="144" bestFit="1" customWidth="1"/>
    <col min="1561" max="1793" width="9" style="144"/>
    <col min="1794" max="1794" width="4.625" style="144" bestFit="1" customWidth="1"/>
    <col min="1795" max="1795" width="7.5" style="144" bestFit="1" customWidth="1"/>
    <col min="1796" max="1796" width="6.25" style="144" customWidth="1"/>
    <col min="1797" max="1797" width="11" style="144" bestFit="1" customWidth="1"/>
    <col min="1798" max="1799" width="9.625" style="144" bestFit="1" customWidth="1"/>
    <col min="1800" max="1800" width="8.25" style="144" bestFit="1" customWidth="1"/>
    <col min="1801" max="1802" width="9.625" style="144" bestFit="1" customWidth="1"/>
    <col min="1803" max="1803" width="8.25" style="144" bestFit="1" customWidth="1"/>
    <col min="1804" max="1805" width="9.625" style="144" bestFit="1" customWidth="1"/>
    <col min="1806" max="1807" width="8.25" style="144" bestFit="1" customWidth="1"/>
    <col min="1808" max="1808" width="11" style="144" bestFit="1" customWidth="1"/>
    <col min="1809" max="1809" width="8" style="144" bestFit="1" customWidth="1"/>
    <col min="1810" max="1810" width="7.75" style="144" bestFit="1" customWidth="1"/>
    <col min="1811" max="1812" width="9.625" style="144" bestFit="1" customWidth="1"/>
    <col min="1813" max="1814" width="9.625" style="144" customWidth="1"/>
    <col min="1815" max="1815" width="9.25" style="144" bestFit="1" customWidth="1"/>
    <col min="1816" max="1816" width="11" style="144" bestFit="1" customWidth="1"/>
    <col min="1817" max="2049" width="9" style="144"/>
    <col min="2050" max="2050" width="4.625" style="144" bestFit="1" customWidth="1"/>
    <col min="2051" max="2051" width="7.5" style="144" bestFit="1" customWidth="1"/>
    <col min="2052" max="2052" width="6.25" style="144" customWidth="1"/>
    <col min="2053" max="2053" width="11" style="144" bestFit="1" customWidth="1"/>
    <col min="2054" max="2055" width="9.625" style="144" bestFit="1" customWidth="1"/>
    <col min="2056" max="2056" width="8.25" style="144" bestFit="1" customWidth="1"/>
    <col min="2057" max="2058" width="9.625" style="144" bestFit="1" customWidth="1"/>
    <col min="2059" max="2059" width="8.25" style="144" bestFit="1" customWidth="1"/>
    <col min="2060" max="2061" width="9.625" style="144" bestFit="1" customWidth="1"/>
    <col min="2062" max="2063" width="8.25" style="144" bestFit="1" customWidth="1"/>
    <col min="2064" max="2064" width="11" style="144" bestFit="1" customWidth="1"/>
    <col min="2065" max="2065" width="8" style="144" bestFit="1" customWidth="1"/>
    <col min="2066" max="2066" width="7.75" style="144" bestFit="1" customWidth="1"/>
    <col min="2067" max="2068" width="9.625" style="144" bestFit="1" customWidth="1"/>
    <col min="2069" max="2070" width="9.625" style="144" customWidth="1"/>
    <col min="2071" max="2071" width="9.25" style="144" bestFit="1" customWidth="1"/>
    <col min="2072" max="2072" width="11" style="144" bestFit="1" customWidth="1"/>
    <col min="2073" max="2305" width="9" style="144"/>
    <col min="2306" max="2306" width="4.625" style="144" bestFit="1" customWidth="1"/>
    <col min="2307" max="2307" width="7.5" style="144" bestFit="1" customWidth="1"/>
    <col min="2308" max="2308" width="6.25" style="144" customWidth="1"/>
    <col min="2309" max="2309" width="11" style="144" bestFit="1" customWidth="1"/>
    <col min="2310" max="2311" width="9.625" style="144" bestFit="1" customWidth="1"/>
    <col min="2312" max="2312" width="8.25" style="144" bestFit="1" customWidth="1"/>
    <col min="2313" max="2314" width="9.625" style="144" bestFit="1" customWidth="1"/>
    <col min="2315" max="2315" width="8.25" style="144" bestFit="1" customWidth="1"/>
    <col min="2316" max="2317" width="9.625" style="144" bestFit="1" customWidth="1"/>
    <col min="2318" max="2319" width="8.25" style="144" bestFit="1" customWidth="1"/>
    <col min="2320" max="2320" width="11" style="144" bestFit="1" customWidth="1"/>
    <col min="2321" max="2321" width="8" style="144" bestFit="1" customWidth="1"/>
    <col min="2322" max="2322" width="7.75" style="144" bestFit="1" customWidth="1"/>
    <col min="2323" max="2324" width="9.625" style="144" bestFit="1" customWidth="1"/>
    <col min="2325" max="2326" width="9.625" style="144" customWidth="1"/>
    <col min="2327" max="2327" width="9.25" style="144" bestFit="1" customWidth="1"/>
    <col min="2328" max="2328" width="11" style="144" bestFit="1" customWidth="1"/>
    <col min="2329" max="2561" width="9" style="144"/>
    <col min="2562" max="2562" width="4.625" style="144" bestFit="1" customWidth="1"/>
    <col min="2563" max="2563" width="7.5" style="144" bestFit="1" customWidth="1"/>
    <col min="2564" max="2564" width="6.25" style="144" customWidth="1"/>
    <col min="2565" max="2565" width="11" style="144" bestFit="1" customWidth="1"/>
    <col min="2566" max="2567" width="9.625" style="144" bestFit="1" customWidth="1"/>
    <col min="2568" max="2568" width="8.25" style="144" bestFit="1" customWidth="1"/>
    <col min="2569" max="2570" width="9.625" style="144" bestFit="1" customWidth="1"/>
    <col min="2571" max="2571" width="8.25" style="144" bestFit="1" customWidth="1"/>
    <col min="2572" max="2573" width="9.625" style="144" bestFit="1" customWidth="1"/>
    <col min="2574" max="2575" width="8.25" style="144" bestFit="1" customWidth="1"/>
    <col min="2576" max="2576" width="11" style="144" bestFit="1" customWidth="1"/>
    <col min="2577" max="2577" width="8" style="144" bestFit="1" customWidth="1"/>
    <col min="2578" max="2578" width="7.75" style="144" bestFit="1" customWidth="1"/>
    <col min="2579" max="2580" width="9.625" style="144" bestFit="1" customWidth="1"/>
    <col min="2581" max="2582" width="9.625" style="144" customWidth="1"/>
    <col min="2583" max="2583" width="9.25" style="144" bestFit="1" customWidth="1"/>
    <col min="2584" max="2584" width="11" style="144" bestFit="1" customWidth="1"/>
    <col min="2585" max="2817" width="9" style="144"/>
    <col min="2818" max="2818" width="4.625" style="144" bestFit="1" customWidth="1"/>
    <col min="2819" max="2819" width="7.5" style="144" bestFit="1" customWidth="1"/>
    <col min="2820" max="2820" width="6.25" style="144" customWidth="1"/>
    <col min="2821" max="2821" width="11" style="144" bestFit="1" customWidth="1"/>
    <col min="2822" max="2823" width="9.625" style="144" bestFit="1" customWidth="1"/>
    <col min="2824" max="2824" width="8.25" style="144" bestFit="1" customWidth="1"/>
    <col min="2825" max="2826" width="9.625" style="144" bestFit="1" customWidth="1"/>
    <col min="2827" max="2827" width="8.25" style="144" bestFit="1" customWidth="1"/>
    <col min="2828" max="2829" width="9.625" style="144" bestFit="1" customWidth="1"/>
    <col min="2830" max="2831" width="8.25" style="144" bestFit="1" customWidth="1"/>
    <col min="2832" max="2832" width="11" style="144" bestFit="1" customWidth="1"/>
    <col min="2833" max="2833" width="8" style="144" bestFit="1" customWidth="1"/>
    <col min="2834" max="2834" width="7.75" style="144" bestFit="1" customWidth="1"/>
    <col min="2835" max="2836" width="9.625" style="144" bestFit="1" customWidth="1"/>
    <col min="2837" max="2838" width="9.625" style="144" customWidth="1"/>
    <col min="2839" max="2839" width="9.25" style="144" bestFit="1" customWidth="1"/>
    <col min="2840" max="2840" width="11" style="144" bestFit="1" customWidth="1"/>
    <col min="2841" max="3073" width="9" style="144"/>
    <col min="3074" max="3074" width="4.625" style="144" bestFit="1" customWidth="1"/>
    <col min="3075" max="3075" width="7.5" style="144" bestFit="1" customWidth="1"/>
    <col min="3076" max="3076" width="6.25" style="144" customWidth="1"/>
    <col min="3077" max="3077" width="11" style="144" bestFit="1" customWidth="1"/>
    <col min="3078" max="3079" width="9.625" style="144" bestFit="1" customWidth="1"/>
    <col min="3080" max="3080" width="8.25" style="144" bestFit="1" customWidth="1"/>
    <col min="3081" max="3082" width="9.625" style="144" bestFit="1" customWidth="1"/>
    <col min="3083" max="3083" width="8.25" style="144" bestFit="1" customWidth="1"/>
    <col min="3084" max="3085" width="9.625" style="144" bestFit="1" customWidth="1"/>
    <col min="3086" max="3087" width="8.25" style="144" bestFit="1" customWidth="1"/>
    <col min="3088" max="3088" width="11" style="144" bestFit="1" customWidth="1"/>
    <col min="3089" max="3089" width="8" style="144" bestFit="1" customWidth="1"/>
    <col min="3090" max="3090" width="7.75" style="144" bestFit="1" customWidth="1"/>
    <col min="3091" max="3092" width="9.625" style="144" bestFit="1" customWidth="1"/>
    <col min="3093" max="3094" width="9.625" style="144" customWidth="1"/>
    <col min="3095" max="3095" width="9.25" style="144" bestFit="1" customWidth="1"/>
    <col min="3096" max="3096" width="11" style="144" bestFit="1" customWidth="1"/>
    <col min="3097" max="3329" width="9" style="144"/>
    <col min="3330" max="3330" width="4.625" style="144" bestFit="1" customWidth="1"/>
    <col min="3331" max="3331" width="7.5" style="144" bestFit="1" customWidth="1"/>
    <col min="3332" max="3332" width="6.25" style="144" customWidth="1"/>
    <col min="3333" max="3333" width="11" style="144" bestFit="1" customWidth="1"/>
    <col min="3334" max="3335" width="9.625" style="144" bestFit="1" customWidth="1"/>
    <col min="3336" max="3336" width="8.25" style="144" bestFit="1" customWidth="1"/>
    <col min="3337" max="3338" width="9.625" style="144" bestFit="1" customWidth="1"/>
    <col min="3339" max="3339" width="8.25" style="144" bestFit="1" customWidth="1"/>
    <col min="3340" max="3341" width="9.625" style="144" bestFit="1" customWidth="1"/>
    <col min="3342" max="3343" width="8.25" style="144" bestFit="1" customWidth="1"/>
    <col min="3344" max="3344" width="11" style="144" bestFit="1" customWidth="1"/>
    <col min="3345" max="3345" width="8" style="144" bestFit="1" customWidth="1"/>
    <col min="3346" max="3346" width="7.75" style="144" bestFit="1" customWidth="1"/>
    <col min="3347" max="3348" width="9.625" style="144" bestFit="1" customWidth="1"/>
    <col min="3349" max="3350" width="9.625" style="144" customWidth="1"/>
    <col min="3351" max="3351" width="9.25" style="144" bestFit="1" customWidth="1"/>
    <col min="3352" max="3352" width="11" style="144" bestFit="1" customWidth="1"/>
    <col min="3353" max="3585" width="9" style="144"/>
    <col min="3586" max="3586" width="4.625" style="144" bestFit="1" customWidth="1"/>
    <col min="3587" max="3587" width="7.5" style="144" bestFit="1" customWidth="1"/>
    <col min="3588" max="3588" width="6.25" style="144" customWidth="1"/>
    <col min="3589" max="3589" width="11" style="144" bestFit="1" customWidth="1"/>
    <col min="3590" max="3591" width="9.625" style="144" bestFit="1" customWidth="1"/>
    <col min="3592" max="3592" width="8.25" style="144" bestFit="1" customWidth="1"/>
    <col min="3593" max="3594" width="9.625" style="144" bestFit="1" customWidth="1"/>
    <col min="3595" max="3595" width="8.25" style="144" bestFit="1" customWidth="1"/>
    <col min="3596" max="3597" width="9.625" style="144" bestFit="1" customWidth="1"/>
    <col min="3598" max="3599" width="8.25" style="144" bestFit="1" customWidth="1"/>
    <col min="3600" max="3600" width="11" style="144" bestFit="1" customWidth="1"/>
    <col min="3601" max="3601" width="8" style="144" bestFit="1" customWidth="1"/>
    <col min="3602" max="3602" width="7.75" style="144" bestFit="1" customWidth="1"/>
    <col min="3603" max="3604" width="9.625" style="144" bestFit="1" customWidth="1"/>
    <col min="3605" max="3606" width="9.625" style="144" customWidth="1"/>
    <col min="3607" max="3607" width="9.25" style="144" bestFit="1" customWidth="1"/>
    <col min="3608" max="3608" width="11" style="144" bestFit="1" customWidth="1"/>
    <col min="3609" max="3841" width="9" style="144"/>
    <col min="3842" max="3842" width="4.625" style="144" bestFit="1" customWidth="1"/>
    <col min="3843" max="3843" width="7.5" style="144" bestFit="1" customWidth="1"/>
    <col min="3844" max="3844" width="6.25" style="144" customWidth="1"/>
    <col min="3845" max="3845" width="11" style="144" bestFit="1" customWidth="1"/>
    <col min="3846" max="3847" width="9.625" style="144" bestFit="1" customWidth="1"/>
    <col min="3848" max="3848" width="8.25" style="144" bestFit="1" customWidth="1"/>
    <col min="3849" max="3850" width="9.625" style="144" bestFit="1" customWidth="1"/>
    <col min="3851" max="3851" width="8.25" style="144" bestFit="1" customWidth="1"/>
    <col min="3852" max="3853" width="9.625" style="144" bestFit="1" customWidth="1"/>
    <col min="3854" max="3855" width="8.25" style="144" bestFit="1" customWidth="1"/>
    <col min="3856" max="3856" width="11" style="144" bestFit="1" customWidth="1"/>
    <col min="3857" max="3857" width="8" style="144" bestFit="1" customWidth="1"/>
    <col min="3858" max="3858" width="7.75" style="144" bestFit="1" customWidth="1"/>
    <col min="3859" max="3860" width="9.625" style="144" bestFit="1" customWidth="1"/>
    <col min="3861" max="3862" width="9.625" style="144" customWidth="1"/>
    <col min="3863" max="3863" width="9.25" style="144" bestFit="1" customWidth="1"/>
    <col min="3864" max="3864" width="11" style="144" bestFit="1" customWidth="1"/>
    <col min="3865" max="4097" width="9" style="144"/>
    <col min="4098" max="4098" width="4.625" style="144" bestFit="1" customWidth="1"/>
    <col min="4099" max="4099" width="7.5" style="144" bestFit="1" customWidth="1"/>
    <col min="4100" max="4100" width="6.25" style="144" customWidth="1"/>
    <col min="4101" max="4101" width="11" style="144" bestFit="1" customWidth="1"/>
    <col min="4102" max="4103" width="9.625" style="144" bestFit="1" customWidth="1"/>
    <col min="4104" max="4104" width="8.25" style="144" bestFit="1" customWidth="1"/>
    <col min="4105" max="4106" width="9.625" style="144" bestFit="1" customWidth="1"/>
    <col min="4107" max="4107" width="8.25" style="144" bestFit="1" customWidth="1"/>
    <col min="4108" max="4109" width="9.625" style="144" bestFit="1" customWidth="1"/>
    <col min="4110" max="4111" width="8.25" style="144" bestFit="1" customWidth="1"/>
    <col min="4112" max="4112" width="11" style="144" bestFit="1" customWidth="1"/>
    <col min="4113" max="4113" width="8" style="144" bestFit="1" customWidth="1"/>
    <col min="4114" max="4114" width="7.75" style="144" bestFit="1" customWidth="1"/>
    <col min="4115" max="4116" width="9.625" style="144" bestFit="1" customWidth="1"/>
    <col min="4117" max="4118" width="9.625" style="144" customWidth="1"/>
    <col min="4119" max="4119" width="9.25" style="144" bestFit="1" customWidth="1"/>
    <col min="4120" max="4120" width="11" style="144" bestFit="1" customWidth="1"/>
    <col min="4121" max="4353" width="9" style="144"/>
    <col min="4354" max="4354" width="4.625" style="144" bestFit="1" customWidth="1"/>
    <col min="4355" max="4355" width="7.5" style="144" bestFit="1" customWidth="1"/>
    <col min="4356" max="4356" width="6.25" style="144" customWidth="1"/>
    <col min="4357" max="4357" width="11" style="144" bestFit="1" customWidth="1"/>
    <col min="4358" max="4359" width="9.625" style="144" bestFit="1" customWidth="1"/>
    <col min="4360" max="4360" width="8.25" style="144" bestFit="1" customWidth="1"/>
    <col min="4361" max="4362" width="9.625" style="144" bestFit="1" customWidth="1"/>
    <col min="4363" max="4363" width="8.25" style="144" bestFit="1" customWidth="1"/>
    <col min="4364" max="4365" width="9.625" style="144" bestFit="1" customWidth="1"/>
    <col min="4366" max="4367" width="8.25" style="144" bestFit="1" customWidth="1"/>
    <col min="4368" max="4368" width="11" style="144" bestFit="1" customWidth="1"/>
    <col min="4369" max="4369" width="8" style="144" bestFit="1" customWidth="1"/>
    <col min="4370" max="4370" width="7.75" style="144" bestFit="1" customWidth="1"/>
    <col min="4371" max="4372" width="9.625" style="144" bestFit="1" customWidth="1"/>
    <col min="4373" max="4374" width="9.625" style="144" customWidth="1"/>
    <col min="4375" max="4375" width="9.25" style="144" bestFit="1" customWidth="1"/>
    <col min="4376" max="4376" width="11" style="144" bestFit="1" customWidth="1"/>
    <col min="4377" max="4609" width="9" style="144"/>
    <col min="4610" max="4610" width="4.625" style="144" bestFit="1" customWidth="1"/>
    <col min="4611" max="4611" width="7.5" style="144" bestFit="1" customWidth="1"/>
    <col min="4612" max="4612" width="6.25" style="144" customWidth="1"/>
    <col min="4613" max="4613" width="11" style="144" bestFit="1" customWidth="1"/>
    <col min="4614" max="4615" width="9.625" style="144" bestFit="1" customWidth="1"/>
    <col min="4616" max="4616" width="8.25" style="144" bestFit="1" customWidth="1"/>
    <col min="4617" max="4618" width="9.625" style="144" bestFit="1" customWidth="1"/>
    <col min="4619" max="4619" width="8.25" style="144" bestFit="1" customWidth="1"/>
    <col min="4620" max="4621" width="9.625" style="144" bestFit="1" customWidth="1"/>
    <col min="4622" max="4623" width="8.25" style="144" bestFit="1" customWidth="1"/>
    <col min="4624" max="4624" width="11" style="144" bestFit="1" customWidth="1"/>
    <col min="4625" max="4625" width="8" style="144" bestFit="1" customWidth="1"/>
    <col min="4626" max="4626" width="7.75" style="144" bestFit="1" customWidth="1"/>
    <col min="4627" max="4628" width="9.625" style="144" bestFit="1" customWidth="1"/>
    <col min="4629" max="4630" width="9.625" style="144" customWidth="1"/>
    <col min="4631" max="4631" width="9.25" style="144" bestFit="1" customWidth="1"/>
    <col min="4632" max="4632" width="11" style="144" bestFit="1" customWidth="1"/>
    <col min="4633" max="4865" width="9" style="144"/>
    <col min="4866" max="4866" width="4.625" style="144" bestFit="1" customWidth="1"/>
    <col min="4867" max="4867" width="7.5" style="144" bestFit="1" customWidth="1"/>
    <col min="4868" max="4868" width="6.25" style="144" customWidth="1"/>
    <col min="4869" max="4869" width="11" style="144" bestFit="1" customWidth="1"/>
    <col min="4870" max="4871" width="9.625" style="144" bestFit="1" customWidth="1"/>
    <col min="4872" max="4872" width="8.25" style="144" bestFit="1" customWidth="1"/>
    <col min="4873" max="4874" width="9.625" style="144" bestFit="1" customWidth="1"/>
    <col min="4875" max="4875" width="8.25" style="144" bestFit="1" customWidth="1"/>
    <col min="4876" max="4877" width="9.625" style="144" bestFit="1" customWidth="1"/>
    <col min="4878" max="4879" width="8.25" style="144" bestFit="1" customWidth="1"/>
    <col min="4880" max="4880" width="11" style="144" bestFit="1" customWidth="1"/>
    <col min="4881" max="4881" width="8" style="144" bestFit="1" customWidth="1"/>
    <col min="4882" max="4882" width="7.75" style="144" bestFit="1" customWidth="1"/>
    <col min="4883" max="4884" width="9.625" style="144" bestFit="1" customWidth="1"/>
    <col min="4885" max="4886" width="9.625" style="144" customWidth="1"/>
    <col min="4887" max="4887" width="9.25" style="144" bestFit="1" customWidth="1"/>
    <col min="4888" max="4888" width="11" style="144" bestFit="1" customWidth="1"/>
    <col min="4889" max="5121" width="9" style="144"/>
    <col min="5122" max="5122" width="4.625" style="144" bestFit="1" customWidth="1"/>
    <col min="5123" max="5123" width="7.5" style="144" bestFit="1" customWidth="1"/>
    <col min="5124" max="5124" width="6.25" style="144" customWidth="1"/>
    <col min="5125" max="5125" width="11" style="144" bestFit="1" customWidth="1"/>
    <col min="5126" max="5127" width="9.625" style="144" bestFit="1" customWidth="1"/>
    <col min="5128" max="5128" width="8.25" style="144" bestFit="1" customWidth="1"/>
    <col min="5129" max="5130" width="9.625" style="144" bestFit="1" customWidth="1"/>
    <col min="5131" max="5131" width="8.25" style="144" bestFit="1" customWidth="1"/>
    <col min="5132" max="5133" width="9.625" style="144" bestFit="1" customWidth="1"/>
    <col min="5134" max="5135" width="8.25" style="144" bestFit="1" customWidth="1"/>
    <col min="5136" max="5136" width="11" style="144" bestFit="1" customWidth="1"/>
    <col min="5137" max="5137" width="8" style="144" bestFit="1" customWidth="1"/>
    <col min="5138" max="5138" width="7.75" style="144" bestFit="1" customWidth="1"/>
    <col min="5139" max="5140" width="9.625" style="144" bestFit="1" customWidth="1"/>
    <col min="5141" max="5142" width="9.625" style="144" customWidth="1"/>
    <col min="5143" max="5143" width="9.25" style="144" bestFit="1" customWidth="1"/>
    <col min="5144" max="5144" width="11" style="144" bestFit="1" customWidth="1"/>
    <col min="5145" max="5377" width="9" style="144"/>
    <col min="5378" max="5378" width="4.625" style="144" bestFit="1" customWidth="1"/>
    <col min="5379" max="5379" width="7.5" style="144" bestFit="1" customWidth="1"/>
    <col min="5380" max="5380" width="6.25" style="144" customWidth="1"/>
    <col min="5381" max="5381" width="11" style="144" bestFit="1" customWidth="1"/>
    <col min="5382" max="5383" width="9.625" style="144" bestFit="1" customWidth="1"/>
    <col min="5384" max="5384" width="8.25" style="144" bestFit="1" customWidth="1"/>
    <col min="5385" max="5386" width="9.625" style="144" bestFit="1" customWidth="1"/>
    <col min="5387" max="5387" width="8.25" style="144" bestFit="1" customWidth="1"/>
    <col min="5388" max="5389" width="9.625" style="144" bestFit="1" customWidth="1"/>
    <col min="5390" max="5391" width="8.25" style="144" bestFit="1" customWidth="1"/>
    <col min="5392" max="5392" width="11" style="144" bestFit="1" customWidth="1"/>
    <col min="5393" max="5393" width="8" style="144" bestFit="1" customWidth="1"/>
    <col min="5394" max="5394" width="7.75" style="144" bestFit="1" customWidth="1"/>
    <col min="5395" max="5396" width="9.625" style="144" bestFit="1" customWidth="1"/>
    <col min="5397" max="5398" width="9.625" style="144" customWidth="1"/>
    <col min="5399" max="5399" width="9.25" style="144" bestFit="1" customWidth="1"/>
    <col min="5400" max="5400" width="11" style="144" bestFit="1" customWidth="1"/>
    <col min="5401" max="5633" width="9" style="144"/>
    <col min="5634" max="5634" width="4.625" style="144" bestFit="1" customWidth="1"/>
    <col min="5635" max="5635" width="7.5" style="144" bestFit="1" customWidth="1"/>
    <col min="5636" max="5636" width="6.25" style="144" customWidth="1"/>
    <col min="5637" max="5637" width="11" style="144" bestFit="1" customWidth="1"/>
    <col min="5638" max="5639" width="9.625" style="144" bestFit="1" customWidth="1"/>
    <col min="5640" max="5640" width="8.25" style="144" bestFit="1" customWidth="1"/>
    <col min="5641" max="5642" width="9.625" style="144" bestFit="1" customWidth="1"/>
    <col min="5643" max="5643" width="8.25" style="144" bestFit="1" customWidth="1"/>
    <col min="5644" max="5645" width="9.625" style="144" bestFit="1" customWidth="1"/>
    <col min="5646" max="5647" width="8.25" style="144" bestFit="1" customWidth="1"/>
    <col min="5648" max="5648" width="11" style="144" bestFit="1" customWidth="1"/>
    <col min="5649" max="5649" width="8" style="144" bestFit="1" customWidth="1"/>
    <col min="5650" max="5650" width="7.75" style="144" bestFit="1" customWidth="1"/>
    <col min="5651" max="5652" width="9.625" style="144" bestFit="1" customWidth="1"/>
    <col min="5653" max="5654" width="9.625" style="144" customWidth="1"/>
    <col min="5655" max="5655" width="9.25" style="144" bestFit="1" customWidth="1"/>
    <col min="5656" max="5656" width="11" style="144" bestFit="1" customWidth="1"/>
    <col min="5657" max="5889" width="9" style="144"/>
    <col min="5890" max="5890" width="4.625" style="144" bestFit="1" customWidth="1"/>
    <col min="5891" max="5891" width="7.5" style="144" bestFit="1" customWidth="1"/>
    <col min="5892" max="5892" width="6.25" style="144" customWidth="1"/>
    <col min="5893" max="5893" width="11" style="144" bestFit="1" customWidth="1"/>
    <col min="5894" max="5895" width="9.625" style="144" bestFit="1" customWidth="1"/>
    <col min="5896" max="5896" width="8.25" style="144" bestFit="1" customWidth="1"/>
    <col min="5897" max="5898" width="9.625" style="144" bestFit="1" customWidth="1"/>
    <col min="5899" max="5899" width="8.25" style="144" bestFit="1" customWidth="1"/>
    <col min="5900" max="5901" width="9.625" style="144" bestFit="1" customWidth="1"/>
    <col min="5902" max="5903" width="8.25" style="144" bestFit="1" customWidth="1"/>
    <col min="5904" max="5904" width="11" style="144" bestFit="1" customWidth="1"/>
    <col min="5905" max="5905" width="8" style="144" bestFit="1" customWidth="1"/>
    <col min="5906" max="5906" width="7.75" style="144" bestFit="1" customWidth="1"/>
    <col min="5907" max="5908" width="9.625" style="144" bestFit="1" customWidth="1"/>
    <col min="5909" max="5910" width="9.625" style="144" customWidth="1"/>
    <col min="5911" max="5911" width="9.25" style="144" bestFit="1" customWidth="1"/>
    <col min="5912" max="5912" width="11" style="144" bestFit="1" customWidth="1"/>
    <col min="5913" max="6145" width="9" style="144"/>
    <col min="6146" max="6146" width="4.625" style="144" bestFit="1" customWidth="1"/>
    <col min="6147" max="6147" width="7.5" style="144" bestFit="1" customWidth="1"/>
    <col min="6148" max="6148" width="6.25" style="144" customWidth="1"/>
    <col min="6149" max="6149" width="11" style="144" bestFit="1" customWidth="1"/>
    <col min="6150" max="6151" width="9.625" style="144" bestFit="1" customWidth="1"/>
    <col min="6152" max="6152" width="8.25" style="144" bestFit="1" customWidth="1"/>
    <col min="6153" max="6154" width="9.625" style="144" bestFit="1" customWidth="1"/>
    <col min="6155" max="6155" width="8.25" style="144" bestFit="1" customWidth="1"/>
    <col min="6156" max="6157" width="9.625" style="144" bestFit="1" customWidth="1"/>
    <col min="6158" max="6159" width="8.25" style="144" bestFit="1" customWidth="1"/>
    <col min="6160" max="6160" width="11" style="144" bestFit="1" customWidth="1"/>
    <col min="6161" max="6161" width="8" style="144" bestFit="1" customWidth="1"/>
    <col min="6162" max="6162" width="7.75" style="144" bestFit="1" customWidth="1"/>
    <col min="6163" max="6164" width="9.625" style="144" bestFit="1" customWidth="1"/>
    <col min="6165" max="6166" width="9.625" style="144" customWidth="1"/>
    <col min="6167" max="6167" width="9.25" style="144" bestFit="1" customWidth="1"/>
    <col min="6168" max="6168" width="11" style="144" bestFit="1" customWidth="1"/>
    <col min="6169" max="6401" width="9" style="144"/>
    <col min="6402" max="6402" width="4.625" style="144" bestFit="1" customWidth="1"/>
    <col min="6403" max="6403" width="7.5" style="144" bestFit="1" customWidth="1"/>
    <col min="6404" max="6404" width="6.25" style="144" customWidth="1"/>
    <col min="6405" max="6405" width="11" style="144" bestFit="1" customWidth="1"/>
    <col min="6406" max="6407" width="9.625" style="144" bestFit="1" customWidth="1"/>
    <col min="6408" max="6408" width="8.25" style="144" bestFit="1" customWidth="1"/>
    <col min="6409" max="6410" width="9.625" style="144" bestFit="1" customWidth="1"/>
    <col min="6411" max="6411" width="8.25" style="144" bestFit="1" customWidth="1"/>
    <col min="6412" max="6413" width="9.625" style="144" bestFit="1" customWidth="1"/>
    <col min="6414" max="6415" width="8.25" style="144" bestFit="1" customWidth="1"/>
    <col min="6416" max="6416" width="11" style="144" bestFit="1" customWidth="1"/>
    <col min="6417" max="6417" width="8" style="144" bestFit="1" customWidth="1"/>
    <col min="6418" max="6418" width="7.75" style="144" bestFit="1" customWidth="1"/>
    <col min="6419" max="6420" width="9.625" style="144" bestFit="1" customWidth="1"/>
    <col min="6421" max="6422" width="9.625" style="144" customWidth="1"/>
    <col min="6423" max="6423" width="9.25" style="144" bestFit="1" customWidth="1"/>
    <col min="6424" max="6424" width="11" style="144" bestFit="1" customWidth="1"/>
    <col min="6425" max="6657" width="9" style="144"/>
    <col min="6658" max="6658" width="4.625" style="144" bestFit="1" customWidth="1"/>
    <col min="6659" max="6659" width="7.5" style="144" bestFit="1" customWidth="1"/>
    <col min="6660" max="6660" width="6.25" style="144" customWidth="1"/>
    <col min="6661" max="6661" width="11" style="144" bestFit="1" customWidth="1"/>
    <col min="6662" max="6663" width="9.625" style="144" bestFit="1" customWidth="1"/>
    <col min="6664" max="6664" width="8.25" style="144" bestFit="1" customWidth="1"/>
    <col min="6665" max="6666" width="9.625" style="144" bestFit="1" customWidth="1"/>
    <col min="6667" max="6667" width="8.25" style="144" bestFit="1" customWidth="1"/>
    <col min="6668" max="6669" width="9.625" style="144" bestFit="1" customWidth="1"/>
    <col min="6670" max="6671" width="8.25" style="144" bestFit="1" customWidth="1"/>
    <col min="6672" max="6672" width="11" style="144" bestFit="1" customWidth="1"/>
    <col min="6673" max="6673" width="8" style="144" bestFit="1" customWidth="1"/>
    <col min="6674" max="6674" width="7.75" style="144" bestFit="1" customWidth="1"/>
    <col min="6675" max="6676" width="9.625" style="144" bestFit="1" customWidth="1"/>
    <col min="6677" max="6678" width="9.625" style="144" customWidth="1"/>
    <col min="6679" max="6679" width="9.25" style="144" bestFit="1" customWidth="1"/>
    <col min="6680" max="6680" width="11" style="144" bestFit="1" customWidth="1"/>
    <col min="6681" max="6913" width="9" style="144"/>
    <col min="6914" max="6914" width="4.625" style="144" bestFit="1" customWidth="1"/>
    <col min="6915" max="6915" width="7.5" style="144" bestFit="1" customWidth="1"/>
    <col min="6916" max="6916" width="6.25" style="144" customWidth="1"/>
    <col min="6917" max="6917" width="11" style="144" bestFit="1" customWidth="1"/>
    <col min="6918" max="6919" width="9.625" style="144" bestFit="1" customWidth="1"/>
    <col min="6920" max="6920" width="8.25" style="144" bestFit="1" customWidth="1"/>
    <col min="6921" max="6922" width="9.625" style="144" bestFit="1" customWidth="1"/>
    <col min="6923" max="6923" width="8.25" style="144" bestFit="1" customWidth="1"/>
    <col min="6924" max="6925" width="9.625" style="144" bestFit="1" customWidth="1"/>
    <col min="6926" max="6927" width="8.25" style="144" bestFit="1" customWidth="1"/>
    <col min="6928" max="6928" width="11" style="144" bestFit="1" customWidth="1"/>
    <col min="6929" max="6929" width="8" style="144" bestFit="1" customWidth="1"/>
    <col min="6930" max="6930" width="7.75" style="144" bestFit="1" customWidth="1"/>
    <col min="6931" max="6932" width="9.625" style="144" bestFit="1" customWidth="1"/>
    <col min="6933" max="6934" width="9.625" style="144" customWidth="1"/>
    <col min="6935" max="6935" width="9.25" style="144" bestFit="1" customWidth="1"/>
    <col min="6936" max="6936" width="11" style="144" bestFit="1" customWidth="1"/>
    <col min="6937" max="7169" width="9" style="144"/>
    <col min="7170" max="7170" width="4.625" style="144" bestFit="1" customWidth="1"/>
    <col min="7171" max="7171" width="7.5" style="144" bestFit="1" customWidth="1"/>
    <col min="7172" max="7172" width="6.25" style="144" customWidth="1"/>
    <col min="7173" max="7173" width="11" style="144" bestFit="1" customWidth="1"/>
    <col min="7174" max="7175" width="9.625" style="144" bestFit="1" customWidth="1"/>
    <col min="7176" max="7176" width="8.25" style="144" bestFit="1" customWidth="1"/>
    <col min="7177" max="7178" width="9.625" style="144" bestFit="1" customWidth="1"/>
    <col min="7179" max="7179" width="8.25" style="144" bestFit="1" customWidth="1"/>
    <col min="7180" max="7181" width="9.625" style="144" bestFit="1" customWidth="1"/>
    <col min="7182" max="7183" width="8.25" style="144" bestFit="1" customWidth="1"/>
    <col min="7184" max="7184" width="11" style="144" bestFit="1" customWidth="1"/>
    <col min="7185" max="7185" width="8" style="144" bestFit="1" customWidth="1"/>
    <col min="7186" max="7186" width="7.75" style="144" bestFit="1" customWidth="1"/>
    <col min="7187" max="7188" width="9.625" style="144" bestFit="1" customWidth="1"/>
    <col min="7189" max="7190" width="9.625" style="144" customWidth="1"/>
    <col min="7191" max="7191" width="9.25" style="144" bestFit="1" customWidth="1"/>
    <col min="7192" max="7192" width="11" style="144" bestFit="1" customWidth="1"/>
    <col min="7193" max="7425" width="9" style="144"/>
    <col min="7426" max="7426" width="4.625" style="144" bestFit="1" customWidth="1"/>
    <col min="7427" max="7427" width="7.5" style="144" bestFit="1" customWidth="1"/>
    <col min="7428" max="7428" width="6.25" style="144" customWidth="1"/>
    <col min="7429" max="7429" width="11" style="144" bestFit="1" customWidth="1"/>
    <col min="7430" max="7431" width="9.625" style="144" bestFit="1" customWidth="1"/>
    <col min="7432" max="7432" width="8.25" style="144" bestFit="1" customWidth="1"/>
    <col min="7433" max="7434" width="9.625" style="144" bestFit="1" customWidth="1"/>
    <col min="7435" max="7435" width="8.25" style="144" bestFit="1" customWidth="1"/>
    <col min="7436" max="7437" width="9.625" style="144" bestFit="1" customWidth="1"/>
    <col min="7438" max="7439" width="8.25" style="144" bestFit="1" customWidth="1"/>
    <col min="7440" max="7440" width="11" style="144" bestFit="1" customWidth="1"/>
    <col min="7441" max="7441" width="8" style="144" bestFit="1" customWidth="1"/>
    <col min="7442" max="7442" width="7.75" style="144" bestFit="1" customWidth="1"/>
    <col min="7443" max="7444" width="9.625" style="144" bestFit="1" customWidth="1"/>
    <col min="7445" max="7446" width="9.625" style="144" customWidth="1"/>
    <col min="7447" max="7447" width="9.25" style="144" bestFit="1" customWidth="1"/>
    <col min="7448" max="7448" width="11" style="144" bestFit="1" customWidth="1"/>
    <col min="7449" max="7681" width="9" style="144"/>
    <col min="7682" max="7682" width="4.625" style="144" bestFit="1" customWidth="1"/>
    <col min="7683" max="7683" width="7.5" style="144" bestFit="1" customWidth="1"/>
    <col min="7684" max="7684" width="6.25" style="144" customWidth="1"/>
    <col min="7685" max="7685" width="11" style="144" bestFit="1" customWidth="1"/>
    <col min="7686" max="7687" width="9.625" style="144" bestFit="1" customWidth="1"/>
    <col min="7688" max="7688" width="8.25" style="144" bestFit="1" customWidth="1"/>
    <col min="7689" max="7690" width="9.625" style="144" bestFit="1" customWidth="1"/>
    <col min="7691" max="7691" width="8.25" style="144" bestFit="1" customWidth="1"/>
    <col min="7692" max="7693" width="9.625" style="144" bestFit="1" customWidth="1"/>
    <col min="7694" max="7695" width="8.25" style="144" bestFit="1" customWidth="1"/>
    <col min="7696" max="7696" width="11" style="144" bestFit="1" customWidth="1"/>
    <col min="7697" max="7697" width="8" style="144" bestFit="1" customWidth="1"/>
    <col min="7698" max="7698" width="7.75" style="144" bestFit="1" customWidth="1"/>
    <col min="7699" max="7700" width="9.625" style="144" bestFit="1" customWidth="1"/>
    <col min="7701" max="7702" width="9.625" style="144" customWidth="1"/>
    <col min="7703" max="7703" width="9.25" style="144" bestFit="1" customWidth="1"/>
    <col min="7704" max="7704" width="11" style="144" bestFit="1" customWidth="1"/>
    <col min="7705" max="7937" width="9" style="144"/>
    <col min="7938" max="7938" width="4.625" style="144" bestFit="1" customWidth="1"/>
    <col min="7939" max="7939" width="7.5" style="144" bestFit="1" customWidth="1"/>
    <col min="7940" max="7940" width="6.25" style="144" customWidth="1"/>
    <col min="7941" max="7941" width="11" style="144" bestFit="1" customWidth="1"/>
    <col min="7942" max="7943" width="9.625" style="144" bestFit="1" customWidth="1"/>
    <col min="7944" max="7944" width="8.25" style="144" bestFit="1" customWidth="1"/>
    <col min="7945" max="7946" width="9.625" style="144" bestFit="1" customWidth="1"/>
    <col min="7947" max="7947" width="8.25" style="144" bestFit="1" customWidth="1"/>
    <col min="7948" max="7949" width="9.625" style="144" bestFit="1" customWidth="1"/>
    <col min="7950" max="7951" width="8.25" style="144" bestFit="1" customWidth="1"/>
    <col min="7952" max="7952" width="11" style="144" bestFit="1" customWidth="1"/>
    <col min="7953" max="7953" width="8" style="144" bestFit="1" customWidth="1"/>
    <col min="7954" max="7954" width="7.75" style="144" bestFit="1" customWidth="1"/>
    <col min="7955" max="7956" width="9.625" style="144" bestFit="1" customWidth="1"/>
    <col min="7957" max="7958" width="9.625" style="144" customWidth="1"/>
    <col min="7959" max="7959" width="9.25" style="144" bestFit="1" customWidth="1"/>
    <col min="7960" max="7960" width="11" style="144" bestFit="1" customWidth="1"/>
    <col min="7961" max="8193" width="9" style="144"/>
    <col min="8194" max="8194" width="4.625" style="144" bestFit="1" customWidth="1"/>
    <col min="8195" max="8195" width="7.5" style="144" bestFit="1" customWidth="1"/>
    <col min="8196" max="8196" width="6.25" style="144" customWidth="1"/>
    <col min="8197" max="8197" width="11" style="144" bestFit="1" customWidth="1"/>
    <col min="8198" max="8199" width="9.625" style="144" bestFit="1" customWidth="1"/>
    <col min="8200" max="8200" width="8.25" style="144" bestFit="1" customWidth="1"/>
    <col min="8201" max="8202" width="9.625" style="144" bestFit="1" customWidth="1"/>
    <col min="8203" max="8203" width="8.25" style="144" bestFit="1" customWidth="1"/>
    <col min="8204" max="8205" width="9.625" style="144" bestFit="1" customWidth="1"/>
    <col min="8206" max="8207" width="8.25" style="144" bestFit="1" customWidth="1"/>
    <col min="8208" max="8208" width="11" style="144" bestFit="1" customWidth="1"/>
    <col min="8209" max="8209" width="8" style="144" bestFit="1" customWidth="1"/>
    <col min="8210" max="8210" width="7.75" style="144" bestFit="1" customWidth="1"/>
    <col min="8211" max="8212" width="9.625" style="144" bestFit="1" customWidth="1"/>
    <col min="8213" max="8214" width="9.625" style="144" customWidth="1"/>
    <col min="8215" max="8215" width="9.25" style="144" bestFit="1" customWidth="1"/>
    <col min="8216" max="8216" width="11" style="144" bestFit="1" customWidth="1"/>
    <col min="8217" max="8449" width="9" style="144"/>
    <col min="8450" max="8450" width="4.625" style="144" bestFit="1" customWidth="1"/>
    <col min="8451" max="8451" width="7.5" style="144" bestFit="1" customWidth="1"/>
    <col min="8452" max="8452" width="6.25" style="144" customWidth="1"/>
    <col min="8453" max="8453" width="11" style="144" bestFit="1" customWidth="1"/>
    <col min="8454" max="8455" width="9.625" style="144" bestFit="1" customWidth="1"/>
    <col min="8456" max="8456" width="8.25" style="144" bestFit="1" customWidth="1"/>
    <col min="8457" max="8458" width="9.625" style="144" bestFit="1" customWidth="1"/>
    <col min="8459" max="8459" width="8.25" style="144" bestFit="1" customWidth="1"/>
    <col min="8460" max="8461" width="9.625" style="144" bestFit="1" customWidth="1"/>
    <col min="8462" max="8463" width="8.25" style="144" bestFit="1" customWidth="1"/>
    <col min="8464" max="8464" width="11" style="144" bestFit="1" customWidth="1"/>
    <col min="8465" max="8465" width="8" style="144" bestFit="1" customWidth="1"/>
    <col min="8466" max="8466" width="7.75" style="144" bestFit="1" customWidth="1"/>
    <col min="8467" max="8468" width="9.625" style="144" bestFit="1" customWidth="1"/>
    <col min="8469" max="8470" width="9.625" style="144" customWidth="1"/>
    <col min="8471" max="8471" width="9.25" style="144" bestFit="1" customWidth="1"/>
    <col min="8472" max="8472" width="11" style="144" bestFit="1" customWidth="1"/>
    <col min="8473" max="8705" width="9" style="144"/>
    <col min="8706" max="8706" width="4.625" style="144" bestFit="1" customWidth="1"/>
    <col min="8707" max="8707" width="7.5" style="144" bestFit="1" customWidth="1"/>
    <col min="8708" max="8708" width="6.25" style="144" customWidth="1"/>
    <col min="8709" max="8709" width="11" style="144" bestFit="1" customWidth="1"/>
    <col min="8710" max="8711" width="9.625" style="144" bestFit="1" customWidth="1"/>
    <col min="8712" max="8712" width="8.25" style="144" bestFit="1" customWidth="1"/>
    <col min="8713" max="8714" width="9.625" style="144" bestFit="1" customWidth="1"/>
    <col min="8715" max="8715" width="8.25" style="144" bestFit="1" customWidth="1"/>
    <col min="8716" max="8717" width="9.625" style="144" bestFit="1" customWidth="1"/>
    <col min="8718" max="8719" width="8.25" style="144" bestFit="1" customWidth="1"/>
    <col min="8720" max="8720" width="11" style="144" bestFit="1" customWidth="1"/>
    <col min="8721" max="8721" width="8" style="144" bestFit="1" customWidth="1"/>
    <col min="8722" max="8722" width="7.75" style="144" bestFit="1" customWidth="1"/>
    <col min="8723" max="8724" width="9.625" style="144" bestFit="1" customWidth="1"/>
    <col min="8725" max="8726" width="9.625" style="144" customWidth="1"/>
    <col min="8727" max="8727" width="9.25" style="144" bestFit="1" customWidth="1"/>
    <col min="8728" max="8728" width="11" style="144" bestFit="1" customWidth="1"/>
    <col min="8729" max="8961" width="9" style="144"/>
    <col min="8962" max="8962" width="4.625" style="144" bestFit="1" customWidth="1"/>
    <col min="8963" max="8963" width="7.5" style="144" bestFit="1" customWidth="1"/>
    <col min="8964" max="8964" width="6.25" style="144" customWidth="1"/>
    <col min="8965" max="8965" width="11" style="144" bestFit="1" customWidth="1"/>
    <col min="8966" max="8967" width="9.625" style="144" bestFit="1" customWidth="1"/>
    <col min="8968" max="8968" width="8.25" style="144" bestFit="1" customWidth="1"/>
    <col min="8969" max="8970" width="9.625" style="144" bestFit="1" customWidth="1"/>
    <col min="8971" max="8971" width="8.25" style="144" bestFit="1" customWidth="1"/>
    <col min="8972" max="8973" width="9.625" style="144" bestFit="1" customWidth="1"/>
    <col min="8974" max="8975" width="8.25" style="144" bestFit="1" customWidth="1"/>
    <col min="8976" max="8976" width="11" style="144" bestFit="1" customWidth="1"/>
    <col min="8977" max="8977" width="8" style="144" bestFit="1" customWidth="1"/>
    <col min="8978" max="8978" width="7.75" style="144" bestFit="1" customWidth="1"/>
    <col min="8979" max="8980" width="9.625" style="144" bestFit="1" customWidth="1"/>
    <col min="8981" max="8982" width="9.625" style="144" customWidth="1"/>
    <col min="8983" max="8983" width="9.25" style="144" bestFit="1" customWidth="1"/>
    <col min="8984" max="8984" width="11" style="144" bestFit="1" customWidth="1"/>
    <col min="8985" max="9217" width="9" style="144"/>
    <col min="9218" max="9218" width="4.625" style="144" bestFit="1" customWidth="1"/>
    <col min="9219" max="9219" width="7.5" style="144" bestFit="1" customWidth="1"/>
    <col min="9220" max="9220" width="6.25" style="144" customWidth="1"/>
    <col min="9221" max="9221" width="11" style="144" bestFit="1" customWidth="1"/>
    <col min="9222" max="9223" width="9.625" style="144" bestFit="1" customWidth="1"/>
    <col min="9224" max="9224" width="8.25" style="144" bestFit="1" customWidth="1"/>
    <col min="9225" max="9226" width="9.625" style="144" bestFit="1" customWidth="1"/>
    <col min="9227" max="9227" width="8.25" style="144" bestFit="1" customWidth="1"/>
    <col min="9228" max="9229" width="9.625" style="144" bestFit="1" customWidth="1"/>
    <col min="9230" max="9231" width="8.25" style="144" bestFit="1" customWidth="1"/>
    <col min="9232" max="9232" width="11" style="144" bestFit="1" customWidth="1"/>
    <col min="9233" max="9233" width="8" style="144" bestFit="1" customWidth="1"/>
    <col min="9234" max="9234" width="7.75" style="144" bestFit="1" customWidth="1"/>
    <col min="9235" max="9236" width="9.625" style="144" bestFit="1" customWidth="1"/>
    <col min="9237" max="9238" width="9.625" style="144" customWidth="1"/>
    <col min="9239" max="9239" width="9.25" style="144" bestFit="1" customWidth="1"/>
    <col min="9240" max="9240" width="11" style="144" bestFit="1" customWidth="1"/>
    <col min="9241" max="9473" width="9" style="144"/>
    <col min="9474" max="9474" width="4.625" style="144" bestFit="1" customWidth="1"/>
    <col min="9475" max="9475" width="7.5" style="144" bestFit="1" customWidth="1"/>
    <col min="9476" max="9476" width="6.25" style="144" customWidth="1"/>
    <col min="9477" max="9477" width="11" style="144" bestFit="1" customWidth="1"/>
    <col min="9478" max="9479" width="9.625" style="144" bestFit="1" customWidth="1"/>
    <col min="9480" max="9480" width="8.25" style="144" bestFit="1" customWidth="1"/>
    <col min="9481" max="9482" width="9.625" style="144" bestFit="1" customWidth="1"/>
    <col min="9483" max="9483" width="8.25" style="144" bestFit="1" customWidth="1"/>
    <col min="9484" max="9485" width="9.625" style="144" bestFit="1" customWidth="1"/>
    <col min="9486" max="9487" width="8.25" style="144" bestFit="1" customWidth="1"/>
    <col min="9488" max="9488" width="11" style="144" bestFit="1" customWidth="1"/>
    <col min="9489" max="9489" width="8" style="144" bestFit="1" customWidth="1"/>
    <col min="9490" max="9490" width="7.75" style="144" bestFit="1" customWidth="1"/>
    <col min="9491" max="9492" width="9.625" style="144" bestFit="1" customWidth="1"/>
    <col min="9493" max="9494" width="9.625" style="144" customWidth="1"/>
    <col min="9495" max="9495" width="9.25" style="144" bestFit="1" customWidth="1"/>
    <col min="9496" max="9496" width="11" style="144" bestFit="1" customWidth="1"/>
    <col min="9497" max="9729" width="9" style="144"/>
    <col min="9730" max="9730" width="4.625" style="144" bestFit="1" customWidth="1"/>
    <col min="9731" max="9731" width="7.5" style="144" bestFit="1" customWidth="1"/>
    <col min="9732" max="9732" width="6.25" style="144" customWidth="1"/>
    <col min="9733" max="9733" width="11" style="144" bestFit="1" customWidth="1"/>
    <col min="9734" max="9735" width="9.625" style="144" bestFit="1" customWidth="1"/>
    <col min="9736" max="9736" width="8.25" style="144" bestFit="1" customWidth="1"/>
    <col min="9737" max="9738" width="9.625" style="144" bestFit="1" customWidth="1"/>
    <col min="9739" max="9739" width="8.25" style="144" bestFit="1" customWidth="1"/>
    <col min="9740" max="9741" width="9.625" style="144" bestFit="1" customWidth="1"/>
    <col min="9742" max="9743" width="8.25" style="144" bestFit="1" customWidth="1"/>
    <col min="9744" max="9744" width="11" style="144" bestFit="1" customWidth="1"/>
    <col min="9745" max="9745" width="8" style="144" bestFit="1" customWidth="1"/>
    <col min="9746" max="9746" width="7.75" style="144" bestFit="1" customWidth="1"/>
    <col min="9747" max="9748" width="9.625" style="144" bestFit="1" customWidth="1"/>
    <col min="9749" max="9750" width="9.625" style="144" customWidth="1"/>
    <col min="9751" max="9751" width="9.25" style="144" bestFit="1" customWidth="1"/>
    <col min="9752" max="9752" width="11" style="144" bestFit="1" customWidth="1"/>
    <col min="9753" max="9985" width="9" style="144"/>
    <col min="9986" max="9986" width="4.625" style="144" bestFit="1" customWidth="1"/>
    <col min="9987" max="9987" width="7.5" style="144" bestFit="1" customWidth="1"/>
    <col min="9988" max="9988" width="6.25" style="144" customWidth="1"/>
    <col min="9989" max="9989" width="11" style="144" bestFit="1" customWidth="1"/>
    <col min="9990" max="9991" width="9.625" style="144" bestFit="1" customWidth="1"/>
    <col min="9992" max="9992" width="8.25" style="144" bestFit="1" customWidth="1"/>
    <col min="9993" max="9994" width="9.625" style="144" bestFit="1" customWidth="1"/>
    <col min="9995" max="9995" width="8.25" style="144" bestFit="1" customWidth="1"/>
    <col min="9996" max="9997" width="9.625" style="144" bestFit="1" customWidth="1"/>
    <col min="9998" max="9999" width="8.25" style="144" bestFit="1" customWidth="1"/>
    <col min="10000" max="10000" width="11" style="144" bestFit="1" customWidth="1"/>
    <col min="10001" max="10001" width="8" style="144" bestFit="1" customWidth="1"/>
    <col min="10002" max="10002" width="7.75" style="144" bestFit="1" customWidth="1"/>
    <col min="10003" max="10004" width="9.625" style="144" bestFit="1" customWidth="1"/>
    <col min="10005" max="10006" width="9.625" style="144" customWidth="1"/>
    <col min="10007" max="10007" width="9.25" style="144" bestFit="1" customWidth="1"/>
    <col min="10008" max="10008" width="11" style="144" bestFit="1" customWidth="1"/>
    <col min="10009" max="10241" width="9" style="144"/>
    <col min="10242" max="10242" width="4.625" style="144" bestFit="1" customWidth="1"/>
    <col min="10243" max="10243" width="7.5" style="144" bestFit="1" customWidth="1"/>
    <col min="10244" max="10244" width="6.25" style="144" customWidth="1"/>
    <col min="10245" max="10245" width="11" style="144" bestFit="1" customWidth="1"/>
    <col min="10246" max="10247" width="9.625" style="144" bestFit="1" customWidth="1"/>
    <col min="10248" max="10248" width="8.25" style="144" bestFit="1" customWidth="1"/>
    <col min="10249" max="10250" width="9.625" style="144" bestFit="1" customWidth="1"/>
    <col min="10251" max="10251" width="8.25" style="144" bestFit="1" customWidth="1"/>
    <col min="10252" max="10253" width="9.625" style="144" bestFit="1" customWidth="1"/>
    <col min="10254" max="10255" width="8.25" style="144" bestFit="1" customWidth="1"/>
    <col min="10256" max="10256" width="11" style="144" bestFit="1" customWidth="1"/>
    <col min="10257" max="10257" width="8" style="144" bestFit="1" customWidth="1"/>
    <col min="10258" max="10258" width="7.75" style="144" bestFit="1" customWidth="1"/>
    <col min="10259" max="10260" width="9.625" style="144" bestFit="1" customWidth="1"/>
    <col min="10261" max="10262" width="9.625" style="144" customWidth="1"/>
    <col min="10263" max="10263" width="9.25" style="144" bestFit="1" customWidth="1"/>
    <col min="10264" max="10264" width="11" style="144" bestFit="1" customWidth="1"/>
    <col min="10265" max="10497" width="9" style="144"/>
    <col min="10498" max="10498" width="4.625" style="144" bestFit="1" customWidth="1"/>
    <col min="10499" max="10499" width="7.5" style="144" bestFit="1" customWidth="1"/>
    <col min="10500" max="10500" width="6.25" style="144" customWidth="1"/>
    <col min="10501" max="10501" width="11" style="144" bestFit="1" customWidth="1"/>
    <col min="10502" max="10503" width="9.625" style="144" bestFit="1" customWidth="1"/>
    <col min="10504" max="10504" width="8.25" style="144" bestFit="1" customWidth="1"/>
    <col min="10505" max="10506" width="9.625" style="144" bestFit="1" customWidth="1"/>
    <col min="10507" max="10507" width="8.25" style="144" bestFit="1" customWidth="1"/>
    <col min="10508" max="10509" width="9.625" style="144" bestFit="1" customWidth="1"/>
    <col min="10510" max="10511" width="8.25" style="144" bestFit="1" customWidth="1"/>
    <col min="10512" max="10512" width="11" style="144" bestFit="1" customWidth="1"/>
    <col min="10513" max="10513" width="8" style="144" bestFit="1" customWidth="1"/>
    <col min="10514" max="10514" width="7.75" style="144" bestFit="1" customWidth="1"/>
    <col min="10515" max="10516" width="9.625" style="144" bestFit="1" customWidth="1"/>
    <col min="10517" max="10518" width="9.625" style="144" customWidth="1"/>
    <col min="10519" max="10519" width="9.25" style="144" bestFit="1" customWidth="1"/>
    <col min="10520" max="10520" width="11" style="144" bestFit="1" customWidth="1"/>
    <col min="10521" max="10753" width="9" style="144"/>
    <col min="10754" max="10754" width="4.625" style="144" bestFit="1" customWidth="1"/>
    <col min="10755" max="10755" width="7.5" style="144" bestFit="1" customWidth="1"/>
    <col min="10756" max="10756" width="6.25" style="144" customWidth="1"/>
    <col min="10757" max="10757" width="11" style="144" bestFit="1" customWidth="1"/>
    <col min="10758" max="10759" width="9.625" style="144" bestFit="1" customWidth="1"/>
    <col min="10760" max="10760" width="8.25" style="144" bestFit="1" customWidth="1"/>
    <col min="10761" max="10762" width="9.625" style="144" bestFit="1" customWidth="1"/>
    <col min="10763" max="10763" width="8.25" style="144" bestFit="1" customWidth="1"/>
    <col min="10764" max="10765" width="9.625" style="144" bestFit="1" customWidth="1"/>
    <col min="10766" max="10767" width="8.25" style="144" bestFit="1" customWidth="1"/>
    <col min="10768" max="10768" width="11" style="144" bestFit="1" customWidth="1"/>
    <col min="10769" max="10769" width="8" style="144" bestFit="1" customWidth="1"/>
    <col min="10770" max="10770" width="7.75" style="144" bestFit="1" customWidth="1"/>
    <col min="10771" max="10772" width="9.625" style="144" bestFit="1" customWidth="1"/>
    <col min="10773" max="10774" width="9.625" style="144" customWidth="1"/>
    <col min="10775" max="10775" width="9.25" style="144" bestFit="1" customWidth="1"/>
    <col min="10776" max="10776" width="11" style="144" bestFit="1" customWidth="1"/>
    <col min="10777" max="11009" width="9" style="144"/>
    <col min="11010" max="11010" width="4.625" style="144" bestFit="1" customWidth="1"/>
    <col min="11011" max="11011" width="7.5" style="144" bestFit="1" customWidth="1"/>
    <col min="11012" max="11012" width="6.25" style="144" customWidth="1"/>
    <col min="11013" max="11013" width="11" style="144" bestFit="1" customWidth="1"/>
    <col min="11014" max="11015" width="9.625" style="144" bestFit="1" customWidth="1"/>
    <col min="11016" max="11016" width="8.25" style="144" bestFit="1" customWidth="1"/>
    <col min="11017" max="11018" width="9.625" style="144" bestFit="1" customWidth="1"/>
    <col min="11019" max="11019" width="8.25" style="144" bestFit="1" customWidth="1"/>
    <col min="11020" max="11021" width="9.625" style="144" bestFit="1" customWidth="1"/>
    <col min="11022" max="11023" width="8.25" style="144" bestFit="1" customWidth="1"/>
    <col min="11024" max="11024" width="11" style="144" bestFit="1" customWidth="1"/>
    <col min="11025" max="11025" width="8" style="144" bestFit="1" customWidth="1"/>
    <col min="11026" max="11026" width="7.75" style="144" bestFit="1" customWidth="1"/>
    <col min="11027" max="11028" width="9.625" style="144" bestFit="1" customWidth="1"/>
    <col min="11029" max="11030" width="9.625" style="144" customWidth="1"/>
    <col min="11031" max="11031" width="9.25" style="144" bestFit="1" customWidth="1"/>
    <col min="11032" max="11032" width="11" style="144" bestFit="1" customWidth="1"/>
    <col min="11033" max="11265" width="9" style="144"/>
    <col min="11266" max="11266" width="4.625" style="144" bestFit="1" customWidth="1"/>
    <col min="11267" max="11267" width="7.5" style="144" bestFit="1" customWidth="1"/>
    <col min="11268" max="11268" width="6.25" style="144" customWidth="1"/>
    <col min="11269" max="11269" width="11" style="144" bestFit="1" customWidth="1"/>
    <col min="11270" max="11271" width="9.625" style="144" bestFit="1" customWidth="1"/>
    <col min="11272" max="11272" width="8.25" style="144" bestFit="1" customWidth="1"/>
    <col min="11273" max="11274" width="9.625" style="144" bestFit="1" customWidth="1"/>
    <col min="11275" max="11275" width="8.25" style="144" bestFit="1" customWidth="1"/>
    <col min="11276" max="11277" width="9.625" style="144" bestFit="1" customWidth="1"/>
    <col min="11278" max="11279" width="8.25" style="144" bestFit="1" customWidth="1"/>
    <col min="11280" max="11280" width="11" style="144" bestFit="1" customWidth="1"/>
    <col min="11281" max="11281" width="8" style="144" bestFit="1" customWidth="1"/>
    <col min="11282" max="11282" width="7.75" style="144" bestFit="1" customWidth="1"/>
    <col min="11283" max="11284" width="9.625" style="144" bestFit="1" customWidth="1"/>
    <col min="11285" max="11286" width="9.625" style="144" customWidth="1"/>
    <col min="11287" max="11287" width="9.25" style="144" bestFit="1" customWidth="1"/>
    <col min="11288" max="11288" width="11" style="144" bestFit="1" customWidth="1"/>
    <col min="11289" max="11521" width="9" style="144"/>
    <col min="11522" max="11522" width="4.625" style="144" bestFit="1" customWidth="1"/>
    <col min="11523" max="11523" width="7.5" style="144" bestFit="1" customWidth="1"/>
    <col min="11524" max="11524" width="6.25" style="144" customWidth="1"/>
    <col min="11525" max="11525" width="11" style="144" bestFit="1" customWidth="1"/>
    <col min="11526" max="11527" width="9.625" style="144" bestFit="1" customWidth="1"/>
    <col min="11528" max="11528" width="8.25" style="144" bestFit="1" customWidth="1"/>
    <col min="11529" max="11530" width="9.625" style="144" bestFit="1" customWidth="1"/>
    <col min="11531" max="11531" width="8.25" style="144" bestFit="1" customWidth="1"/>
    <col min="11532" max="11533" width="9.625" style="144" bestFit="1" customWidth="1"/>
    <col min="11534" max="11535" width="8.25" style="144" bestFit="1" customWidth="1"/>
    <col min="11536" max="11536" width="11" style="144" bestFit="1" customWidth="1"/>
    <col min="11537" max="11537" width="8" style="144" bestFit="1" customWidth="1"/>
    <col min="11538" max="11538" width="7.75" style="144" bestFit="1" customWidth="1"/>
    <col min="11539" max="11540" width="9.625" style="144" bestFit="1" customWidth="1"/>
    <col min="11541" max="11542" width="9.625" style="144" customWidth="1"/>
    <col min="11543" max="11543" width="9.25" style="144" bestFit="1" customWidth="1"/>
    <col min="11544" max="11544" width="11" style="144" bestFit="1" customWidth="1"/>
    <col min="11545" max="11777" width="9" style="144"/>
    <col min="11778" max="11778" width="4.625" style="144" bestFit="1" customWidth="1"/>
    <col min="11779" max="11779" width="7.5" style="144" bestFit="1" customWidth="1"/>
    <col min="11780" max="11780" width="6.25" style="144" customWidth="1"/>
    <col min="11781" max="11781" width="11" style="144" bestFit="1" customWidth="1"/>
    <col min="11782" max="11783" width="9.625" style="144" bestFit="1" customWidth="1"/>
    <col min="11784" max="11784" width="8.25" style="144" bestFit="1" customWidth="1"/>
    <col min="11785" max="11786" width="9.625" style="144" bestFit="1" customWidth="1"/>
    <col min="11787" max="11787" width="8.25" style="144" bestFit="1" customWidth="1"/>
    <col min="11788" max="11789" width="9.625" style="144" bestFit="1" customWidth="1"/>
    <col min="11790" max="11791" width="8.25" style="144" bestFit="1" customWidth="1"/>
    <col min="11792" max="11792" width="11" style="144" bestFit="1" customWidth="1"/>
    <col min="11793" max="11793" width="8" style="144" bestFit="1" customWidth="1"/>
    <col min="11794" max="11794" width="7.75" style="144" bestFit="1" customWidth="1"/>
    <col min="11795" max="11796" width="9.625" style="144" bestFit="1" customWidth="1"/>
    <col min="11797" max="11798" width="9.625" style="144" customWidth="1"/>
    <col min="11799" max="11799" width="9.25" style="144" bestFit="1" customWidth="1"/>
    <col min="11800" max="11800" width="11" style="144" bestFit="1" customWidth="1"/>
    <col min="11801" max="12033" width="9" style="144"/>
    <col min="12034" max="12034" width="4.625" style="144" bestFit="1" customWidth="1"/>
    <col min="12035" max="12035" width="7.5" style="144" bestFit="1" customWidth="1"/>
    <col min="12036" max="12036" width="6.25" style="144" customWidth="1"/>
    <col min="12037" max="12037" width="11" style="144" bestFit="1" customWidth="1"/>
    <col min="12038" max="12039" width="9.625" style="144" bestFit="1" customWidth="1"/>
    <col min="12040" max="12040" width="8.25" style="144" bestFit="1" customWidth="1"/>
    <col min="12041" max="12042" width="9.625" style="144" bestFit="1" customWidth="1"/>
    <col min="12043" max="12043" width="8.25" style="144" bestFit="1" customWidth="1"/>
    <col min="12044" max="12045" width="9.625" style="144" bestFit="1" customWidth="1"/>
    <col min="12046" max="12047" width="8.25" style="144" bestFit="1" customWidth="1"/>
    <col min="12048" max="12048" width="11" style="144" bestFit="1" customWidth="1"/>
    <col min="12049" max="12049" width="8" style="144" bestFit="1" customWidth="1"/>
    <col min="12050" max="12050" width="7.75" style="144" bestFit="1" customWidth="1"/>
    <col min="12051" max="12052" width="9.625" style="144" bestFit="1" customWidth="1"/>
    <col min="12053" max="12054" width="9.625" style="144" customWidth="1"/>
    <col min="12055" max="12055" width="9.25" style="144" bestFit="1" customWidth="1"/>
    <col min="12056" max="12056" width="11" style="144" bestFit="1" customWidth="1"/>
    <col min="12057" max="12289" width="9" style="144"/>
    <col min="12290" max="12290" width="4.625" style="144" bestFit="1" customWidth="1"/>
    <col min="12291" max="12291" width="7.5" style="144" bestFit="1" customWidth="1"/>
    <col min="12292" max="12292" width="6.25" style="144" customWidth="1"/>
    <col min="12293" max="12293" width="11" style="144" bestFit="1" customWidth="1"/>
    <col min="12294" max="12295" width="9.625" style="144" bestFit="1" customWidth="1"/>
    <col min="12296" max="12296" width="8.25" style="144" bestFit="1" customWidth="1"/>
    <col min="12297" max="12298" width="9.625" style="144" bestFit="1" customWidth="1"/>
    <col min="12299" max="12299" width="8.25" style="144" bestFit="1" customWidth="1"/>
    <col min="12300" max="12301" width="9.625" style="144" bestFit="1" customWidth="1"/>
    <col min="12302" max="12303" width="8.25" style="144" bestFit="1" customWidth="1"/>
    <col min="12304" max="12304" width="11" style="144" bestFit="1" customWidth="1"/>
    <col min="12305" max="12305" width="8" style="144" bestFit="1" customWidth="1"/>
    <col min="12306" max="12306" width="7.75" style="144" bestFit="1" customWidth="1"/>
    <col min="12307" max="12308" width="9.625" style="144" bestFit="1" customWidth="1"/>
    <col min="12309" max="12310" width="9.625" style="144" customWidth="1"/>
    <col min="12311" max="12311" width="9.25" style="144" bestFit="1" customWidth="1"/>
    <col min="12312" max="12312" width="11" style="144" bestFit="1" customWidth="1"/>
    <col min="12313" max="12545" width="9" style="144"/>
    <col min="12546" max="12546" width="4.625" style="144" bestFit="1" customWidth="1"/>
    <col min="12547" max="12547" width="7.5" style="144" bestFit="1" customWidth="1"/>
    <col min="12548" max="12548" width="6.25" style="144" customWidth="1"/>
    <col min="12549" max="12549" width="11" style="144" bestFit="1" customWidth="1"/>
    <col min="12550" max="12551" width="9.625" style="144" bestFit="1" customWidth="1"/>
    <col min="12552" max="12552" width="8.25" style="144" bestFit="1" customWidth="1"/>
    <col min="12553" max="12554" width="9.625" style="144" bestFit="1" customWidth="1"/>
    <col min="12555" max="12555" width="8.25" style="144" bestFit="1" customWidth="1"/>
    <col min="12556" max="12557" width="9.625" style="144" bestFit="1" customWidth="1"/>
    <col min="12558" max="12559" width="8.25" style="144" bestFit="1" customWidth="1"/>
    <col min="12560" max="12560" width="11" style="144" bestFit="1" customWidth="1"/>
    <col min="12561" max="12561" width="8" style="144" bestFit="1" customWidth="1"/>
    <col min="12562" max="12562" width="7.75" style="144" bestFit="1" customWidth="1"/>
    <col min="12563" max="12564" width="9.625" style="144" bestFit="1" customWidth="1"/>
    <col min="12565" max="12566" width="9.625" style="144" customWidth="1"/>
    <col min="12567" max="12567" width="9.25" style="144" bestFit="1" customWidth="1"/>
    <col min="12568" max="12568" width="11" style="144" bestFit="1" customWidth="1"/>
    <col min="12569" max="12801" width="9" style="144"/>
    <col min="12802" max="12802" width="4.625" style="144" bestFit="1" customWidth="1"/>
    <col min="12803" max="12803" width="7.5" style="144" bestFit="1" customWidth="1"/>
    <col min="12804" max="12804" width="6.25" style="144" customWidth="1"/>
    <col min="12805" max="12805" width="11" style="144" bestFit="1" customWidth="1"/>
    <col min="12806" max="12807" width="9.625" style="144" bestFit="1" customWidth="1"/>
    <col min="12808" max="12808" width="8.25" style="144" bestFit="1" customWidth="1"/>
    <col min="12809" max="12810" width="9.625" style="144" bestFit="1" customWidth="1"/>
    <col min="12811" max="12811" width="8.25" style="144" bestFit="1" customWidth="1"/>
    <col min="12812" max="12813" width="9.625" style="144" bestFit="1" customWidth="1"/>
    <col min="12814" max="12815" width="8.25" style="144" bestFit="1" customWidth="1"/>
    <col min="12816" max="12816" width="11" style="144" bestFit="1" customWidth="1"/>
    <col min="12817" max="12817" width="8" style="144" bestFit="1" customWidth="1"/>
    <col min="12818" max="12818" width="7.75" style="144" bestFit="1" customWidth="1"/>
    <col min="12819" max="12820" width="9.625" style="144" bestFit="1" customWidth="1"/>
    <col min="12821" max="12822" width="9.625" style="144" customWidth="1"/>
    <col min="12823" max="12823" width="9.25" style="144" bestFit="1" customWidth="1"/>
    <col min="12824" max="12824" width="11" style="144" bestFit="1" customWidth="1"/>
    <col min="12825" max="13057" width="9" style="144"/>
    <col min="13058" max="13058" width="4.625" style="144" bestFit="1" customWidth="1"/>
    <col min="13059" max="13059" width="7.5" style="144" bestFit="1" customWidth="1"/>
    <col min="13060" max="13060" width="6.25" style="144" customWidth="1"/>
    <col min="13061" max="13061" width="11" style="144" bestFit="1" customWidth="1"/>
    <col min="13062" max="13063" width="9.625" style="144" bestFit="1" customWidth="1"/>
    <col min="13064" max="13064" width="8.25" style="144" bestFit="1" customWidth="1"/>
    <col min="13065" max="13066" width="9.625" style="144" bestFit="1" customWidth="1"/>
    <col min="13067" max="13067" width="8.25" style="144" bestFit="1" customWidth="1"/>
    <col min="13068" max="13069" width="9.625" style="144" bestFit="1" customWidth="1"/>
    <col min="13070" max="13071" width="8.25" style="144" bestFit="1" customWidth="1"/>
    <col min="13072" max="13072" width="11" style="144" bestFit="1" customWidth="1"/>
    <col min="13073" max="13073" width="8" style="144" bestFit="1" customWidth="1"/>
    <col min="13074" max="13074" width="7.75" style="144" bestFit="1" customWidth="1"/>
    <col min="13075" max="13076" width="9.625" style="144" bestFit="1" customWidth="1"/>
    <col min="13077" max="13078" width="9.625" style="144" customWidth="1"/>
    <col min="13079" max="13079" width="9.25" style="144" bestFit="1" customWidth="1"/>
    <col min="13080" max="13080" width="11" style="144" bestFit="1" customWidth="1"/>
    <col min="13081" max="13313" width="9" style="144"/>
    <col min="13314" max="13314" width="4.625" style="144" bestFit="1" customWidth="1"/>
    <col min="13315" max="13315" width="7.5" style="144" bestFit="1" customWidth="1"/>
    <col min="13316" max="13316" width="6.25" style="144" customWidth="1"/>
    <col min="13317" max="13317" width="11" style="144" bestFit="1" customWidth="1"/>
    <col min="13318" max="13319" width="9.625" style="144" bestFit="1" customWidth="1"/>
    <col min="13320" max="13320" width="8.25" style="144" bestFit="1" customWidth="1"/>
    <col min="13321" max="13322" width="9.625" style="144" bestFit="1" customWidth="1"/>
    <col min="13323" max="13323" width="8.25" style="144" bestFit="1" customWidth="1"/>
    <col min="13324" max="13325" width="9.625" style="144" bestFit="1" customWidth="1"/>
    <col min="13326" max="13327" width="8.25" style="144" bestFit="1" customWidth="1"/>
    <col min="13328" max="13328" width="11" style="144" bestFit="1" customWidth="1"/>
    <col min="13329" max="13329" width="8" style="144" bestFit="1" customWidth="1"/>
    <col min="13330" max="13330" width="7.75" style="144" bestFit="1" customWidth="1"/>
    <col min="13331" max="13332" width="9.625" style="144" bestFit="1" customWidth="1"/>
    <col min="13333" max="13334" width="9.625" style="144" customWidth="1"/>
    <col min="13335" max="13335" width="9.25" style="144" bestFit="1" customWidth="1"/>
    <col min="13336" max="13336" width="11" style="144" bestFit="1" customWidth="1"/>
    <col min="13337" max="13569" width="9" style="144"/>
    <col min="13570" max="13570" width="4.625" style="144" bestFit="1" customWidth="1"/>
    <col min="13571" max="13571" width="7.5" style="144" bestFit="1" customWidth="1"/>
    <col min="13572" max="13572" width="6.25" style="144" customWidth="1"/>
    <col min="13573" max="13573" width="11" style="144" bestFit="1" customWidth="1"/>
    <col min="13574" max="13575" width="9.625" style="144" bestFit="1" customWidth="1"/>
    <col min="13576" max="13576" width="8.25" style="144" bestFit="1" customWidth="1"/>
    <col min="13577" max="13578" width="9.625" style="144" bestFit="1" customWidth="1"/>
    <col min="13579" max="13579" width="8.25" style="144" bestFit="1" customWidth="1"/>
    <col min="13580" max="13581" width="9.625" style="144" bestFit="1" customWidth="1"/>
    <col min="13582" max="13583" width="8.25" style="144" bestFit="1" customWidth="1"/>
    <col min="13584" max="13584" width="11" style="144" bestFit="1" customWidth="1"/>
    <col min="13585" max="13585" width="8" style="144" bestFit="1" customWidth="1"/>
    <col min="13586" max="13586" width="7.75" style="144" bestFit="1" customWidth="1"/>
    <col min="13587" max="13588" width="9.625" style="144" bestFit="1" customWidth="1"/>
    <col min="13589" max="13590" width="9.625" style="144" customWidth="1"/>
    <col min="13591" max="13591" width="9.25" style="144" bestFit="1" customWidth="1"/>
    <col min="13592" max="13592" width="11" style="144" bestFit="1" customWidth="1"/>
    <col min="13593" max="13825" width="9" style="144"/>
    <col min="13826" max="13826" width="4.625" style="144" bestFit="1" customWidth="1"/>
    <col min="13827" max="13827" width="7.5" style="144" bestFit="1" customWidth="1"/>
    <col min="13828" max="13828" width="6.25" style="144" customWidth="1"/>
    <col min="13829" max="13829" width="11" style="144" bestFit="1" customWidth="1"/>
    <col min="13830" max="13831" width="9.625" style="144" bestFit="1" customWidth="1"/>
    <col min="13832" max="13832" width="8.25" style="144" bestFit="1" customWidth="1"/>
    <col min="13833" max="13834" width="9.625" style="144" bestFit="1" customWidth="1"/>
    <col min="13835" max="13835" width="8.25" style="144" bestFit="1" customWidth="1"/>
    <col min="13836" max="13837" width="9.625" style="144" bestFit="1" customWidth="1"/>
    <col min="13838" max="13839" width="8.25" style="144" bestFit="1" customWidth="1"/>
    <col min="13840" max="13840" width="11" style="144" bestFit="1" customWidth="1"/>
    <col min="13841" max="13841" width="8" style="144" bestFit="1" customWidth="1"/>
    <col min="13842" max="13842" width="7.75" style="144" bestFit="1" customWidth="1"/>
    <col min="13843" max="13844" width="9.625" style="144" bestFit="1" customWidth="1"/>
    <col min="13845" max="13846" width="9.625" style="144" customWidth="1"/>
    <col min="13847" max="13847" width="9.25" style="144" bestFit="1" customWidth="1"/>
    <col min="13848" max="13848" width="11" style="144" bestFit="1" customWidth="1"/>
    <col min="13849" max="14081" width="9" style="144"/>
    <col min="14082" max="14082" width="4.625" style="144" bestFit="1" customWidth="1"/>
    <col min="14083" max="14083" width="7.5" style="144" bestFit="1" customWidth="1"/>
    <col min="14084" max="14084" width="6.25" style="144" customWidth="1"/>
    <col min="14085" max="14085" width="11" style="144" bestFit="1" customWidth="1"/>
    <col min="14086" max="14087" width="9.625" style="144" bestFit="1" customWidth="1"/>
    <col min="14088" max="14088" width="8.25" style="144" bestFit="1" customWidth="1"/>
    <col min="14089" max="14090" width="9.625" style="144" bestFit="1" customWidth="1"/>
    <col min="14091" max="14091" width="8.25" style="144" bestFit="1" customWidth="1"/>
    <col min="14092" max="14093" width="9.625" style="144" bestFit="1" customWidth="1"/>
    <col min="14094" max="14095" width="8.25" style="144" bestFit="1" customWidth="1"/>
    <col min="14096" max="14096" width="11" style="144" bestFit="1" customWidth="1"/>
    <col min="14097" max="14097" width="8" style="144" bestFit="1" customWidth="1"/>
    <col min="14098" max="14098" width="7.75" style="144" bestFit="1" customWidth="1"/>
    <col min="14099" max="14100" width="9.625" style="144" bestFit="1" customWidth="1"/>
    <col min="14101" max="14102" width="9.625" style="144" customWidth="1"/>
    <col min="14103" max="14103" width="9.25" style="144" bestFit="1" customWidth="1"/>
    <col min="14104" max="14104" width="11" style="144" bestFit="1" customWidth="1"/>
    <col min="14105" max="14337" width="9" style="144"/>
    <col min="14338" max="14338" width="4.625" style="144" bestFit="1" customWidth="1"/>
    <col min="14339" max="14339" width="7.5" style="144" bestFit="1" customWidth="1"/>
    <col min="14340" max="14340" width="6.25" style="144" customWidth="1"/>
    <col min="14341" max="14341" width="11" style="144" bestFit="1" customWidth="1"/>
    <col min="14342" max="14343" width="9.625" style="144" bestFit="1" customWidth="1"/>
    <col min="14344" max="14344" width="8.25" style="144" bestFit="1" customWidth="1"/>
    <col min="14345" max="14346" width="9.625" style="144" bestFit="1" customWidth="1"/>
    <col min="14347" max="14347" width="8.25" style="144" bestFit="1" customWidth="1"/>
    <col min="14348" max="14349" width="9.625" style="144" bestFit="1" customWidth="1"/>
    <col min="14350" max="14351" width="8.25" style="144" bestFit="1" customWidth="1"/>
    <col min="14352" max="14352" width="11" style="144" bestFit="1" customWidth="1"/>
    <col min="14353" max="14353" width="8" style="144" bestFit="1" customWidth="1"/>
    <col min="14354" max="14354" width="7.75" style="144" bestFit="1" customWidth="1"/>
    <col min="14355" max="14356" width="9.625" style="144" bestFit="1" customWidth="1"/>
    <col min="14357" max="14358" width="9.625" style="144" customWidth="1"/>
    <col min="14359" max="14359" width="9.25" style="144" bestFit="1" customWidth="1"/>
    <col min="14360" max="14360" width="11" style="144" bestFit="1" customWidth="1"/>
    <col min="14361" max="14593" width="9" style="144"/>
    <col min="14594" max="14594" width="4.625" style="144" bestFit="1" customWidth="1"/>
    <col min="14595" max="14595" width="7.5" style="144" bestFit="1" customWidth="1"/>
    <col min="14596" max="14596" width="6.25" style="144" customWidth="1"/>
    <col min="14597" max="14597" width="11" style="144" bestFit="1" customWidth="1"/>
    <col min="14598" max="14599" width="9.625" style="144" bestFit="1" customWidth="1"/>
    <col min="14600" max="14600" width="8.25" style="144" bestFit="1" customWidth="1"/>
    <col min="14601" max="14602" width="9.625" style="144" bestFit="1" customWidth="1"/>
    <col min="14603" max="14603" width="8.25" style="144" bestFit="1" customWidth="1"/>
    <col min="14604" max="14605" width="9.625" style="144" bestFit="1" customWidth="1"/>
    <col min="14606" max="14607" width="8.25" style="144" bestFit="1" customWidth="1"/>
    <col min="14608" max="14608" width="11" style="144" bestFit="1" customWidth="1"/>
    <col min="14609" max="14609" width="8" style="144" bestFit="1" customWidth="1"/>
    <col min="14610" max="14610" width="7.75" style="144" bestFit="1" customWidth="1"/>
    <col min="14611" max="14612" width="9.625" style="144" bestFit="1" customWidth="1"/>
    <col min="14613" max="14614" width="9.625" style="144" customWidth="1"/>
    <col min="14615" max="14615" width="9.25" style="144" bestFit="1" customWidth="1"/>
    <col min="14616" max="14616" width="11" style="144" bestFit="1" customWidth="1"/>
    <col min="14617" max="14849" width="9" style="144"/>
    <col min="14850" max="14850" width="4.625" style="144" bestFit="1" customWidth="1"/>
    <col min="14851" max="14851" width="7.5" style="144" bestFit="1" customWidth="1"/>
    <col min="14852" max="14852" width="6.25" style="144" customWidth="1"/>
    <col min="14853" max="14853" width="11" style="144" bestFit="1" customWidth="1"/>
    <col min="14854" max="14855" width="9.625" style="144" bestFit="1" customWidth="1"/>
    <col min="14856" max="14856" width="8.25" style="144" bestFit="1" customWidth="1"/>
    <col min="14857" max="14858" width="9.625" style="144" bestFit="1" customWidth="1"/>
    <col min="14859" max="14859" width="8.25" style="144" bestFit="1" customWidth="1"/>
    <col min="14860" max="14861" width="9.625" style="144" bestFit="1" customWidth="1"/>
    <col min="14862" max="14863" width="8.25" style="144" bestFit="1" customWidth="1"/>
    <col min="14864" max="14864" width="11" style="144" bestFit="1" customWidth="1"/>
    <col min="14865" max="14865" width="8" style="144" bestFit="1" customWidth="1"/>
    <col min="14866" max="14866" width="7.75" style="144" bestFit="1" customWidth="1"/>
    <col min="14867" max="14868" width="9.625" style="144" bestFit="1" customWidth="1"/>
    <col min="14869" max="14870" width="9.625" style="144" customWidth="1"/>
    <col min="14871" max="14871" width="9.25" style="144" bestFit="1" customWidth="1"/>
    <col min="14872" max="14872" width="11" style="144" bestFit="1" customWidth="1"/>
    <col min="14873" max="15105" width="9" style="144"/>
    <col min="15106" max="15106" width="4.625" style="144" bestFit="1" customWidth="1"/>
    <col min="15107" max="15107" width="7.5" style="144" bestFit="1" customWidth="1"/>
    <col min="15108" max="15108" width="6.25" style="144" customWidth="1"/>
    <col min="15109" max="15109" width="11" style="144" bestFit="1" customWidth="1"/>
    <col min="15110" max="15111" width="9.625" style="144" bestFit="1" customWidth="1"/>
    <col min="15112" max="15112" width="8.25" style="144" bestFit="1" customWidth="1"/>
    <col min="15113" max="15114" width="9.625" style="144" bestFit="1" customWidth="1"/>
    <col min="15115" max="15115" width="8.25" style="144" bestFit="1" customWidth="1"/>
    <col min="15116" max="15117" width="9.625" style="144" bestFit="1" customWidth="1"/>
    <col min="15118" max="15119" width="8.25" style="144" bestFit="1" customWidth="1"/>
    <col min="15120" max="15120" width="11" style="144" bestFit="1" customWidth="1"/>
    <col min="15121" max="15121" width="8" style="144" bestFit="1" customWidth="1"/>
    <col min="15122" max="15122" width="7.75" style="144" bestFit="1" customWidth="1"/>
    <col min="15123" max="15124" width="9.625" style="144" bestFit="1" customWidth="1"/>
    <col min="15125" max="15126" width="9.625" style="144" customWidth="1"/>
    <col min="15127" max="15127" width="9.25" style="144" bestFit="1" customWidth="1"/>
    <col min="15128" max="15128" width="11" style="144" bestFit="1" customWidth="1"/>
    <col min="15129" max="15361" width="9" style="144"/>
    <col min="15362" max="15362" width="4.625" style="144" bestFit="1" customWidth="1"/>
    <col min="15363" max="15363" width="7.5" style="144" bestFit="1" customWidth="1"/>
    <col min="15364" max="15364" width="6.25" style="144" customWidth="1"/>
    <col min="15365" max="15365" width="11" style="144" bestFit="1" customWidth="1"/>
    <col min="15366" max="15367" width="9.625" style="144" bestFit="1" customWidth="1"/>
    <col min="15368" max="15368" width="8.25" style="144" bestFit="1" customWidth="1"/>
    <col min="15369" max="15370" width="9.625" style="144" bestFit="1" customWidth="1"/>
    <col min="15371" max="15371" width="8.25" style="144" bestFit="1" customWidth="1"/>
    <col min="15372" max="15373" width="9.625" style="144" bestFit="1" customWidth="1"/>
    <col min="15374" max="15375" width="8.25" style="144" bestFit="1" customWidth="1"/>
    <col min="15376" max="15376" width="11" style="144" bestFit="1" customWidth="1"/>
    <col min="15377" max="15377" width="8" style="144" bestFit="1" customWidth="1"/>
    <col min="15378" max="15378" width="7.75" style="144" bestFit="1" customWidth="1"/>
    <col min="15379" max="15380" width="9.625" style="144" bestFit="1" customWidth="1"/>
    <col min="15381" max="15382" width="9.625" style="144" customWidth="1"/>
    <col min="15383" max="15383" width="9.25" style="144" bestFit="1" customWidth="1"/>
    <col min="15384" max="15384" width="11" style="144" bestFit="1" customWidth="1"/>
    <col min="15385" max="15617" width="9" style="144"/>
    <col min="15618" max="15618" width="4.625" style="144" bestFit="1" customWidth="1"/>
    <col min="15619" max="15619" width="7.5" style="144" bestFit="1" customWidth="1"/>
    <col min="15620" max="15620" width="6.25" style="144" customWidth="1"/>
    <col min="15621" max="15621" width="11" style="144" bestFit="1" customWidth="1"/>
    <col min="15622" max="15623" width="9.625" style="144" bestFit="1" customWidth="1"/>
    <col min="15624" max="15624" width="8.25" style="144" bestFit="1" customWidth="1"/>
    <col min="15625" max="15626" width="9.625" style="144" bestFit="1" customWidth="1"/>
    <col min="15627" max="15627" width="8.25" style="144" bestFit="1" customWidth="1"/>
    <col min="15628" max="15629" width="9.625" style="144" bestFit="1" customWidth="1"/>
    <col min="15630" max="15631" width="8.25" style="144" bestFit="1" customWidth="1"/>
    <col min="15632" max="15632" width="11" style="144" bestFit="1" customWidth="1"/>
    <col min="15633" max="15633" width="8" style="144" bestFit="1" customWidth="1"/>
    <col min="15634" max="15634" width="7.75" style="144" bestFit="1" customWidth="1"/>
    <col min="15635" max="15636" width="9.625" style="144" bestFit="1" customWidth="1"/>
    <col min="15637" max="15638" width="9.625" style="144" customWidth="1"/>
    <col min="15639" max="15639" width="9.25" style="144" bestFit="1" customWidth="1"/>
    <col min="15640" max="15640" width="11" style="144" bestFit="1" customWidth="1"/>
    <col min="15641" max="15873" width="9" style="144"/>
    <col min="15874" max="15874" width="4.625" style="144" bestFit="1" customWidth="1"/>
    <col min="15875" max="15875" width="7.5" style="144" bestFit="1" customWidth="1"/>
    <col min="15876" max="15876" width="6.25" style="144" customWidth="1"/>
    <col min="15877" max="15877" width="11" style="144" bestFit="1" customWidth="1"/>
    <col min="15878" max="15879" width="9.625" style="144" bestFit="1" customWidth="1"/>
    <col min="15880" max="15880" width="8.25" style="144" bestFit="1" customWidth="1"/>
    <col min="15881" max="15882" width="9.625" style="144" bestFit="1" customWidth="1"/>
    <col min="15883" max="15883" width="8.25" style="144" bestFit="1" customWidth="1"/>
    <col min="15884" max="15885" width="9.625" style="144" bestFit="1" customWidth="1"/>
    <col min="15886" max="15887" width="8.25" style="144" bestFit="1" customWidth="1"/>
    <col min="15888" max="15888" width="11" style="144" bestFit="1" customWidth="1"/>
    <col min="15889" max="15889" width="8" style="144" bestFit="1" customWidth="1"/>
    <col min="15890" max="15890" width="7.75" style="144" bestFit="1" customWidth="1"/>
    <col min="15891" max="15892" width="9.625" style="144" bestFit="1" customWidth="1"/>
    <col min="15893" max="15894" width="9.625" style="144" customWidth="1"/>
    <col min="15895" max="15895" width="9.25" style="144" bestFit="1" customWidth="1"/>
    <col min="15896" max="15896" width="11" style="144" bestFit="1" customWidth="1"/>
    <col min="15897" max="16129" width="9" style="144"/>
    <col min="16130" max="16130" width="4.625" style="144" bestFit="1" customWidth="1"/>
    <col min="16131" max="16131" width="7.5" style="144" bestFit="1" customWidth="1"/>
    <col min="16132" max="16132" width="6.25" style="144" customWidth="1"/>
    <col min="16133" max="16133" width="11" style="144" bestFit="1" customWidth="1"/>
    <col min="16134" max="16135" width="9.625" style="144" bestFit="1" customWidth="1"/>
    <col min="16136" max="16136" width="8.25" style="144" bestFit="1" customWidth="1"/>
    <col min="16137" max="16138" width="9.625" style="144" bestFit="1" customWidth="1"/>
    <col min="16139" max="16139" width="8.25" style="144" bestFit="1" customWidth="1"/>
    <col min="16140" max="16141" width="9.625" style="144" bestFit="1" customWidth="1"/>
    <col min="16142" max="16143" width="8.25" style="144" bestFit="1" customWidth="1"/>
    <col min="16144" max="16144" width="11" style="144" bestFit="1" customWidth="1"/>
    <col min="16145" max="16145" width="8" style="144" bestFit="1" customWidth="1"/>
    <col min="16146" max="16146" width="7.75" style="144" bestFit="1" customWidth="1"/>
    <col min="16147" max="16148" width="9.625" style="144" bestFit="1" customWidth="1"/>
    <col min="16149" max="16150" width="9.625" style="144" customWidth="1"/>
    <col min="16151" max="16151" width="9.25" style="144" bestFit="1" customWidth="1"/>
    <col min="16152" max="16152" width="11" style="144" bestFit="1" customWidth="1"/>
    <col min="16153" max="16384" width="9" style="144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159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45"/>
      <c r="V4" s="252"/>
      <c r="W4" s="252"/>
      <c r="X4" s="252"/>
    </row>
    <row r="5" spans="2:29" ht="20.25" customHeight="1" x14ac:dyDescent="0.3">
      <c r="B5" s="253" t="s">
        <v>160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46"/>
      <c r="Q5" s="69"/>
      <c r="R5" s="69"/>
      <c r="S5" s="69"/>
      <c r="T5" s="252"/>
      <c r="U5" s="145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105</v>
      </c>
      <c r="H8" s="81" t="s">
        <v>106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5" si="0">SUM(E9:O9)</f>
        <v>2500000</v>
      </c>
      <c r="Q9" s="94">
        <f t="shared" ref="Q9:Q23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3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3" si="3">IFERROR(ROUNDDOWN((P9-AC9)*3.43%,-1),)</f>
        <v>75460</v>
      </c>
      <c r="U9" s="96">
        <f t="shared" ref="U9:U23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3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4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tr">
        <f>[1]직원인적급여카드!B4</f>
        <v>최종식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>
        <f t="shared" si="8"/>
        <v>99000</v>
      </c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229290</v>
      </c>
      <c r="X11" s="128">
        <f t="shared" si="7"/>
        <v>2270710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165</v>
      </c>
      <c r="D12" s="88" t="str">
        <f>[1]직원인적급여카드!C5</f>
        <v>과장</v>
      </c>
      <c r="E12" s="89">
        <v>1400000</v>
      </c>
      <c r="F12" s="102"/>
      <c r="G12" s="102"/>
      <c r="H12" s="102"/>
      <c r="I12" s="102"/>
      <c r="J12" s="103"/>
      <c r="K12" s="103"/>
      <c r="L12" s="103"/>
      <c r="M12" s="103"/>
      <c r="N12" s="89">
        <v>140000</v>
      </c>
      <c r="O12" s="129">
        <v>140000</v>
      </c>
      <c r="P12" s="124">
        <f t="shared" ref="P12" si="10">SUM(E12:O12)</f>
        <v>1680000</v>
      </c>
      <c r="Q12" s="125">
        <f t="shared" ref="Q12" si="11">IFERROR(IF(P12-AC12&lt;=10000000,VLOOKUP((P12-AC12)/1000,간이세액표,IF(11&lt;Z12+AA12,13,2+Z12+AA12),TRUE),IF(P12-AC12&gt;14000000,VLOOKUP((P12-AC12)/1000,간이세액표,IF(11&lt;Z12+AA12,13,2+Z12+AA12),TRUE)+1372000+ROUNDDOWN(((P12-AC12-14000000)*98%)*38%,-1),VLOOKUP((P12-AC12)/1000,간이세액표,IF(11&lt;Z12+AA12,13,2+Z12+AA12),TRUE)+ROUNDDOWN(((P12-AC12-10000000)*98%)*35%,-1))),)</f>
        <v>7630</v>
      </c>
      <c r="R12" s="126">
        <f t="shared" ref="R12" si="12">ROUNDDOWN(Q12*10%,-1)</f>
        <v>760</v>
      </c>
      <c r="S12" s="126">
        <f t="shared" ref="S12" si="13">IFERROR(IF(AND(P12-AC12&gt;=월액최저,P12-AC12&lt;=월액최고),ROUNDDOWN((P12-AC12)*국민연금,-1),IF(P12-AC12&gt;=월액최고,최고연금,IF(AND(P12-AC12&lt;=월액최저,P12-AC12&gt;=1),최저연금,))),)</f>
        <v>64800</v>
      </c>
      <c r="T12" s="95">
        <f t="shared" ref="T12" si="14">IFERROR(ROUNDDOWN((P12-AC12)*3.43%,-1),)</f>
        <v>49390</v>
      </c>
      <c r="U12" s="96">
        <f t="shared" ref="U12" si="15">ROUNDDOWN(T12*11.52%,-1)</f>
        <v>5680</v>
      </c>
      <c r="V12" s="127">
        <f t="shared" ref="V12" si="16">IFERROR(IF(D12&lt;&gt;"대표이사",ROUNDDOWN((P12-AC12)*고용보험율,-1),0),)</f>
        <v>11520</v>
      </c>
      <c r="W12" s="124">
        <f t="shared" ref="W12" si="17">SUM(Q12:V12)</f>
        <v>139780</v>
      </c>
      <c r="X12" s="128">
        <f t="shared" ref="X12" si="18">P12-W12</f>
        <v>1540220</v>
      </c>
      <c r="Z12" s="98">
        <v>1</v>
      </c>
      <c r="AA12" s="99"/>
      <c r="AC12" s="100">
        <f t="shared" si="9"/>
        <v>240000</v>
      </c>
    </row>
    <row r="13" spans="2:29" ht="20.100000000000001" customHeight="1" x14ac:dyDescent="0.3">
      <c r="B13" s="101">
        <v>5</v>
      </c>
      <c r="C13" s="87" t="str">
        <f>[1]직원인적급여카드!B6</f>
        <v>박인식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tr">
        <f>[1]직원인적급여카드!B7</f>
        <v>이은애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>
        <f t="shared" si="8"/>
        <v>99000</v>
      </c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229290</v>
      </c>
      <c r="X14" s="128">
        <f t="shared" si="7"/>
        <v>2270710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tr">
        <f>[1]직원인적급여카드!B8</f>
        <v>이일복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95"/>
      <c r="T15" s="95">
        <f t="shared" si="3"/>
        <v>75460</v>
      </c>
      <c r="U15" s="96">
        <f t="shared" si="4"/>
        <v>8690</v>
      </c>
      <c r="V15" s="96">
        <f t="shared" ref="V15:V23" si="19">IFERROR(IF(D15&lt;&gt;"대표이사",ROUNDDOWN((P15-AC15)*고용보험율,-1),0),)</f>
        <v>17600</v>
      </c>
      <c r="W15" s="93">
        <f t="shared" ref="W15:W23" si="20">SUM(Q15:V15)</f>
        <v>130290</v>
      </c>
      <c r="X15" s="97">
        <f t="shared" si="7"/>
        <v>2369710</v>
      </c>
      <c r="Z15" s="98">
        <v>1</v>
      </c>
      <c r="AA15" s="99"/>
      <c r="AC15" s="100">
        <f t="shared" ref="AC15:AC23" si="21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44</v>
      </c>
      <c r="D16" s="88" t="s">
        <v>45</v>
      </c>
      <c r="E16" s="89">
        <v>1050000</v>
      </c>
      <c r="F16" s="102"/>
      <c r="G16" s="102"/>
      <c r="H16" s="102"/>
      <c r="I16" s="102"/>
      <c r="J16" s="103"/>
      <c r="K16" s="103"/>
      <c r="L16" s="103"/>
      <c r="M16" s="103"/>
      <c r="N16" s="89">
        <v>100000</v>
      </c>
      <c r="O16" s="129">
        <v>100000</v>
      </c>
      <c r="P16" s="124">
        <f t="shared" ref="P16" si="22">SUM(E16:O16)</f>
        <v>1250000</v>
      </c>
      <c r="Q16" s="125">
        <f t="shared" ref="Q16" si="23">IFERROR(IF(P16-AC16&lt;=10000000,VLOOKUP((P16-AC16)/1000,간이세액표,IF(11&lt;Z16+AA16,13,2+Z16+AA16),TRUE),IF(P16-AC16&gt;14000000,VLOOKUP((P16-AC16)/1000,간이세액표,IF(11&lt;Z16+AA16,13,2+Z16+AA16),TRUE)+1372000+ROUNDDOWN(((P16-AC16-14000000)*98%)*38%,-1),VLOOKUP((P16-AC16)/1000,간이세액표,IF(11&lt;Z16+AA16,13,2+Z16+AA16),TRUE)+ROUNDDOWN(((P16-AC16-10000000)*98%)*35%,-1))),)</f>
        <v>0</v>
      </c>
      <c r="R16" s="126">
        <f t="shared" ref="R16" si="24">ROUNDDOWN(Q16*10%,-1)</f>
        <v>0</v>
      </c>
      <c r="S16" s="126">
        <f t="shared" ref="S16" si="25">IFERROR(IF(AND(P16-AC16&gt;=월액최저,P16-AC16&lt;=월액최고),ROUNDDOWN((P16-AC16)*국민연금,-1),IF(P16-AC16&gt;=월액최고,최고연금,IF(AND(P16-AC16&lt;=월액최저,P16-AC16&gt;=1),최저연금,))),)</f>
        <v>47250</v>
      </c>
      <c r="T16" s="95">
        <f t="shared" ref="T16" si="26">IFERROR(ROUNDDOWN((P16-AC16)*3.43%,-1),)</f>
        <v>36010</v>
      </c>
      <c r="U16" s="96">
        <f t="shared" ref="U16" si="27">ROUNDDOWN(T16*11.52%,-1)</f>
        <v>4140</v>
      </c>
      <c r="V16" s="127">
        <f>IFERROR(IF(D17&lt;&gt;"대표이사",ROUNDDOWN((P16-AC16)*고용보험율,-1),0),)</f>
        <v>8400</v>
      </c>
      <c r="W16" s="124">
        <f>SUM(Q16:V16)</f>
        <v>95800</v>
      </c>
      <c r="X16" s="128">
        <f t="shared" ref="X16" si="28">P16-W16</f>
        <v>1154200</v>
      </c>
      <c r="Z16" s="98">
        <v>1</v>
      </c>
      <c r="AA16" s="99"/>
      <c r="AC16" s="100">
        <f t="shared" si="21"/>
        <v>200000</v>
      </c>
    </row>
    <row r="17" spans="2:29" ht="20.100000000000001" customHeight="1" x14ac:dyDescent="0.3">
      <c r="B17" s="101">
        <v>9</v>
      </c>
      <c r="C17" s="87" t="s">
        <v>143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23" si="29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3" si="30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si="19"/>
        <v>17600</v>
      </c>
      <c r="W17" s="124">
        <f t="shared" si="20"/>
        <v>229290</v>
      </c>
      <c r="X17" s="128">
        <f t="shared" si="7"/>
        <v>2270710</v>
      </c>
      <c r="Z17" s="98">
        <v>1</v>
      </c>
      <c r="AA17" s="99"/>
      <c r="AC17" s="100">
        <f t="shared" si="21"/>
        <v>300000</v>
      </c>
    </row>
    <row r="18" spans="2:29" ht="20.100000000000001" customHeight="1" x14ac:dyDescent="0.3">
      <c r="B18" s="101">
        <v>10</v>
      </c>
      <c r="C18" s="87" t="s">
        <v>53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29"/>
        <v>2500000</v>
      </c>
      <c r="Q18" s="125">
        <f t="shared" si="1"/>
        <v>25950</v>
      </c>
      <c r="R18" s="126">
        <f t="shared" si="2"/>
        <v>2590</v>
      </c>
      <c r="S18" s="126">
        <f t="shared" si="30"/>
        <v>99000</v>
      </c>
      <c r="T18" s="95">
        <f t="shared" si="3"/>
        <v>75460</v>
      </c>
      <c r="U18" s="96">
        <f t="shared" si="4"/>
        <v>8690</v>
      </c>
      <c r="V18" s="127">
        <f t="shared" si="19"/>
        <v>17600</v>
      </c>
      <c r="W18" s="124">
        <f t="shared" si="20"/>
        <v>229290</v>
      </c>
      <c r="X18" s="128">
        <f t="shared" si="7"/>
        <v>2270710</v>
      </c>
      <c r="Z18" s="98">
        <v>1</v>
      </c>
      <c r="AA18" s="99"/>
      <c r="AC18" s="100">
        <f t="shared" si="21"/>
        <v>300000</v>
      </c>
    </row>
    <row r="19" spans="2:29" ht="20.100000000000001" customHeight="1" x14ac:dyDescent="0.3">
      <c r="B19" s="101">
        <v>11</v>
      </c>
      <c r="C19" s="87" t="s">
        <v>169</v>
      </c>
      <c r="D19" s="88" t="s">
        <v>50</v>
      </c>
      <c r="E19" s="89">
        <f>[1]직원인적급여카드!M12</f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93">
        <v>2500000</v>
      </c>
      <c r="Q19" s="94">
        <v>25950</v>
      </c>
      <c r="R19" s="126">
        <f t="shared" ref="R19" si="31">ROUNDDOWN(Q19*10%,-1)</f>
        <v>2590</v>
      </c>
      <c r="S19" s="126"/>
      <c r="T19" s="95">
        <v>75460</v>
      </c>
      <c r="U19" s="96">
        <f t="shared" ref="U19" si="32">ROUNDDOWN(T19*11.52%,-1)</f>
        <v>8690</v>
      </c>
      <c r="V19" s="127">
        <v>17600</v>
      </c>
      <c r="W19" s="124">
        <f>SUM(Q19:V19)</f>
        <v>130290</v>
      </c>
      <c r="X19" s="128">
        <f t="shared" ref="X19" si="33">P19-W19</f>
        <v>2369710</v>
      </c>
      <c r="Z19" s="98">
        <v>1</v>
      </c>
      <c r="AA19" s="99"/>
      <c r="AC19" s="100"/>
    </row>
    <row r="20" spans="2:29" ht="20.100000000000001" customHeight="1" x14ac:dyDescent="0.3">
      <c r="B20" s="101">
        <v>12</v>
      </c>
      <c r="C20" s="87" t="s">
        <v>166</v>
      </c>
      <c r="D20" s="88" t="s">
        <v>170</v>
      </c>
      <c r="E20" s="89">
        <v>1050000</v>
      </c>
      <c r="F20" s="102"/>
      <c r="G20" s="102"/>
      <c r="H20" s="102"/>
      <c r="I20" s="102"/>
      <c r="J20" s="103"/>
      <c r="K20" s="103"/>
      <c r="L20" s="103"/>
      <c r="M20" s="103"/>
      <c r="N20" s="89">
        <v>100000</v>
      </c>
      <c r="O20" s="104">
        <v>100000</v>
      </c>
      <c r="P20" s="93">
        <f t="shared" ref="P20:P21" si="34">SUM(E20:O20)</f>
        <v>1250000</v>
      </c>
      <c r="Q20" s="94">
        <v>25950</v>
      </c>
      <c r="R20" s="126">
        <f t="shared" ref="R20:R21" si="35">ROUNDDOWN(Q20*10%,-1)</f>
        <v>2590</v>
      </c>
      <c r="S20" s="126"/>
      <c r="T20" s="95">
        <v>75460</v>
      </c>
      <c r="U20" s="96">
        <f t="shared" ref="U20:U21" si="36">ROUNDDOWN(T20*11.52%,-1)</f>
        <v>8690</v>
      </c>
      <c r="V20" s="127">
        <v>17600</v>
      </c>
      <c r="W20" s="124">
        <f>SUM(Q20:V20)</f>
        <v>130290</v>
      </c>
      <c r="X20" s="97">
        <f t="shared" ref="X20:X21" si="37">P20-W20</f>
        <v>1119710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171</v>
      </c>
      <c r="D21" s="88" t="s">
        <v>45</v>
      </c>
      <c r="E21" s="89">
        <v>2100000</v>
      </c>
      <c r="F21" s="102"/>
      <c r="G21" s="102"/>
      <c r="H21" s="102"/>
      <c r="I21" s="102"/>
      <c r="J21" s="103"/>
      <c r="K21" s="103"/>
      <c r="L21" s="103"/>
      <c r="M21" s="103"/>
      <c r="N21" s="89">
        <v>200000</v>
      </c>
      <c r="O21" s="104">
        <v>200000</v>
      </c>
      <c r="P21" s="93">
        <f t="shared" si="34"/>
        <v>2500000</v>
      </c>
      <c r="Q21" s="94">
        <v>25950</v>
      </c>
      <c r="R21" s="126">
        <f t="shared" si="35"/>
        <v>2590</v>
      </c>
      <c r="S21" s="126"/>
      <c r="T21" s="95">
        <v>75460</v>
      </c>
      <c r="U21" s="96">
        <f t="shared" si="36"/>
        <v>8690</v>
      </c>
      <c r="V21" s="127">
        <v>17600</v>
      </c>
      <c r="W21" s="124">
        <f>SUM(Q21:V21)</f>
        <v>130290</v>
      </c>
      <c r="X21" s="97">
        <f t="shared" si="37"/>
        <v>2369710</v>
      </c>
      <c r="Z21" s="98">
        <v>1</v>
      </c>
      <c r="AA21" s="99"/>
      <c r="AC21" s="100"/>
    </row>
    <row r="22" spans="2:29" ht="20.100000000000001" customHeight="1" x14ac:dyDescent="0.3">
      <c r="B22" s="101">
        <v>14</v>
      </c>
      <c r="C22" s="87" t="s">
        <v>56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si="29"/>
        <v>2500000</v>
      </c>
      <c r="Q22" s="125">
        <f t="shared" si="1"/>
        <v>25950</v>
      </c>
      <c r="R22" s="126">
        <f t="shared" si="2"/>
        <v>2590</v>
      </c>
      <c r="S22" s="126"/>
      <c r="T22" s="95">
        <f t="shared" si="3"/>
        <v>75460</v>
      </c>
      <c r="U22" s="96">
        <f t="shared" si="4"/>
        <v>8690</v>
      </c>
      <c r="V22" s="127">
        <f t="shared" si="19"/>
        <v>17600</v>
      </c>
      <c r="W22" s="124">
        <f t="shared" si="20"/>
        <v>130290</v>
      </c>
      <c r="X22" s="128">
        <f t="shared" si="7"/>
        <v>2369710</v>
      </c>
      <c r="Z22" s="98">
        <v>1</v>
      </c>
      <c r="AA22" s="99"/>
      <c r="AC22" s="100">
        <f t="shared" si="21"/>
        <v>300000</v>
      </c>
    </row>
    <row r="23" spans="2:29" ht="20.100000000000001" customHeight="1" x14ac:dyDescent="0.3">
      <c r="B23" s="101">
        <v>15</v>
      </c>
      <c r="C23" s="87" t="s">
        <v>132</v>
      </c>
      <c r="D23" s="88" t="s">
        <v>50</v>
      </c>
      <c r="E23" s="89">
        <v>2100000</v>
      </c>
      <c r="F23" s="106"/>
      <c r="G23" s="106"/>
      <c r="H23" s="106"/>
      <c r="I23" s="106"/>
      <c r="J23" s="107"/>
      <c r="K23" s="107"/>
      <c r="L23" s="107"/>
      <c r="M23" s="107"/>
      <c r="N23" s="89">
        <v>200000</v>
      </c>
      <c r="O23" s="130">
        <v>200000</v>
      </c>
      <c r="P23" s="124">
        <f t="shared" si="29"/>
        <v>2500000</v>
      </c>
      <c r="Q23" s="125">
        <f t="shared" si="1"/>
        <v>25950</v>
      </c>
      <c r="R23" s="126">
        <f t="shared" si="2"/>
        <v>2590</v>
      </c>
      <c r="S23" s="126">
        <f t="shared" si="30"/>
        <v>99000</v>
      </c>
      <c r="T23" s="95">
        <f t="shared" si="3"/>
        <v>75460</v>
      </c>
      <c r="U23" s="96">
        <f t="shared" si="4"/>
        <v>8690</v>
      </c>
      <c r="V23" s="127">
        <f t="shared" si="19"/>
        <v>17600</v>
      </c>
      <c r="W23" s="124">
        <f t="shared" si="20"/>
        <v>229290</v>
      </c>
      <c r="X23" s="128">
        <f t="shared" si="7"/>
        <v>2270710</v>
      </c>
      <c r="Z23" s="98">
        <v>1</v>
      </c>
      <c r="AA23" s="99"/>
      <c r="AC23" s="100">
        <f t="shared" si="21"/>
        <v>300000</v>
      </c>
    </row>
    <row r="24" spans="2:29" ht="20.100000000000001" customHeight="1" x14ac:dyDescent="0.3">
      <c r="B24" s="216" t="s">
        <v>93</v>
      </c>
      <c r="C24" s="217"/>
      <c r="D24" s="218"/>
      <c r="E24" s="131">
        <f t="shared" ref="E24:X24" si="38">SUM(E9:E23)</f>
        <v>28700000</v>
      </c>
      <c r="F24" s="132">
        <f t="shared" si="38"/>
        <v>0</v>
      </c>
      <c r="G24" s="132">
        <f t="shared" si="38"/>
        <v>0</v>
      </c>
      <c r="H24" s="132">
        <f t="shared" si="38"/>
        <v>0</v>
      </c>
      <c r="I24" s="132">
        <f t="shared" si="38"/>
        <v>0</v>
      </c>
      <c r="J24" s="132">
        <f t="shared" si="38"/>
        <v>0</v>
      </c>
      <c r="K24" s="132">
        <f t="shared" si="38"/>
        <v>0</v>
      </c>
      <c r="L24" s="132">
        <f t="shared" si="38"/>
        <v>0</v>
      </c>
      <c r="M24" s="133">
        <f t="shared" si="38"/>
        <v>0</v>
      </c>
      <c r="N24" s="131">
        <f t="shared" si="38"/>
        <v>2740000</v>
      </c>
      <c r="O24" s="134">
        <f t="shared" si="38"/>
        <v>2740000</v>
      </c>
      <c r="P24" s="135">
        <f t="shared" si="38"/>
        <v>34180000</v>
      </c>
      <c r="Q24" s="131">
        <f t="shared" si="38"/>
        <v>344980</v>
      </c>
      <c r="R24" s="132">
        <f t="shared" si="38"/>
        <v>34430</v>
      </c>
      <c r="S24" s="132">
        <f t="shared" si="38"/>
        <v>805050</v>
      </c>
      <c r="T24" s="132">
        <f t="shared" si="38"/>
        <v>1066380</v>
      </c>
      <c r="U24" s="133">
        <f t="shared" si="38"/>
        <v>122790</v>
      </c>
      <c r="V24" s="133">
        <f t="shared" si="38"/>
        <v>248720</v>
      </c>
      <c r="W24" s="135">
        <f t="shared" si="38"/>
        <v>2622350</v>
      </c>
      <c r="X24" s="136">
        <f t="shared" si="38"/>
        <v>31557650</v>
      </c>
    </row>
    <row r="25" spans="2:29" ht="20.25" customHeight="1" thickBot="1" x14ac:dyDescent="0.35">
      <c r="B25" s="219" t="s">
        <v>94</v>
      </c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</row>
    <row r="26" spans="2:29" ht="15" customHeight="1" x14ac:dyDescent="0.3">
      <c r="B26" s="118"/>
      <c r="C26" s="119" t="s">
        <v>122</v>
      </c>
      <c r="D26" s="220" t="s">
        <v>123</v>
      </c>
      <c r="E26" s="221"/>
      <c r="F26" s="220" t="s">
        <v>124</v>
      </c>
      <c r="G26" s="221"/>
      <c r="H26" s="222" t="s">
        <v>95</v>
      </c>
      <c r="I26" s="223"/>
      <c r="J26" s="223"/>
      <c r="K26" s="223"/>
      <c r="L26" s="223"/>
      <c r="M26" s="223"/>
      <c r="N26" s="223"/>
      <c r="O26" s="223"/>
      <c r="P26" s="224"/>
      <c r="Q26" s="64"/>
      <c r="R26" s="64"/>
      <c r="S26" s="64"/>
      <c r="T26" s="64"/>
      <c r="U26" s="64"/>
      <c r="V26" s="64"/>
    </row>
    <row r="27" spans="2:29" ht="15" customHeight="1" x14ac:dyDescent="0.3">
      <c r="B27" s="225" t="s">
        <v>96</v>
      </c>
      <c r="C27" s="120" t="s">
        <v>164</v>
      </c>
      <c r="D27" s="197" t="s">
        <v>167</v>
      </c>
      <c r="E27" s="198"/>
      <c r="F27" s="204" t="s">
        <v>168</v>
      </c>
      <c r="G27" s="205"/>
      <c r="H27" s="206"/>
      <c r="I27" s="207"/>
      <c r="J27" s="207"/>
      <c r="K27" s="207"/>
      <c r="L27" s="207"/>
      <c r="M27" s="207"/>
      <c r="N27" s="207"/>
      <c r="O27" s="207"/>
      <c r="P27" s="208"/>
      <c r="Q27" s="64"/>
      <c r="R27" s="64"/>
      <c r="S27" s="64"/>
      <c r="T27" s="64"/>
      <c r="U27" s="64"/>
      <c r="V27" s="64"/>
    </row>
    <row r="28" spans="2:29" ht="15" customHeight="1" x14ac:dyDescent="0.3">
      <c r="B28" s="195"/>
      <c r="C28" s="120" t="s">
        <v>165</v>
      </c>
      <c r="D28" s="197" t="s">
        <v>192</v>
      </c>
      <c r="E28" s="198"/>
      <c r="F28" s="204" t="s">
        <v>172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47" t="s">
        <v>166</v>
      </c>
      <c r="D29" s="197" t="s">
        <v>193</v>
      </c>
      <c r="E29" s="198"/>
      <c r="F29" s="204" t="s">
        <v>173</v>
      </c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thickBot="1" x14ac:dyDescent="0.35">
      <c r="B30" s="226"/>
      <c r="C30" s="121" t="s">
        <v>44</v>
      </c>
      <c r="D30" s="227" t="s">
        <v>174</v>
      </c>
      <c r="E30" s="228"/>
      <c r="F30" s="229" t="s">
        <v>190</v>
      </c>
      <c r="G30" s="230"/>
      <c r="H30" s="231"/>
      <c r="I30" s="232"/>
      <c r="J30" s="232"/>
      <c r="K30" s="232"/>
      <c r="L30" s="232"/>
      <c r="M30" s="232"/>
      <c r="N30" s="232"/>
      <c r="O30" s="232"/>
      <c r="P30" s="233"/>
      <c r="Q30" s="64"/>
      <c r="R30" s="64"/>
      <c r="S30" s="64"/>
      <c r="T30" s="64"/>
      <c r="U30" s="64"/>
      <c r="V30" s="64"/>
    </row>
    <row r="31" spans="2:29" ht="15" customHeight="1" thickTop="1" x14ac:dyDescent="0.3">
      <c r="B31" s="195" t="s">
        <v>97</v>
      </c>
      <c r="C31" s="120" t="s">
        <v>161</v>
      </c>
      <c r="D31" s="197" t="s">
        <v>162</v>
      </c>
      <c r="E31" s="198"/>
      <c r="F31" s="199" t="s">
        <v>163</v>
      </c>
      <c r="G31" s="200"/>
      <c r="H31" s="201"/>
      <c r="I31" s="202"/>
      <c r="J31" s="202"/>
      <c r="K31" s="202"/>
      <c r="L31" s="202"/>
      <c r="M31" s="202"/>
      <c r="N31" s="202"/>
      <c r="O31" s="202"/>
      <c r="P31" s="203"/>
      <c r="Q31" s="64"/>
      <c r="R31" s="64"/>
      <c r="S31" s="64"/>
      <c r="T31" s="64"/>
      <c r="U31" s="64"/>
      <c r="V31" s="64"/>
    </row>
    <row r="32" spans="2:29" ht="15" customHeight="1" thickBot="1" x14ac:dyDescent="0.35">
      <c r="B32" s="195"/>
      <c r="C32" s="120" t="s">
        <v>44</v>
      </c>
      <c r="D32" s="227" t="s">
        <v>174</v>
      </c>
      <c r="E32" s="228"/>
      <c r="F32" s="204" t="s">
        <v>191</v>
      </c>
      <c r="G32" s="205"/>
      <c r="H32" s="206"/>
      <c r="I32" s="207"/>
      <c r="J32" s="207"/>
      <c r="K32" s="207"/>
      <c r="L32" s="207"/>
      <c r="M32" s="207"/>
      <c r="N32" s="207"/>
      <c r="O32" s="207"/>
      <c r="P32" s="208"/>
      <c r="Q32" s="64"/>
      <c r="R32" s="64"/>
      <c r="S32" s="64"/>
      <c r="T32" s="64"/>
      <c r="U32" s="64"/>
      <c r="V32" s="64"/>
    </row>
    <row r="33" spans="2:22" ht="15" customHeight="1" thickTop="1" thickBot="1" x14ac:dyDescent="0.35">
      <c r="B33" s="196"/>
      <c r="C33" s="122"/>
      <c r="D33" s="209"/>
      <c r="E33" s="210"/>
      <c r="F33" s="211"/>
      <c r="G33" s="212"/>
      <c r="H33" s="213"/>
      <c r="I33" s="214"/>
      <c r="J33" s="214"/>
      <c r="K33" s="214"/>
      <c r="L33" s="214"/>
      <c r="M33" s="214"/>
      <c r="N33" s="214"/>
      <c r="O33" s="214"/>
      <c r="P33" s="215"/>
      <c r="Q33" s="64"/>
      <c r="R33" s="64"/>
      <c r="S33" s="64"/>
      <c r="T33" s="64"/>
      <c r="U33" s="64"/>
      <c r="V33" s="64"/>
    </row>
    <row r="34" spans="2:22" ht="20.100000000000001" customHeight="1" x14ac:dyDescent="0.3">
      <c r="Q34" s="64"/>
      <c r="R34" s="64"/>
      <c r="S34" s="64"/>
      <c r="T34" s="64"/>
      <c r="U34" s="64"/>
      <c r="V34" s="64"/>
    </row>
    <row r="35" spans="2:22" s="64" customFormat="1" ht="20.100000000000001" customHeight="1" x14ac:dyDescent="0.3">
      <c r="B35" s="144"/>
      <c r="C35" s="144"/>
      <c r="D35" s="14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2:22" s="64" customFormat="1" ht="20.100000000000001" customHeight="1" x14ac:dyDescent="0.3">
      <c r="B36" s="144"/>
      <c r="C36" s="144"/>
      <c r="D36" s="14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22" s="64" customFormat="1" ht="20.100000000000001" customHeight="1" x14ac:dyDescent="0.3">
      <c r="B37" s="144"/>
      <c r="C37" s="144"/>
      <c r="D37" s="144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44"/>
      <c r="C38" s="144"/>
      <c r="D38" s="144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44"/>
      <c r="C39" s="144"/>
      <c r="D39" s="144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44"/>
      <c r="C40" s="144"/>
      <c r="D40" s="144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44"/>
      <c r="C41" s="144"/>
      <c r="D41" s="144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44"/>
      <c r="C42" s="144"/>
      <c r="D42" s="144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44"/>
      <c r="C43" s="144"/>
      <c r="D43" s="144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44"/>
      <c r="C44" s="144"/>
      <c r="D44" s="144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44"/>
      <c r="C45" s="144"/>
      <c r="D45" s="144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44"/>
      <c r="C46" s="144"/>
      <c r="D46" s="144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44"/>
      <c r="C47" s="144"/>
      <c r="D47" s="144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44"/>
      <c r="C48" s="144"/>
      <c r="D48" s="144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44"/>
      <c r="C49" s="144"/>
      <c r="D49" s="144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44"/>
      <c r="C50" s="144"/>
      <c r="D50" s="144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44"/>
      <c r="C51" s="144"/>
      <c r="D51" s="144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44"/>
      <c r="C52" s="144"/>
      <c r="D52" s="144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44"/>
      <c r="C53" s="144"/>
      <c r="D53" s="144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44"/>
      <c r="C54" s="144"/>
      <c r="D54" s="144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44"/>
      <c r="C55" s="144"/>
      <c r="D55" s="144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44"/>
      <c r="C56" s="144"/>
      <c r="D56" s="144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44"/>
      <c r="C57" s="144"/>
      <c r="D57" s="144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44"/>
      <c r="C58" s="144"/>
      <c r="D58" s="144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44"/>
      <c r="C59" s="144"/>
      <c r="D59" s="144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44"/>
      <c r="C60" s="144"/>
      <c r="D60" s="144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44"/>
      <c r="C61" s="144"/>
      <c r="D61" s="144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44"/>
      <c r="C62" s="144"/>
      <c r="D62" s="144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44"/>
      <c r="C63" s="144"/>
      <c r="D63" s="144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44"/>
      <c r="C64" s="144"/>
      <c r="D64" s="144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44"/>
      <c r="C65" s="144"/>
      <c r="D65" s="144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44"/>
      <c r="C66" s="144"/>
      <c r="D66" s="14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44"/>
      <c r="C67" s="144"/>
      <c r="D67" s="144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44"/>
      <c r="C68" s="144"/>
      <c r="D68" s="14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44"/>
      <c r="C69" s="144"/>
      <c r="D69" s="144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44"/>
      <c r="C70" s="144"/>
      <c r="D70" s="144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44"/>
      <c r="C71" s="144"/>
      <c r="D71" s="144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44"/>
      <c r="C72" s="144"/>
      <c r="D72" s="144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44"/>
      <c r="C73" s="144"/>
      <c r="D73" s="144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44"/>
      <c r="C74" s="144"/>
      <c r="D74" s="144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44"/>
      <c r="C75" s="144"/>
      <c r="D75" s="14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44"/>
      <c r="C76" s="144"/>
      <c r="D76" s="144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44"/>
      <c r="C77" s="144"/>
      <c r="D77" s="144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44"/>
      <c r="C78" s="144"/>
      <c r="D78" s="144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44"/>
      <c r="C79" s="144"/>
      <c r="D79" s="144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44"/>
      <c r="C80" s="144"/>
      <c r="D80" s="144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44"/>
      <c r="C81" s="144"/>
      <c r="D81" s="144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44"/>
      <c r="C82" s="144"/>
      <c r="D82" s="144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44"/>
      <c r="C83" s="144"/>
      <c r="D83" s="144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44"/>
      <c r="C84" s="144"/>
      <c r="D84" s="144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44"/>
      <c r="C85" s="144"/>
      <c r="D85" s="144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44"/>
      <c r="C86" s="144"/>
      <c r="D86" s="144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44"/>
      <c r="C87" s="144"/>
      <c r="D87" s="144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44"/>
      <c r="C88" s="144"/>
      <c r="D88" s="144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44"/>
      <c r="C89" s="144"/>
      <c r="D89" s="144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44"/>
      <c r="C90" s="144"/>
      <c r="D90" s="144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44"/>
      <c r="C91" s="144"/>
      <c r="D91" s="144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44"/>
      <c r="C92" s="144"/>
      <c r="D92" s="144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44"/>
      <c r="C93" s="144"/>
      <c r="D93" s="144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44"/>
      <c r="C94" s="144"/>
      <c r="D94" s="144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44"/>
      <c r="C95" s="144"/>
      <c r="D95" s="144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44"/>
      <c r="C96" s="144"/>
      <c r="D96" s="144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44"/>
      <c r="C97" s="144"/>
      <c r="D97" s="144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44"/>
      <c r="C98" s="144"/>
      <c r="D98" s="144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44"/>
      <c r="C99" s="144"/>
      <c r="D99" s="144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44"/>
      <c r="C100" s="144"/>
      <c r="D100" s="144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44"/>
      <c r="C101" s="144"/>
      <c r="D101" s="144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44"/>
      <c r="C102" s="144"/>
      <c r="D102" s="144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44"/>
      <c r="C103" s="144"/>
      <c r="D103" s="144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44"/>
      <c r="C104" s="144"/>
      <c r="D104" s="144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44"/>
      <c r="C105" s="144"/>
      <c r="D105" s="144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44"/>
      <c r="C106" s="144"/>
      <c r="D106" s="144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44"/>
      <c r="C107" s="144"/>
      <c r="D107" s="144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44"/>
      <c r="C108" s="144"/>
      <c r="D108" s="144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44"/>
      <c r="C109" s="144"/>
      <c r="D109" s="144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44"/>
      <c r="C110" s="144"/>
      <c r="D110" s="144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44"/>
      <c r="C111" s="144"/>
      <c r="D111" s="144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44"/>
      <c r="C112" s="144"/>
      <c r="D112" s="144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44"/>
      <c r="C113" s="144"/>
      <c r="D113" s="144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44"/>
      <c r="C114" s="144"/>
      <c r="D114" s="144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44"/>
      <c r="C115" s="144"/>
      <c r="D115" s="144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44"/>
      <c r="C116" s="144"/>
      <c r="D116" s="144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44"/>
      <c r="C117" s="144"/>
      <c r="D117" s="144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44"/>
      <c r="C118" s="144"/>
      <c r="D118" s="144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44"/>
      <c r="C119" s="144"/>
      <c r="D119" s="144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44"/>
      <c r="C120" s="144"/>
      <c r="D120" s="144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44"/>
      <c r="C121" s="144"/>
      <c r="D121" s="144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44"/>
      <c r="C122" s="144"/>
      <c r="D122" s="144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44"/>
      <c r="C123" s="144"/>
      <c r="D123" s="144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44"/>
      <c r="C124" s="144"/>
      <c r="D124" s="144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44"/>
      <c r="C125" s="144"/>
      <c r="D125" s="144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44"/>
      <c r="C126" s="144"/>
      <c r="D126" s="144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44"/>
      <c r="C127" s="144"/>
      <c r="D127" s="144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44"/>
      <c r="C128" s="144"/>
      <c r="D128" s="144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44"/>
      <c r="C129" s="144"/>
      <c r="D129" s="144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44"/>
      <c r="C130" s="144"/>
      <c r="D130" s="144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44"/>
      <c r="C131" s="144"/>
      <c r="D131" s="144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44"/>
      <c r="C132" s="144"/>
      <c r="D132" s="144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44"/>
      <c r="C133" s="144"/>
      <c r="D133" s="144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44"/>
      <c r="C134" s="144"/>
      <c r="D134" s="144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44"/>
      <c r="C135" s="144"/>
      <c r="D135" s="144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44"/>
      <c r="C136" s="144"/>
      <c r="D136" s="144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44"/>
      <c r="C137" s="144"/>
      <c r="D137" s="144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44"/>
      <c r="C138" s="144"/>
      <c r="D138" s="144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44"/>
      <c r="C139" s="144"/>
      <c r="D139" s="144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44"/>
      <c r="C140" s="144"/>
      <c r="D140" s="144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44"/>
      <c r="C141" s="144"/>
      <c r="D141" s="144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44"/>
      <c r="C142" s="144"/>
      <c r="D142" s="144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44"/>
      <c r="C143" s="144"/>
      <c r="D143" s="144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44"/>
      <c r="C144" s="144"/>
      <c r="D144" s="144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44"/>
      <c r="C145" s="144"/>
      <c r="D145" s="144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44"/>
      <c r="C146" s="144"/>
      <c r="D146" s="144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44"/>
      <c r="C147" s="144"/>
      <c r="D147" s="144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44"/>
      <c r="C148" s="144"/>
      <c r="D148" s="144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44"/>
      <c r="C149" s="144"/>
      <c r="D149" s="144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44"/>
      <c r="C150" s="144"/>
      <c r="D150" s="144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44"/>
      <c r="C151" s="144"/>
      <c r="D151" s="144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44"/>
      <c r="C152" s="144"/>
      <c r="D152" s="144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44"/>
      <c r="C153" s="144"/>
      <c r="D153" s="144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44"/>
      <c r="C154" s="144"/>
      <c r="D154" s="144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44"/>
      <c r="C155" s="144"/>
      <c r="D155" s="144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44"/>
      <c r="C156" s="144"/>
      <c r="D156" s="144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44"/>
      <c r="C157" s="144"/>
      <c r="D157" s="144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44"/>
      <c r="C158" s="144"/>
      <c r="D158" s="144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44"/>
      <c r="C159" s="144"/>
      <c r="D159" s="144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44"/>
      <c r="C160" s="144"/>
      <c r="D160" s="144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44"/>
      <c r="C161" s="144"/>
      <c r="D161" s="144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44"/>
      <c r="C162" s="144"/>
      <c r="D162" s="144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44"/>
      <c r="C163" s="144"/>
      <c r="D163" s="144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44"/>
      <c r="C164" s="144"/>
      <c r="D164" s="144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44"/>
      <c r="C165" s="144"/>
      <c r="D165" s="144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44"/>
      <c r="C166" s="144"/>
      <c r="D166" s="144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44"/>
      <c r="C167" s="144"/>
      <c r="D167" s="144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44"/>
      <c r="C168" s="144"/>
      <c r="D168" s="144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44"/>
      <c r="C169" s="144"/>
      <c r="D169" s="144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44"/>
      <c r="C170" s="144"/>
      <c r="D170" s="144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44"/>
      <c r="C171" s="144"/>
      <c r="D171" s="144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44"/>
      <c r="C172" s="144"/>
      <c r="D172" s="144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44"/>
      <c r="C173" s="144"/>
      <c r="D173" s="144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44"/>
      <c r="C174" s="144"/>
      <c r="D174" s="144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44"/>
      <c r="C175" s="144"/>
      <c r="D175" s="144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44"/>
      <c r="C176" s="144"/>
      <c r="D176" s="144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44"/>
      <c r="C177" s="144"/>
      <c r="D177" s="144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44"/>
      <c r="C178" s="144"/>
      <c r="D178" s="144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44"/>
      <c r="C179" s="144"/>
      <c r="D179" s="144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44"/>
      <c r="C180" s="144"/>
      <c r="D180" s="144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44"/>
      <c r="C181" s="144"/>
      <c r="D181" s="144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44"/>
      <c r="C182" s="144"/>
      <c r="D182" s="144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44"/>
      <c r="C183" s="144"/>
      <c r="D183" s="144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44"/>
      <c r="C184" s="144"/>
      <c r="D184" s="144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44"/>
      <c r="C185" s="144"/>
      <c r="D185" s="144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44"/>
      <c r="C186" s="144"/>
      <c r="D186" s="144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44"/>
      <c r="C187" s="144"/>
      <c r="D187" s="144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44"/>
      <c r="C188" s="144"/>
      <c r="D188" s="144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44"/>
      <c r="C189" s="144"/>
      <c r="D189" s="144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44"/>
      <c r="C190" s="144"/>
      <c r="D190" s="144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44"/>
      <c r="C191" s="144"/>
      <c r="D191" s="144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44"/>
      <c r="C192" s="144"/>
      <c r="D192" s="144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44"/>
      <c r="C193" s="144"/>
      <c r="D193" s="144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44"/>
      <c r="C194" s="144"/>
      <c r="D194" s="144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44"/>
      <c r="C195" s="144"/>
      <c r="D195" s="144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44"/>
      <c r="C196" s="144"/>
      <c r="D196" s="144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44"/>
      <c r="C197" s="144"/>
      <c r="D197" s="144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44"/>
      <c r="C198" s="144"/>
      <c r="D198" s="144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44"/>
      <c r="C199" s="144"/>
      <c r="D199" s="144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44"/>
      <c r="C200" s="144"/>
      <c r="D200" s="144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44"/>
      <c r="C201" s="144"/>
      <c r="D201" s="144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44"/>
      <c r="C202" s="144"/>
      <c r="D202" s="144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44"/>
      <c r="C203" s="144"/>
      <c r="D203" s="144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44"/>
      <c r="C204" s="144"/>
      <c r="D204" s="144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44"/>
      <c r="C205" s="144"/>
      <c r="D205" s="144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44"/>
      <c r="C206" s="144"/>
      <c r="D206" s="144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44"/>
      <c r="C207" s="144"/>
      <c r="D207" s="144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44"/>
      <c r="C208" s="144"/>
      <c r="D208" s="144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44"/>
      <c r="C209" s="144"/>
      <c r="D209" s="144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44"/>
      <c r="C210" s="144"/>
      <c r="D210" s="144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44"/>
      <c r="C211" s="144"/>
      <c r="D211" s="144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44"/>
      <c r="C212" s="144"/>
      <c r="D212" s="144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44"/>
      <c r="C213" s="144"/>
      <c r="D213" s="144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44"/>
      <c r="C214" s="144"/>
      <c r="D214" s="144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44"/>
      <c r="C215" s="144"/>
      <c r="D215" s="144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44"/>
      <c r="C216" s="144"/>
      <c r="D216" s="144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44"/>
      <c r="C217" s="144"/>
      <c r="D217" s="144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44"/>
      <c r="C218" s="144"/>
      <c r="D218" s="144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44"/>
      <c r="C219" s="144"/>
      <c r="D219" s="144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44"/>
      <c r="C220" s="144"/>
      <c r="D220" s="144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44"/>
      <c r="C221" s="144"/>
      <c r="D221" s="144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44"/>
      <c r="C222" s="144"/>
      <c r="D222" s="144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44"/>
      <c r="C223" s="144"/>
      <c r="D223" s="144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44"/>
      <c r="C224" s="144"/>
      <c r="D224" s="144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44"/>
      <c r="C225" s="144"/>
      <c r="D225" s="144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44"/>
      <c r="C226" s="144"/>
      <c r="D226" s="144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44"/>
      <c r="C227" s="144"/>
      <c r="D227" s="144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44"/>
      <c r="C228" s="144"/>
      <c r="D228" s="144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44"/>
      <c r="C229" s="144"/>
      <c r="D229" s="144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44"/>
      <c r="C230" s="144"/>
      <c r="D230" s="144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44"/>
      <c r="C231" s="144"/>
      <c r="D231" s="144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44"/>
      <c r="C232" s="144"/>
      <c r="D232" s="144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44"/>
      <c r="C233" s="144"/>
      <c r="D233" s="144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44"/>
      <c r="C234" s="144"/>
      <c r="D234" s="144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44"/>
      <c r="C235" s="144"/>
      <c r="D235" s="144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44"/>
      <c r="C236" s="144"/>
      <c r="D236" s="144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44"/>
      <c r="C237" s="144"/>
      <c r="D237" s="144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44"/>
      <c r="C238" s="144"/>
      <c r="D238" s="144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44"/>
      <c r="C239" s="144"/>
      <c r="D239" s="144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44"/>
      <c r="C240" s="144"/>
      <c r="D240" s="144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44"/>
      <c r="C241" s="144"/>
      <c r="D241" s="144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44"/>
      <c r="C242" s="144"/>
      <c r="D242" s="144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44"/>
      <c r="C243" s="144"/>
      <c r="D243" s="144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44"/>
      <c r="C244" s="144"/>
      <c r="D244" s="144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44"/>
      <c r="C245" s="144"/>
      <c r="D245" s="144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44"/>
      <c r="C246" s="144"/>
      <c r="D246" s="144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44"/>
      <c r="C247" s="144"/>
      <c r="D247" s="144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44"/>
      <c r="C248" s="144"/>
      <c r="D248" s="144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44"/>
      <c r="C249" s="144"/>
      <c r="D249" s="144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44"/>
      <c r="C250" s="144"/>
      <c r="D250" s="144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44"/>
      <c r="C251" s="144"/>
      <c r="D251" s="144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44"/>
      <c r="C252" s="144"/>
      <c r="D252" s="144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44"/>
      <c r="C253" s="144"/>
      <c r="D253" s="144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44"/>
      <c r="C254" s="144"/>
      <c r="D254" s="144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44"/>
      <c r="C255" s="144"/>
      <c r="D255" s="144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44"/>
      <c r="C256" s="144"/>
      <c r="D256" s="144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44"/>
      <c r="C257" s="144"/>
      <c r="D257" s="144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44"/>
      <c r="C258" s="144"/>
      <c r="D258" s="144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44"/>
      <c r="C259" s="144"/>
      <c r="D259" s="144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44"/>
      <c r="C260" s="144"/>
      <c r="D260" s="144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44"/>
      <c r="C261" s="144"/>
      <c r="D261" s="144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44"/>
      <c r="C262" s="144"/>
      <c r="D262" s="144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44"/>
      <c r="C263" s="144"/>
      <c r="D263" s="144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44"/>
      <c r="C264" s="144"/>
      <c r="D264" s="144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44"/>
      <c r="C265" s="144"/>
      <c r="D265" s="144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44"/>
      <c r="C266" s="144"/>
      <c r="D266" s="144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44"/>
      <c r="C267" s="144"/>
      <c r="D267" s="144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44"/>
      <c r="C268" s="144"/>
      <c r="D268" s="144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44"/>
      <c r="C269" s="144"/>
      <c r="D269" s="144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44"/>
      <c r="C270" s="144"/>
      <c r="D270" s="144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44"/>
      <c r="C271" s="144"/>
      <c r="D271" s="144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44"/>
      <c r="C272" s="144"/>
      <c r="D272" s="144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44"/>
      <c r="C273" s="144"/>
      <c r="D273" s="144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44"/>
      <c r="C274" s="144"/>
      <c r="D274" s="144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44"/>
      <c r="C275" s="144"/>
      <c r="D275" s="144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44"/>
      <c r="C276" s="144"/>
      <c r="D276" s="144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44"/>
      <c r="C277" s="144"/>
      <c r="D277" s="144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44"/>
      <c r="C278" s="144"/>
      <c r="D278" s="144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44"/>
      <c r="C279" s="144"/>
      <c r="D279" s="144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44"/>
      <c r="C280" s="144"/>
      <c r="D280" s="144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44"/>
      <c r="C281" s="144"/>
      <c r="D281" s="144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</sheetData>
  <mergeCells count="48">
    <mergeCell ref="X4:X5"/>
    <mergeCell ref="B5:E5"/>
    <mergeCell ref="F5:G5"/>
    <mergeCell ref="B3:E4"/>
    <mergeCell ref="L3:P3"/>
    <mergeCell ref="T4:T5"/>
    <mergeCell ref="V4:V5"/>
    <mergeCell ref="W4:W5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B24:D24"/>
    <mergeCell ref="B25:X25"/>
    <mergeCell ref="D26:E26"/>
    <mergeCell ref="F26:G26"/>
    <mergeCell ref="H26:P26"/>
    <mergeCell ref="B27:B30"/>
    <mergeCell ref="D27:E27"/>
    <mergeCell ref="F27:G27"/>
    <mergeCell ref="H27:P27"/>
    <mergeCell ref="D28:E28"/>
    <mergeCell ref="D29:E29"/>
    <mergeCell ref="F29:G29"/>
    <mergeCell ref="H29:P29"/>
    <mergeCell ref="F28:G28"/>
    <mergeCell ref="H28:P28"/>
    <mergeCell ref="D30:E30"/>
    <mergeCell ref="F30:G30"/>
    <mergeCell ref="H30:P30"/>
    <mergeCell ref="B31:B33"/>
    <mergeCell ref="D31:E31"/>
    <mergeCell ref="F31:G31"/>
    <mergeCell ref="H31:P31"/>
    <mergeCell ref="D32:E32"/>
    <mergeCell ref="F32:G32"/>
    <mergeCell ref="H32:P32"/>
    <mergeCell ref="D33:E33"/>
    <mergeCell ref="F33:G33"/>
    <mergeCell ref="H33:P33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282"/>
  <sheetViews>
    <sheetView topLeftCell="A4" zoomScale="80" zoomScaleNormal="80" workbookViewId="0">
      <selection activeCell="D29" sqref="D29:E29"/>
    </sheetView>
  </sheetViews>
  <sheetFormatPr defaultRowHeight="24.75" customHeight="1" x14ac:dyDescent="0.3"/>
  <cols>
    <col min="1" max="1" width="1.625" style="144" customWidth="1"/>
    <col min="2" max="2" width="4.625" style="144" bestFit="1" customWidth="1"/>
    <col min="3" max="3" width="7.625" style="144" bestFit="1" customWidth="1"/>
    <col min="4" max="4" width="8" style="144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44" customWidth="1"/>
    <col min="26" max="26" width="8.375" style="144" customWidth="1"/>
    <col min="27" max="27" width="7.25" style="144" customWidth="1"/>
    <col min="28" max="28" width="3.875" style="144" customWidth="1"/>
    <col min="29" max="29" width="0.5" style="144" customWidth="1"/>
    <col min="30" max="257" width="9" style="144"/>
    <col min="258" max="258" width="4.625" style="144" bestFit="1" customWidth="1"/>
    <col min="259" max="259" width="7.5" style="144" bestFit="1" customWidth="1"/>
    <col min="260" max="260" width="6.25" style="144" customWidth="1"/>
    <col min="261" max="261" width="11" style="144" bestFit="1" customWidth="1"/>
    <col min="262" max="263" width="9.625" style="144" bestFit="1" customWidth="1"/>
    <col min="264" max="264" width="8.25" style="144" bestFit="1" customWidth="1"/>
    <col min="265" max="266" width="9.625" style="144" bestFit="1" customWidth="1"/>
    <col min="267" max="267" width="8.25" style="144" bestFit="1" customWidth="1"/>
    <col min="268" max="269" width="9.625" style="144" bestFit="1" customWidth="1"/>
    <col min="270" max="271" width="8.25" style="144" bestFit="1" customWidth="1"/>
    <col min="272" max="272" width="11" style="144" bestFit="1" customWidth="1"/>
    <col min="273" max="273" width="8" style="144" bestFit="1" customWidth="1"/>
    <col min="274" max="274" width="7.75" style="144" bestFit="1" customWidth="1"/>
    <col min="275" max="276" width="9.625" style="144" bestFit="1" customWidth="1"/>
    <col min="277" max="278" width="9.625" style="144" customWidth="1"/>
    <col min="279" max="279" width="9.25" style="144" bestFit="1" customWidth="1"/>
    <col min="280" max="280" width="11" style="144" bestFit="1" customWidth="1"/>
    <col min="281" max="513" width="9" style="144"/>
    <col min="514" max="514" width="4.625" style="144" bestFit="1" customWidth="1"/>
    <col min="515" max="515" width="7.5" style="144" bestFit="1" customWidth="1"/>
    <col min="516" max="516" width="6.25" style="144" customWidth="1"/>
    <col min="517" max="517" width="11" style="144" bestFit="1" customWidth="1"/>
    <col min="518" max="519" width="9.625" style="144" bestFit="1" customWidth="1"/>
    <col min="520" max="520" width="8.25" style="144" bestFit="1" customWidth="1"/>
    <col min="521" max="522" width="9.625" style="144" bestFit="1" customWidth="1"/>
    <col min="523" max="523" width="8.25" style="144" bestFit="1" customWidth="1"/>
    <col min="524" max="525" width="9.625" style="144" bestFit="1" customWidth="1"/>
    <col min="526" max="527" width="8.25" style="144" bestFit="1" customWidth="1"/>
    <col min="528" max="528" width="11" style="144" bestFit="1" customWidth="1"/>
    <col min="529" max="529" width="8" style="144" bestFit="1" customWidth="1"/>
    <col min="530" max="530" width="7.75" style="144" bestFit="1" customWidth="1"/>
    <col min="531" max="532" width="9.625" style="144" bestFit="1" customWidth="1"/>
    <col min="533" max="534" width="9.625" style="144" customWidth="1"/>
    <col min="535" max="535" width="9.25" style="144" bestFit="1" customWidth="1"/>
    <col min="536" max="536" width="11" style="144" bestFit="1" customWidth="1"/>
    <col min="537" max="769" width="9" style="144"/>
    <col min="770" max="770" width="4.625" style="144" bestFit="1" customWidth="1"/>
    <col min="771" max="771" width="7.5" style="144" bestFit="1" customWidth="1"/>
    <col min="772" max="772" width="6.25" style="144" customWidth="1"/>
    <col min="773" max="773" width="11" style="144" bestFit="1" customWidth="1"/>
    <col min="774" max="775" width="9.625" style="144" bestFit="1" customWidth="1"/>
    <col min="776" max="776" width="8.25" style="144" bestFit="1" customWidth="1"/>
    <col min="777" max="778" width="9.625" style="144" bestFit="1" customWidth="1"/>
    <col min="779" max="779" width="8.25" style="144" bestFit="1" customWidth="1"/>
    <col min="780" max="781" width="9.625" style="144" bestFit="1" customWidth="1"/>
    <col min="782" max="783" width="8.25" style="144" bestFit="1" customWidth="1"/>
    <col min="784" max="784" width="11" style="144" bestFit="1" customWidth="1"/>
    <col min="785" max="785" width="8" style="144" bestFit="1" customWidth="1"/>
    <col min="786" max="786" width="7.75" style="144" bestFit="1" customWidth="1"/>
    <col min="787" max="788" width="9.625" style="144" bestFit="1" customWidth="1"/>
    <col min="789" max="790" width="9.625" style="144" customWidth="1"/>
    <col min="791" max="791" width="9.25" style="144" bestFit="1" customWidth="1"/>
    <col min="792" max="792" width="11" style="144" bestFit="1" customWidth="1"/>
    <col min="793" max="1025" width="9" style="144"/>
    <col min="1026" max="1026" width="4.625" style="144" bestFit="1" customWidth="1"/>
    <col min="1027" max="1027" width="7.5" style="144" bestFit="1" customWidth="1"/>
    <col min="1028" max="1028" width="6.25" style="144" customWidth="1"/>
    <col min="1029" max="1029" width="11" style="144" bestFit="1" customWidth="1"/>
    <col min="1030" max="1031" width="9.625" style="144" bestFit="1" customWidth="1"/>
    <col min="1032" max="1032" width="8.25" style="144" bestFit="1" customWidth="1"/>
    <col min="1033" max="1034" width="9.625" style="144" bestFit="1" customWidth="1"/>
    <col min="1035" max="1035" width="8.25" style="144" bestFit="1" customWidth="1"/>
    <col min="1036" max="1037" width="9.625" style="144" bestFit="1" customWidth="1"/>
    <col min="1038" max="1039" width="8.25" style="144" bestFit="1" customWidth="1"/>
    <col min="1040" max="1040" width="11" style="144" bestFit="1" customWidth="1"/>
    <col min="1041" max="1041" width="8" style="144" bestFit="1" customWidth="1"/>
    <col min="1042" max="1042" width="7.75" style="144" bestFit="1" customWidth="1"/>
    <col min="1043" max="1044" width="9.625" style="144" bestFit="1" customWidth="1"/>
    <col min="1045" max="1046" width="9.625" style="144" customWidth="1"/>
    <col min="1047" max="1047" width="9.25" style="144" bestFit="1" customWidth="1"/>
    <col min="1048" max="1048" width="11" style="144" bestFit="1" customWidth="1"/>
    <col min="1049" max="1281" width="9" style="144"/>
    <col min="1282" max="1282" width="4.625" style="144" bestFit="1" customWidth="1"/>
    <col min="1283" max="1283" width="7.5" style="144" bestFit="1" customWidth="1"/>
    <col min="1284" max="1284" width="6.25" style="144" customWidth="1"/>
    <col min="1285" max="1285" width="11" style="144" bestFit="1" customWidth="1"/>
    <col min="1286" max="1287" width="9.625" style="144" bestFit="1" customWidth="1"/>
    <col min="1288" max="1288" width="8.25" style="144" bestFit="1" customWidth="1"/>
    <col min="1289" max="1290" width="9.625" style="144" bestFit="1" customWidth="1"/>
    <col min="1291" max="1291" width="8.25" style="144" bestFit="1" customWidth="1"/>
    <col min="1292" max="1293" width="9.625" style="144" bestFit="1" customWidth="1"/>
    <col min="1294" max="1295" width="8.25" style="144" bestFit="1" customWidth="1"/>
    <col min="1296" max="1296" width="11" style="144" bestFit="1" customWidth="1"/>
    <col min="1297" max="1297" width="8" style="144" bestFit="1" customWidth="1"/>
    <col min="1298" max="1298" width="7.75" style="144" bestFit="1" customWidth="1"/>
    <col min="1299" max="1300" width="9.625" style="144" bestFit="1" customWidth="1"/>
    <col min="1301" max="1302" width="9.625" style="144" customWidth="1"/>
    <col min="1303" max="1303" width="9.25" style="144" bestFit="1" customWidth="1"/>
    <col min="1304" max="1304" width="11" style="144" bestFit="1" customWidth="1"/>
    <col min="1305" max="1537" width="9" style="144"/>
    <col min="1538" max="1538" width="4.625" style="144" bestFit="1" customWidth="1"/>
    <col min="1539" max="1539" width="7.5" style="144" bestFit="1" customWidth="1"/>
    <col min="1540" max="1540" width="6.25" style="144" customWidth="1"/>
    <col min="1541" max="1541" width="11" style="144" bestFit="1" customWidth="1"/>
    <col min="1542" max="1543" width="9.625" style="144" bestFit="1" customWidth="1"/>
    <col min="1544" max="1544" width="8.25" style="144" bestFit="1" customWidth="1"/>
    <col min="1545" max="1546" width="9.625" style="144" bestFit="1" customWidth="1"/>
    <col min="1547" max="1547" width="8.25" style="144" bestFit="1" customWidth="1"/>
    <col min="1548" max="1549" width="9.625" style="144" bestFit="1" customWidth="1"/>
    <col min="1550" max="1551" width="8.25" style="144" bestFit="1" customWidth="1"/>
    <col min="1552" max="1552" width="11" style="144" bestFit="1" customWidth="1"/>
    <col min="1553" max="1553" width="8" style="144" bestFit="1" customWidth="1"/>
    <col min="1554" max="1554" width="7.75" style="144" bestFit="1" customWidth="1"/>
    <col min="1555" max="1556" width="9.625" style="144" bestFit="1" customWidth="1"/>
    <col min="1557" max="1558" width="9.625" style="144" customWidth="1"/>
    <col min="1559" max="1559" width="9.25" style="144" bestFit="1" customWidth="1"/>
    <col min="1560" max="1560" width="11" style="144" bestFit="1" customWidth="1"/>
    <col min="1561" max="1793" width="9" style="144"/>
    <col min="1794" max="1794" width="4.625" style="144" bestFit="1" customWidth="1"/>
    <col min="1795" max="1795" width="7.5" style="144" bestFit="1" customWidth="1"/>
    <col min="1796" max="1796" width="6.25" style="144" customWidth="1"/>
    <col min="1797" max="1797" width="11" style="144" bestFit="1" customWidth="1"/>
    <col min="1798" max="1799" width="9.625" style="144" bestFit="1" customWidth="1"/>
    <col min="1800" max="1800" width="8.25" style="144" bestFit="1" customWidth="1"/>
    <col min="1801" max="1802" width="9.625" style="144" bestFit="1" customWidth="1"/>
    <col min="1803" max="1803" width="8.25" style="144" bestFit="1" customWidth="1"/>
    <col min="1804" max="1805" width="9.625" style="144" bestFit="1" customWidth="1"/>
    <col min="1806" max="1807" width="8.25" style="144" bestFit="1" customWidth="1"/>
    <col min="1808" max="1808" width="11" style="144" bestFit="1" customWidth="1"/>
    <col min="1809" max="1809" width="8" style="144" bestFit="1" customWidth="1"/>
    <col min="1810" max="1810" width="7.75" style="144" bestFit="1" customWidth="1"/>
    <col min="1811" max="1812" width="9.625" style="144" bestFit="1" customWidth="1"/>
    <col min="1813" max="1814" width="9.625" style="144" customWidth="1"/>
    <col min="1815" max="1815" width="9.25" style="144" bestFit="1" customWidth="1"/>
    <col min="1816" max="1816" width="11" style="144" bestFit="1" customWidth="1"/>
    <col min="1817" max="2049" width="9" style="144"/>
    <col min="2050" max="2050" width="4.625" style="144" bestFit="1" customWidth="1"/>
    <col min="2051" max="2051" width="7.5" style="144" bestFit="1" customWidth="1"/>
    <col min="2052" max="2052" width="6.25" style="144" customWidth="1"/>
    <col min="2053" max="2053" width="11" style="144" bestFit="1" customWidth="1"/>
    <col min="2054" max="2055" width="9.625" style="144" bestFit="1" customWidth="1"/>
    <col min="2056" max="2056" width="8.25" style="144" bestFit="1" customWidth="1"/>
    <col min="2057" max="2058" width="9.625" style="144" bestFit="1" customWidth="1"/>
    <col min="2059" max="2059" width="8.25" style="144" bestFit="1" customWidth="1"/>
    <col min="2060" max="2061" width="9.625" style="144" bestFit="1" customWidth="1"/>
    <col min="2062" max="2063" width="8.25" style="144" bestFit="1" customWidth="1"/>
    <col min="2064" max="2064" width="11" style="144" bestFit="1" customWidth="1"/>
    <col min="2065" max="2065" width="8" style="144" bestFit="1" customWidth="1"/>
    <col min="2066" max="2066" width="7.75" style="144" bestFit="1" customWidth="1"/>
    <col min="2067" max="2068" width="9.625" style="144" bestFit="1" customWidth="1"/>
    <col min="2069" max="2070" width="9.625" style="144" customWidth="1"/>
    <col min="2071" max="2071" width="9.25" style="144" bestFit="1" customWidth="1"/>
    <col min="2072" max="2072" width="11" style="144" bestFit="1" customWidth="1"/>
    <col min="2073" max="2305" width="9" style="144"/>
    <col min="2306" max="2306" width="4.625" style="144" bestFit="1" customWidth="1"/>
    <col min="2307" max="2307" width="7.5" style="144" bestFit="1" customWidth="1"/>
    <col min="2308" max="2308" width="6.25" style="144" customWidth="1"/>
    <col min="2309" max="2309" width="11" style="144" bestFit="1" customWidth="1"/>
    <col min="2310" max="2311" width="9.625" style="144" bestFit="1" customWidth="1"/>
    <col min="2312" max="2312" width="8.25" style="144" bestFit="1" customWidth="1"/>
    <col min="2313" max="2314" width="9.625" style="144" bestFit="1" customWidth="1"/>
    <col min="2315" max="2315" width="8.25" style="144" bestFit="1" customWidth="1"/>
    <col min="2316" max="2317" width="9.625" style="144" bestFit="1" customWidth="1"/>
    <col min="2318" max="2319" width="8.25" style="144" bestFit="1" customWidth="1"/>
    <col min="2320" max="2320" width="11" style="144" bestFit="1" customWidth="1"/>
    <col min="2321" max="2321" width="8" style="144" bestFit="1" customWidth="1"/>
    <col min="2322" max="2322" width="7.75" style="144" bestFit="1" customWidth="1"/>
    <col min="2323" max="2324" width="9.625" style="144" bestFit="1" customWidth="1"/>
    <col min="2325" max="2326" width="9.625" style="144" customWidth="1"/>
    <col min="2327" max="2327" width="9.25" style="144" bestFit="1" customWidth="1"/>
    <col min="2328" max="2328" width="11" style="144" bestFit="1" customWidth="1"/>
    <col min="2329" max="2561" width="9" style="144"/>
    <col min="2562" max="2562" width="4.625" style="144" bestFit="1" customWidth="1"/>
    <col min="2563" max="2563" width="7.5" style="144" bestFit="1" customWidth="1"/>
    <col min="2564" max="2564" width="6.25" style="144" customWidth="1"/>
    <col min="2565" max="2565" width="11" style="144" bestFit="1" customWidth="1"/>
    <col min="2566" max="2567" width="9.625" style="144" bestFit="1" customWidth="1"/>
    <col min="2568" max="2568" width="8.25" style="144" bestFit="1" customWidth="1"/>
    <col min="2569" max="2570" width="9.625" style="144" bestFit="1" customWidth="1"/>
    <col min="2571" max="2571" width="8.25" style="144" bestFit="1" customWidth="1"/>
    <col min="2572" max="2573" width="9.625" style="144" bestFit="1" customWidth="1"/>
    <col min="2574" max="2575" width="8.25" style="144" bestFit="1" customWidth="1"/>
    <col min="2576" max="2576" width="11" style="144" bestFit="1" customWidth="1"/>
    <col min="2577" max="2577" width="8" style="144" bestFit="1" customWidth="1"/>
    <col min="2578" max="2578" width="7.75" style="144" bestFit="1" customWidth="1"/>
    <col min="2579" max="2580" width="9.625" style="144" bestFit="1" customWidth="1"/>
    <col min="2581" max="2582" width="9.625" style="144" customWidth="1"/>
    <col min="2583" max="2583" width="9.25" style="144" bestFit="1" customWidth="1"/>
    <col min="2584" max="2584" width="11" style="144" bestFit="1" customWidth="1"/>
    <col min="2585" max="2817" width="9" style="144"/>
    <col min="2818" max="2818" width="4.625" style="144" bestFit="1" customWidth="1"/>
    <col min="2819" max="2819" width="7.5" style="144" bestFit="1" customWidth="1"/>
    <col min="2820" max="2820" width="6.25" style="144" customWidth="1"/>
    <col min="2821" max="2821" width="11" style="144" bestFit="1" customWidth="1"/>
    <col min="2822" max="2823" width="9.625" style="144" bestFit="1" customWidth="1"/>
    <col min="2824" max="2824" width="8.25" style="144" bestFit="1" customWidth="1"/>
    <col min="2825" max="2826" width="9.625" style="144" bestFit="1" customWidth="1"/>
    <col min="2827" max="2827" width="8.25" style="144" bestFit="1" customWidth="1"/>
    <col min="2828" max="2829" width="9.625" style="144" bestFit="1" customWidth="1"/>
    <col min="2830" max="2831" width="8.25" style="144" bestFit="1" customWidth="1"/>
    <col min="2832" max="2832" width="11" style="144" bestFit="1" customWidth="1"/>
    <col min="2833" max="2833" width="8" style="144" bestFit="1" customWidth="1"/>
    <col min="2834" max="2834" width="7.75" style="144" bestFit="1" customWidth="1"/>
    <col min="2835" max="2836" width="9.625" style="144" bestFit="1" customWidth="1"/>
    <col min="2837" max="2838" width="9.625" style="144" customWidth="1"/>
    <col min="2839" max="2839" width="9.25" style="144" bestFit="1" customWidth="1"/>
    <col min="2840" max="2840" width="11" style="144" bestFit="1" customWidth="1"/>
    <col min="2841" max="3073" width="9" style="144"/>
    <col min="3074" max="3074" width="4.625" style="144" bestFit="1" customWidth="1"/>
    <col min="3075" max="3075" width="7.5" style="144" bestFit="1" customWidth="1"/>
    <col min="3076" max="3076" width="6.25" style="144" customWidth="1"/>
    <col min="3077" max="3077" width="11" style="144" bestFit="1" customWidth="1"/>
    <col min="3078" max="3079" width="9.625" style="144" bestFit="1" customWidth="1"/>
    <col min="3080" max="3080" width="8.25" style="144" bestFit="1" customWidth="1"/>
    <col min="3081" max="3082" width="9.625" style="144" bestFit="1" customWidth="1"/>
    <col min="3083" max="3083" width="8.25" style="144" bestFit="1" customWidth="1"/>
    <col min="3084" max="3085" width="9.625" style="144" bestFit="1" customWidth="1"/>
    <col min="3086" max="3087" width="8.25" style="144" bestFit="1" customWidth="1"/>
    <col min="3088" max="3088" width="11" style="144" bestFit="1" customWidth="1"/>
    <col min="3089" max="3089" width="8" style="144" bestFit="1" customWidth="1"/>
    <col min="3090" max="3090" width="7.75" style="144" bestFit="1" customWidth="1"/>
    <col min="3091" max="3092" width="9.625" style="144" bestFit="1" customWidth="1"/>
    <col min="3093" max="3094" width="9.625" style="144" customWidth="1"/>
    <col min="3095" max="3095" width="9.25" style="144" bestFit="1" customWidth="1"/>
    <col min="3096" max="3096" width="11" style="144" bestFit="1" customWidth="1"/>
    <col min="3097" max="3329" width="9" style="144"/>
    <col min="3330" max="3330" width="4.625" style="144" bestFit="1" customWidth="1"/>
    <col min="3331" max="3331" width="7.5" style="144" bestFit="1" customWidth="1"/>
    <col min="3332" max="3332" width="6.25" style="144" customWidth="1"/>
    <col min="3333" max="3333" width="11" style="144" bestFit="1" customWidth="1"/>
    <col min="3334" max="3335" width="9.625" style="144" bestFit="1" customWidth="1"/>
    <col min="3336" max="3336" width="8.25" style="144" bestFit="1" customWidth="1"/>
    <col min="3337" max="3338" width="9.625" style="144" bestFit="1" customWidth="1"/>
    <col min="3339" max="3339" width="8.25" style="144" bestFit="1" customWidth="1"/>
    <col min="3340" max="3341" width="9.625" style="144" bestFit="1" customWidth="1"/>
    <col min="3342" max="3343" width="8.25" style="144" bestFit="1" customWidth="1"/>
    <col min="3344" max="3344" width="11" style="144" bestFit="1" customWidth="1"/>
    <col min="3345" max="3345" width="8" style="144" bestFit="1" customWidth="1"/>
    <col min="3346" max="3346" width="7.75" style="144" bestFit="1" customWidth="1"/>
    <col min="3347" max="3348" width="9.625" style="144" bestFit="1" customWidth="1"/>
    <col min="3349" max="3350" width="9.625" style="144" customWidth="1"/>
    <col min="3351" max="3351" width="9.25" style="144" bestFit="1" customWidth="1"/>
    <col min="3352" max="3352" width="11" style="144" bestFit="1" customWidth="1"/>
    <col min="3353" max="3585" width="9" style="144"/>
    <col min="3586" max="3586" width="4.625" style="144" bestFit="1" customWidth="1"/>
    <col min="3587" max="3587" width="7.5" style="144" bestFit="1" customWidth="1"/>
    <col min="3588" max="3588" width="6.25" style="144" customWidth="1"/>
    <col min="3589" max="3589" width="11" style="144" bestFit="1" customWidth="1"/>
    <col min="3590" max="3591" width="9.625" style="144" bestFit="1" customWidth="1"/>
    <col min="3592" max="3592" width="8.25" style="144" bestFit="1" customWidth="1"/>
    <col min="3593" max="3594" width="9.625" style="144" bestFit="1" customWidth="1"/>
    <col min="3595" max="3595" width="8.25" style="144" bestFit="1" customWidth="1"/>
    <col min="3596" max="3597" width="9.625" style="144" bestFit="1" customWidth="1"/>
    <col min="3598" max="3599" width="8.25" style="144" bestFit="1" customWidth="1"/>
    <col min="3600" max="3600" width="11" style="144" bestFit="1" customWidth="1"/>
    <col min="3601" max="3601" width="8" style="144" bestFit="1" customWidth="1"/>
    <col min="3602" max="3602" width="7.75" style="144" bestFit="1" customWidth="1"/>
    <col min="3603" max="3604" width="9.625" style="144" bestFit="1" customWidth="1"/>
    <col min="3605" max="3606" width="9.625" style="144" customWidth="1"/>
    <col min="3607" max="3607" width="9.25" style="144" bestFit="1" customWidth="1"/>
    <col min="3608" max="3608" width="11" style="144" bestFit="1" customWidth="1"/>
    <col min="3609" max="3841" width="9" style="144"/>
    <col min="3842" max="3842" width="4.625" style="144" bestFit="1" customWidth="1"/>
    <col min="3843" max="3843" width="7.5" style="144" bestFit="1" customWidth="1"/>
    <col min="3844" max="3844" width="6.25" style="144" customWidth="1"/>
    <col min="3845" max="3845" width="11" style="144" bestFit="1" customWidth="1"/>
    <col min="3846" max="3847" width="9.625" style="144" bestFit="1" customWidth="1"/>
    <col min="3848" max="3848" width="8.25" style="144" bestFit="1" customWidth="1"/>
    <col min="3849" max="3850" width="9.625" style="144" bestFit="1" customWidth="1"/>
    <col min="3851" max="3851" width="8.25" style="144" bestFit="1" customWidth="1"/>
    <col min="3852" max="3853" width="9.625" style="144" bestFit="1" customWidth="1"/>
    <col min="3854" max="3855" width="8.25" style="144" bestFit="1" customWidth="1"/>
    <col min="3856" max="3856" width="11" style="144" bestFit="1" customWidth="1"/>
    <col min="3857" max="3857" width="8" style="144" bestFit="1" customWidth="1"/>
    <col min="3858" max="3858" width="7.75" style="144" bestFit="1" customWidth="1"/>
    <col min="3859" max="3860" width="9.625" style="144" bestFit="1" customWidth="1"/>
    <col min="3861" max="3862" width="9.625" style="144" customWidth="1"/>
    <col min="3863" max="3863" width="9.25" style="144" bestFit="1" customWidth="1"/>
    <col min="3864" max="3864" width="11" style="144" bestFit="1" customWidth="1"/>
    <col min="3865" max="4097" width="9" style="144"/>
    <col min="4098" max="4098" width="4.625" style="144" bestFit="1" customWidth="1"/>
    <col min="4099" max="4099" width="7.5" style="144" bestFit="1" customWidth="1"/>
    <col min="4100" max="4100" width="6.25" style="144" customWidth="1"/>
    <col min="4101" max="4101" width="11" style="144" bestFit="1" customWidth="1"/>
    <col min="4102" max="4103" width="9.625" style="144" bestFit="1" customWidth="1"/>
    <col min="4104" max="4104" width="8.25" style="144" bestFit="1" customWidth="1"/>
    <col min="4105" max="4106" width="9.625" style="144" bestFit="1" customWidth="1"/>
    <col min="4107" max="4107" width="8.25" style="144" bestFit="1" customWidth="1"/>
    <col min="4108" max="4109" width="9.625" style="144" bestFit="1" customWidth="1"/>
    <col min="4110" max="4111" width="8.25" style="144" bestFit="1" customWidth="1"/>
    <col min="4112" max="4112" width="11" style="144" bestFit="1" customWidth="1"/>
    <col min="4113" max="4113" width="8" style="144" bestFit="1" customWidth="1"/>
    <col min="4114" max="4114" width="7.75" style="144" bestFit="1" customWidth="1"/>
    <col min="4115" max="4116" width="9.625" style="144" bestFit="1" customWidth="1"/>
    <col min="4117" max="4118" width="9.625" style="144" customWidth="1"/>
    <col min="4119" max="4119" width="9.25" style="144" bestFit="1" customWidth="1"/>
    <col min="4120" max="4120" width="11" style="144" bestFit="1" customWidth="1"/>
    <col min="4121" max="4353" width="9" style="144"/>
    <col min="4354" max="4354" width="4.625" style="144" bestFit="1" customWidth="1"/>
    <col min="4355" max="4355" width="7.5" style="144" bestFit="1" customWidth="1"/>
    <col min="4356" max="4356" width="6.25" style="144" customWidth="1"/>
    <col min="4357" max="4357" width="11" style="144" bestFit="1" customWidth="1"/>
    <col min="4358" max="4359" width="9.625" style="144" bestFit="1" customWidth="1"/>
    <col min="4360" max="4360" width="8.25" style="144" bestFit="1" customWidth="1"/>
    <col min="4361" max="4362" width="9.625" style="144" bestFit="1" customWidth="1"/>
    <col min="4363" max="4363" width="8.25" style="144" bestFit="1" customWidth="1"/>
    <col min="4364" max="4365" width="9.625" style="144" bestFit="1" customWidth="1"/>
    <col min="4366" max="4367" width="8.25" style="144" bestFit="1" customWidth="1"/>
    <col min="4368" max="4368" width="11" style="144" bestFit="1" customWidth="1"/>
    <col min="4369" max="4369" width="8" style="144" bestFit="1" customWidth="1"/>
    <col min="4370" max="4370" width="7.75" style="144" bestFit="1" customWidth="1"/>
    <col min="4371" max="4372" width="9.625" style="144" bestFit="1" customWidth="1"/>
    <col min="4373" max="4374" width="9.625" style="144" customWidth="1"/>
    <col min="4375" max="4375" width="9.25" style="144" bestFit="1" customWidth="1"/>
    <col min="4376" max="4376" width="11" style="144" bestFit="1" customWidth="1"/>
    <col min="4377" max="4609" width="9" style="144"/>
    <col min="4610" max="4610" width="4.625" style="144" bestFit="1" customWidth="1"/>
    <col min="4611" max="4611" width="7.5" style="144" bestFit="1" customWidth="1"/>
    <col min="4612" max="4612" width="6.25" style="144" customWidth="1"/>
    <col min="4613" max="4613" width="11" style="144" bestFit="1" customWidth="1"/>
    <col min="4614" max="4615" width="9.625" style="144" bestFit="1" customWidth="1"/>
    <col min="4616" max="4616" width="8.25" style="144" bestFit="1" customWidth="1"/>
    <col min="4617" max="4618" width="9.625" style="144" bestFit="1" customWidth="1"/>
    <col min="4619" max="4619" width="8.25" style="144" bestFit="1" customWidth="1"/>
    <col min="4620" max="4621" width="9.625" style="144" bestFit="1" customWidth="1"/>
    <col min="4622" max="4623" width="8.25" style="144" bestFit="1" customWidth="1"/>
    <col min="4624" max="4624" width="11" style="144" bestFit="1" customWidth="1"/>
    <col min="4625" max="4625" width="8" style="144" bestFit="1" customWidth="1"/>
    <col min="4626" max="4626" width="7.75" style="144" bestFit="1" customWidth="1"/>
    <col min="4627" max="4628" width="9.625" style="144" bestFit="1" customWidth="1"/>
    <col min="4629" max="4630" width="9.625" style="144" customWidth="1"/>
    <col min="4631" max="4631" width="9.25" style="144" bestFit="1" customWidth="1"/>
    <col min="4632" max="4632" width="11" style="144" bestFit="1" customWidth="1"/>
    <col min="4633" max="4865" width="9" style="144"/>
    <col min="4866" max="4866" width="4.625" style="144" bestFit="1" customWidth="1"/>
    <col min="4867" max="4867" width="7.5" style="144" bestFit="1" customWidth="1"/>
    <col min="4868" max="4868" width="6.25" style="144" customWidth="1"/>
    <col min="4869" max="4869" width="11" style="144" bestFit="1" customWidth="1"/>
    <col min="4870" max="4871" width="9.625" style="144" bestFit="1" customWidth="1"/>
    <col min="4872" max="4872" width="8.25" style="144" bestFit="1" customWidth="1"/>
    <col min="4873" max="4874" width="9.625" style="144" bestFit="1" customWidth="1"/>
    <col min="4875" max="4875" width="8.25" style="144" bestFit="1" customWidth="1"/>
    <col min="4876" max="4877" width="9.625" style="144" bestFit="1" customWidth="1"/>
    <col min="4878" max="4879" width="8.25" style="144" bestFit="1" customWidth="1"/>
    <col min="4880" max="4880" width="11" style="144" bestFit="1" customWidth="1"/>
    <col min="4881" max="4881" width="8" style="144" bestFit="1" customWidth="1"/>
    <col min="4882" max="4882" width="7.75" style="144" bestFit="1" customWidth="1"/>
    <col min="4883" max="4884" width="9.625" style="144" bestFit="1" customWidth="1"/>
    <col min="4885" max="4886" width="9.625" style="144" customWidth="1"/>
    <col min="4887" max="4887" width="9.25" style="144" bestFit="1" customWidth="1"/>
    <col min="4888" max="4888" width="11" style="144" bestFit="1" customWidth="1"/>
    <col min="4889" max="5121" width="9" style="144"/>
    <col min="5122" max="5122" width="4.625" style="144" bestFit="1" customWidth="1"/>
    <col min="5123" max="5123" width="7.5" style="144" bestFit="1" customWidth="1"/>
    <col min="5124" max="5124" width="6.25" style="144" customWidth="1"/>
    <col min="5125" max="5125" width="11" style="144" bestFit="1" customWidth="1"/>
    <col min="5126" max="5127" width="9.625" style="144" bestFit="1" customWidth="1"/>
    <col min="5128" max="5128" width="8.25" style="144" bestFit="1" customWidth="1"/>
    <col min="5129" max="5130" width="9.625" style="144" bestFit="1" customWidth="1"/>
    <col min="5131" max="5131" width="8.25" style="144" bestFit="1" customWidth="1"/>
    <col min="5132" max="5133" width="9.625" style="144" bestFit="1" customWidth="1"/>
    <col min="5134" max="5135" width="8.25" style="144" bestFit="1" customWidth="1"/>
    <col min="5136" max="5136" width="11" style="144" bestFit="1" customWidth="1"/>
    <col min="5137" max="5137" width="8" style="144" bestFit="1" customWidth="1"/>
    <col min="5138" max="5138" width="7.75" style="144" bestFit="1" customWidth="1"/>
    <col min="5139" max="5140" width="9.625" style="144" bestFit="1" customWidth="1"/>
    <col min="5141" max="5142" width="9.625" style="144" customWidth="1"/>
    <col min="5143" max="5143" width="9.25" style="144" bestFit="1" customWidth="1"/>
    <col min="5144" max="5144" width="11" style="144" bestFit="1" customWidth="1"/>
    <col min="5145" max="5377" width="9" style="144"/>
    <col min="5378" max="5378" width="4.625" style="144" bestFit="1" customWidth="1"/>
    <col min="5379" max="5379" width="7.5" style="144" bestFit="1" customWidth="1"/>
    <col min="5380" max="5380" width="6.25" style="144" customWidth="1"/>
    <col min="5381" max="5381" width="11" style="144" bestFit="1" customWidth="1"/>
    <col min="5382" max="5383" width="9.625" style="144" bestFit="1" customWidth="1"/>
    <col min="5384" max="5384" width="8.25" style="144" bestFit="1" customWidth="1"/>
    <col min="5385" max="5386" width="9.625" style="144" bestFit="1" customWidth="1"/>
    <col min="5387" max="5387" width="8.25" style="144" bestFit="1" customWidth="1"/>
    <col min="5388" max="5389" width="9.625" style="144" bestFit="1" customWidth="1"/>
    <col min="5390" max="5391" width="8.25" style="144" bestFit="1" customWidth="1"/>
    <col min="5392" max="5392" width="11" style="144" bestFit="1" customWidth="1"/>
    <col min="5393" max="5393" width="8" style="144" bestFit="1" customWidth="1"/>
    <col min="5394" max="5394" width="7.75" style="144" bestFit="1" customWidth="1"/>
    <col min="5395" max="5396" width="9.625" style="144" bestFit="1" customWidth="1"/>
    <col min="5397" max="5398" width="9.625" style="144" customWidth="1"/>
    <col min="5399" max="5399" width="9.25" style="144" bestFit="1" customWidth="1"/>
    <col min="5400" max="5400" width="11" style="144" bestFit="1" customWidth="1"/>
    <col min="5401" max="5633" width="9" style="144"/>
    <col min="5634" max="5634" width="4.625" style="144" bestFit="1" customWidth="1"/>
    <col min="5635" max="5635" width="7.5" style="144" bestFit="1" customWidth="1"/>
    <col min="5636" max="5636" width="6.25" style="144" customWidth="1"/>
    <col min="5637" max="5637" width="11" style="144" bestFit="1" customWidth="1"/>
    <col min="5638" max="5639" width="9.625" style="144" bestFit="1" customWidth="1"/>
    <col min="5640" max="5640" width="8.25" style="144" bestFit="1" customWidth="1"/>
    <col min="5641" max="5642" width="9.625" style="144" bestFit="1" customWidth="1"/>
    <col min="5643" max="5643" width="8.25" style="144" bestFit="1" customWidth="1"/>
    <col min="5644" max="5645" width="9.625" style="144" bestFit="1" customWidth="1"/>
    <col min="5646" max="5647" width="8.25" style="144" bestFit="1" customWidth="1"/>
    <col min="5648" max="5648" width="11" style="144" bestFit="1" customWidth="1"/>
    <col min="5649" max="5649" width="8" style="144" bestFit="1" customWidth="1"/>
    <col min="5650" max="5650" width="7.75" style="144" bestFit="1" customWidth="1"/>
    <col min="5651" max="5652" width="9.625" style="144" bestFit="1" customWidth="1"/>
    <col min="5653" max="5654" width="9.625" style="144" customWidth="1"/>
    <col min="5655" max="5655" width="9.25" style="144" bestFit="1" customWidth="1"/>
    <col min="5656" max="5656" width="11" style="144" bestFit="1" customWidth="1"/>
    <col min="5657" max="5889" width="9" style="144"/>
    <col min="5890" max="5890" width="4.625" style="144" bestFit="1" customWidth="1"/>
    <col min="5891" max="5891" width="7.5" style="144" bestFit="1" customWidth="1"/>
    <col min="5892" max="5892" width="6.25" style="144" customWidth="1"/>
    <col min="5893" max="5893" width="11" style="144" bestFit="1" customWidth="1"/>
    <col min="5894" max="5895" width="9.625" style="144" bestFit="1" customWidth="1"/>
    <col min="5896" max="5896" width="8.25" style="144" bestFit="1" customWidth="1"/>
    <col min="5897" max="5898" width="9.625" style="144" bestFit="1" customWidth="1"/>
    <col min="5899" max="5899" width="8.25" style="144" bestFit="1" customWidth="1"/>
    <col min="5900" max="5901" width="9.625" style="144" bestFit="1" customWidth="1"/>
    <col min="5902" max="5903" width="8.25" style="144" bestFit="1" customWidth="1"/>
    <col min="5904" max="5904" width="11" style="144" bestFit="1" customWidth="1"/>
    <col min="5905" max="5905" width="8" style="144" bestFit="1" customWidth="1"/>
    <col min="5906" max="5906" width="7.75" style="144" bestFit="1" customWidth="1"/>
    <col min="5907" max="5908" width="9.625" style="144" bestFit="1" customWidth="1"/>
    <col min="5909" max="5910" width="9.625" style="144" customWidth="1"/>
    <col min="5911" max="5911" width="9.25" style="144" bestFit="1" customWidth="1"/>
    <col min="5912" max="5912" width="11" style="144" bestFit="1" customWidth="1"/>
    <col min="5913" max="6145" width="9" style="144"/>
    <col min="6146" max="6146" width="4.625" style="144" bestFit="1" customWidth="1"/>
    <col min="6147" max="6147" width="7.5" style="144" bestFit="1" customWidth="1"/>
    <col min="6148" max="6148" width="6.25" style="144" customWidth="1"/>
    <col min="6149" max="6149" width="11" style="144" bestFit="1" customWidth="1"/>
    <col min="6150" max="6151" width="9.625" style="144" bestFit="1" customWidth="1"/>
    <col min="6152" max="6152" width="8.25" style="144" bestFit="1" customWidth="1"/>
    <col min="6153" max="6154" width="9.625" style="144" bestFit="1" customWidth="1"/>
    <col min="6155" max="6155" width="8.25" style="144" bestFit="1" customWidth="1"/>
    <col min="6156" max="6157" width="9.625" style="144" bestFit="1" customWidth="1"/>
    <col min="6158" max="6159" width="8.25" style="144" bestFit="1" customWidth="1"/>
    <col min="6160" max="6160" width="11" style="144" bestFit="1" customWidth="1"/>
    <col min="6161" max="6161" width="8" style="144" bestFit="1" customWidth="1"/>
    <col min="6162" max="6162" width="7.75" style="144" bestFit="1" customWidth="1"/>
    <col min="6163" max="6164" width="9.625" style="144" bestFit="1" customWidth="1"/>
    <col min="6165" max="6166" width="9.625" style="144" customWidth="1"/>
    <col min="6167" max="6167" width="9.25" style="144" bestFit="1" customWidth="1"/>
    <col min="6168" max="6168" width="11" style="144" bestFit="1" customWidth="1"/>
    <col min="6169" max="6401" width="9" style="144"/>
    <col min="6402" max="6402" width="4.625" style="144" bestFit="1" customWidth="1"/>
    <col min="6403" max="6403" width="7.5" style="144" bestFit="1" customWidth="1"/>
    <col min="6404" max="6404" width="6.25" style="144" customWidth="1"/>
    <col min="6405" max="6405" width="11" style="144" bestFit="1" customWidth="1"/>
    <col min="6406" max="6407" width="9.625" style="144" bestFit="1" customWidth="1"/>
    <col min="6408" max="6408" width="8.25" style="144" bestFit="1" customWidth="1"/>
    <col min="6409" max="6410" width="9.625" style="144" bestFit="1" customWidth="1"/>
    <col min="6411" max="6411" width="8.25" style="144" bestFit="1" customWidth="1"/>
    <col min="6412" max="6413" width="9.625" style="144" bestFit="1" customWidth="1"/>
    <col min="6414" max="6415" width="8.25" style="144" bestFit="1" customWidth="1"/>
    <col min="6416" max="6416" width="11" style="144" bestFit="1" customWidth="1"/>
    <col min="6417" max="6417" width="8" style="144" bestFit="1" customWidth="1"/>
    <col min="6418" max="6418" width="7.75" style="144" bestFit="1" customWidth="1"/>
    <col min="6419" max="6420" width="9.625" style="144" bestFit="1" customWidth="1"/>
    <col min="6421" max="6422" width="9.625" style="144" customWidth="1"/>
    <col min="6423" max="6423" width="9.25" style="144" bestFit="1" customWidth="1"/>
    <col min="6424" max="6424" width="11" style="144" bestFit="1" customWidth="1"/>
    <col min="6425" max="6657" width="9" style="144"/>
    <col min="6658" max="6658" width="4.625" style="144" bestFit="1" customWidth="1"/>
    <col min="6659" max="6659" width="7.5" style="144" bestFit="1" customWidth="1"/>
    <col min="6660" max="6660" width="6.25" style="144" customWidth="1"/>
    <col min="6661" max="6661" width="11" style="144" bestFit="1" customWidth="1"/>
    <col min="6662" max="6663" width="9.625" style="144" bestFit="1" customWidth="1"/>
    <col min="6664" max="6664" width="8.25" style="144" bestFit="1" customWidth="1"/>
    <col min="6665" max="6666" width="9.625" style="144" bestFit="1" customWidth="1"/>
    <col min="6667" max="6667" width="8.25" style="144" bestFit="1" customWidth="1"/>
    <col min="6668" max="6669" width="9.625" style="144" bestFit="1" customWidth="1"/>
    <col min="6670" max="6671" width="8.25" style="144" bestFit="1" customWidth="1"/>
    <col min="6672" max="6672" width="11" style="144" bestFit="1" customWidth="1"/>
    <col min="6673" max="6673" width="8" style="144" bestFit="1" customWidth="1"/>
    <col min="6674" max="6674" width="7.75" style="144" bestFit="1" customWidth="1"/>
    <col min="6675" max="6676" width="9.625" style="144" bestFit="1" customWidth="1"/>
    <col min="6677" max="6678" width="9.625" style="144" customWidth="1"/>
    <col min="6679" max="6679" width="9.25" style="144" bestFit="1" customWidth="1"/>
    <col min="6680" max="6680" width="11" style="144" bestFit="1" customWidth="1"/>
    <col min="6681" max="6913" width="9" style="144"/>
    <col min="6914" max="6914" width="4.625" style="144" bestFit="1" customWidth="1"/>
    <col min="6915" max="6915" width="7.5" style="144" bestFit="1" customWidth="1"/>
    <col min="6916" max="6916" width="6.25" style="144" customWidth="1"/>
    <col min="6917" max="6917" width="11" style="144" bestFit="1" customWidth="1"/>
    <col min="6918" max="6919" width="9.625" style="144" bestFit="1" customWidth="1"/>
    <col min="6920" max="6920" width="8.25" style="144" bestFit="1" customWidth="1"/>
    <col min="6921" max="6922" width="9.625" style="144" bestFit="1" customWidth="1"/>
    <col min="6923" max="6923" width="8.25" style="144" bestFit="1" customWidth="1"/>
    <col min="6924" max="6925" width="9.625" style="144" bestFit="1" customWidth="1"/>
    <col min="6926" max="6927" width="8.25" style="144" bestFit="1" customWidth="1"/>
    <col min="6928" max="6928" width="11" style="144" bestFit="1" customWidth="1"/>
    <col min="6929" max="6929" width="8" style="144" bestFit="1" customWidth="1"/>
    <col min="6930" max="6930" width="7.75" style="144" bestFit="1" customWidth="1"/>
    <col min="6931" max="6932" width="9.625" style="144" bestFit="1" customWidth="1"/>
    <col min="6933" max="6934" width="9.625" style="144" customWidth="1"/>
    <col min="6935" max="6935" width="9.25" style="144" bestFit="1" customWidth="1"/>
    <col min="6936" max="6936" width="11" style="144" bestFit="1" customWidth="1"/>
    <col min="6937" max="7169" width="9" style="144"/>
    <col min="7170" max="7170" width="4.625" style="144" bestFit="1" customWidth="1"/>
    <col min="7171" max="7171" width="7.5" style="144" bestFit="1" customWidth="1"/>
    <col min="7172" max="7172" width="6.25" style="144" customWidth="1"/>
    <col min="7173" max="7173" width="11" style="144" bestFit="1" customWidth="1"/>
    <col min="7174" max="7175" width="9.625" style="144" bestFit="1" customWidth="1"/>
    <col min="7176" max="7176" width="8.25" style="144" bestFit="1" customWidth="1"/>
    <col min="7177" max="7178" width="9.625" style="144" bestFit="1" customWidth="1"/>
    <col min="7179" max="7179" width="8.25" style="144" bestFit="1" customWidth="1"/>
    <col min="7180" max="7181" width="9.625" style="144" bestFit="1" customWidth="1"/>
    <col min="7182" max="7183" width="8.25" style="144" bestFit="1" customWidth="1"/>
    <col min="7184" max="7184" width="11" style="144" bestFit="1" customWidth="1"/>
    <col min="7185" max="7185" width="8" style="144" bestFit="1" customWidth="1"/>
    <col min="7186" max="7186" width="7.75" style="144" bestFit="1" customWidth="1"/>
    <col min="7187" max="7188" width="9.625" style="144" bestFit="1" customWidth="1"/>
    <col min="7189" max="7190" width="9.625" style="144" customWidth="1"/>
    <col min="7191" max="7191" width="9.25" style="144" bestFit="1" customWidth="1"/>
    <col min="7192" max="7192" width="11" style="144" bestFit="1" customWidth="1"/>
    <col min="7193" max="7425" width="9" style="144"/>
    <col min="7426" max="7426" width="4.625" style="144" bestFit="1" customWidth="1"/>
    <col min="7427" max="7427" width="7.5" style="144" bestFit="1" customWidth="1"/>
    <col min="7428" max="7428" width="6.25" style="144" customWidth="1"/>
    <col min="7429" max="7429" width="11" style="144" bestFit="1" customWidth="1"/>
    <col min="7430" max="7431" width="9.625" style="144" bestFit="1" customWidth="1"/>
    <col min="7432" max="7432" width="8.25" style="144" bestFit="1" customWidth="1"/>
    <col min="7433" max="7434" width="9.625" style="144" bestFit="1" customWidth="1"/>
    <col min="7435" max="7435" width="8.25" style="144" bestFit="1" customWidth="1"/>
    <col min="7436" max="7437" width="9.625" style="144" bestFit="1" customWidth="1"/>
    <col min="7438" max="7439" width="8.25" style="144" bestFit="1" customWidth="1"/>
    <col min="7440" max="7440" width="11" style="144" bestFit="1" customWidth="1"/>
    <col min="7441" max="7441" width="8" style="144" bestFit="1" customWidth="1"/>
    <col min="7442" max="7442" width="7.75" style="144" bestFit="1" customWidth="1"/>
    <col min="7443" max="7444" width="9.625" style="144" bestFit="1" customWidth="1"/>
    <col min="7445" max="7446" width="9.625" style="144" customWidth="1"/>
    <col min="7447" max="7447" width="9.25" style="144" bestFit="1" customWidth="1"/>
    <col min="7448" max="7448" width="11" style="144" bestFit="1" customWidth="1"/>
    <col min="7449" max="7681" width="9" style="144"/>
    <col min="7682" max="7682" width="4.625" style="144" bestFit="1" customWidth="1"/>
    <col min="7683" max="7683" width="7.5" style="144" bestFit="1" customWidth="1"/>
    <col min="7684" max="7684" width="6.25" style="144" customWidth="1"/>
    <col min="7685" max="7685" width="11" style="144" bestFit="1" customWidth="1"/>
    <col min="7686" max="7687" width="9.625" style="144" bestFit="1" customWidth="1"/>
    <col min="7688" max="7688" width="8.25" style="144" bestFit="1" customWidth="1"/>
    <col min="7689" max="7690" width="9.625" style="144" bestFit="1" customWidth="1"/>
    <col min="7691" max="7691" width="8.25" style="144" bestFit="1" customWidth="1"/>
    <col min="7692" max="7693" width="9.625" style="144" bestFit="1" customWidth="1"/>
    <col min="7694" max="7695" width="8.25" style="144" bestFit="1" customWidth="1"/>
    <col min="7696" max="7696" width="11" style="144" bestFit="1" customWidth="1"/>
    <col min="7697" max="7697" width="8" style="144" bestFit="1" customWidth="1"/>
    <col min="7698" max="7698" width="7.75" style="144" bestFit="1" customWidth="1"/>
    <col min="7699" max="7700" width="9.625" style="144" bestFit="1" customWidth="1"/>
    <col min="7701" max="7702" width="9.625" style="144" customWidth="1"/>
    <col min="7703" max="7703" width="9.25" style="144" bestFit="1" customWidth="1"/>
    <col min="7704" max="7704" width="11" style="144" bestFit="1" customWidth="1"/>
    <col min="7705" max="7937" width="9" style="144"/>
    <col min="7938" max="7938" width="4.625" style="144" bestFit="1" customWidth="1"/>
    <col min="7939" max="7939" width="7.5" style="144" bestFit="1" customWidth="1"/>
    <col min="7940" max="7940" width="6.25" style="144" customWidth="1"/>
    <col min="7941" max="7941" width="11" style="144" bestFit="1" customWidth="1"/>
    <col min="7942" max="7943" width="9.625" style="144" bestFit="1" customWidth="1"/>
    <col min="7944" max="7944" width="8.25" style="144" bestFit="1" customWidth="1"/>
    <col min="7945" max="7946" width="9.625" style="144" bestFit="1" customWidth="1"/>
    <col min="7947" max="7947" width="8.25" style="144" bestFit="1" customWidth="1"/>
    <col min="7948" max="7949" width="9.625" style="144" bestFit="1" customWidth="1"/>
    <col min="7950" max="7951" width="8.25" style="144" bestFit="1" customWidth="1"/>
    <col min="7952" max="7952" width="11" style="144" bestFit="1" customWidth="1"/>
    <col min="7953" max="7953" width="8" style="144" bestFit="1" customWidth="1"/>
    <col min="7954" max="7954" width="7.75" style="144" bestFit="1" customWidth="1"/>
    <col min="7955" max="7956" width="9.625" style="144" bestFit="1" customWidth="1"/>
    <col min="7957" max="7958" width="9.625" style="144" customWidth="1"/>
    <col min="7959" max="7959" width="9.25" style="144" bestFit="1" customWidth="1"/>
    <col min="7960" max="7960" width="11" style="144" bestFit="1" customWidth="1"/>
    <col min="7961" max="8193" width="9" style="144"/>
    <col min="8194" max="8194" width="4.625" style="144" bestFit="1" customWidth="1"/>
    <col min="8195" max="8195" width="7.5" style="144" bestFit="1" customWidth="1"/>
    <col min="8196" max="8196" width="6.25" style="144" customWidth="1"/>
    <col min="8197" max="8197" width="11" style="144" bestFit="1" customWidth="1"/>
    <col min="8198" max="8199" width="9.625" style="144" bestFit="1" customWidth="1"/>
    <col min="8200" max="8200" width="8.25" style="144" bestFit="1" customWidth="1"/>
    <col min="8201" max="8202" width="9.625" style="144" bestFit="1" customWidth="1"/>
    <col min="8203" max="8203" width="8.25" style="144" bestFit="1" customWidth="1"/>
    <col min="8204" max="8205" width="9.625" style="144" bestFit="1" customWidth="1"/>
    <col min="8206" max="8207" width="8.25" style="144" bestFit="1" customWidth="1"/>
    <col min="8208" max="8208" width="11" style="144" bestFit="1" customWidth="1"/>
    <col min="8209" max="8209" width="8" style="144" bestFit="1" customWidth="1"/>
    <col min="8210" max="8210" width="7.75" style="144" bestFit="1" customWidth="1"/>
    <col min="8211" max="8212" width="9.625" style="144" bestFit="1" customWidth="1"/>
    <col min="8213" max="8214" width="9.625" style="144" customWidth="1"/>
    <col min="8215" max="8215" width="9.25" style="144" bestFit="1" customWidth="1"/>
    <col min="8216" max="8216" width="11" style="144" bestFit="1" customWidth="1"/>
    <col min="8217" max="8449" width="9" style="144"/>
    <col min="8450" max="8450" width="4.625" style="144" bestFit="1" customWidth="1"/>
    <col min="8451" max="8451" width="7.5" style="144" bestFit="1" customWidth="1"/>
    <col min="8452" max="8452" width="6.25" style="144" customWidth="1"/>
    <col min="8453" max="8453" width="11" style="144" bestFit="1" customWidth="1"/>
    <col min="8454" max="8455" width="9.625" style="144" bestFit="1" customWidth="1"/>
    <col min="8456" max="8456" width="8.25" style="144" bestFit="1" customWidth="1"/>
    <col min="8457" max="8458" width="9.625" style="144" bestFit="1" customWidth="1"/>
    <col min="8459" max="8459" width="8.25" style="144" bestFit="1" customWidth="1"/>
    <col min="8460" max="8461" width="9.625" style="144" bestFit="1" customWidth="1"/>
    <col min="8462" max="8463" width="8.25" style="144" bestFit="1" customWidth="1"/>
    <col min="8464" max="8464" width="11" style="144" bestFit="1" customWidth="1"/>
    <col min="8465" max="8465" width="8" style="144" bestFit="1" customWidth="1"/>
    <col min="8466" max="8466" width="7.75" style="144" bestFit="1" customWidth="1"/>
    <col min="8467" max="8468" width="9.625" style="144" bestFit="1" customWidth="1"/>
    <col min="8469" max="8470" width="9.625" style="144" customWidth="1"/>
    <col min="8471" max="8471" width="9.25" style="144" bestFit="1" customWidth="1"/>
    <col min="8472" max="8472" width="11" style="144" bestFit="1" customWidth="1"/>
    <col min="8473" max="8705" width="9" style="144"/>
    <col min="8706" max="8706" width="4.625" style="144" bestFit="1" customWidth="1"/>
    <col min="8707" max="8707" width="7.5" style="144" bestFit="1" customWidth="1"/>
    <col min="8708" max="8708" width="6.25" style="144" customWidth="1"/>
    <col min="8709" max="8709" width="11" style="144" bestFit="1" customWidth="1"/>
    <col min="8710" max="8711" width="9.625" style="144" bestFit="1" customWidth="1"/>
    <col min="8712" max="8712" width="8.25" style="144" bestFit="1" customWidth="1"/>
    <col min="8713" max="8714" width="9.625" style="144" bestFit="1" customWidth="1"/>
    <col min="8715" max="8715" width="8.25" style="144" bestFit="1" customWidth="1"/>
    <col min="8716" max="8717" width="9.625" style="144" bestFit="1" customWidth="1"/>
    <col min="8718" max="8719" width="8.25" style="144" bestFit="1" customWidth="1"/>
    <col min="8720" max="8720" width="11" style="144" bestFit="1" customWidth="1"/>
    <col min="8721" max="8721" width="8" style="144" bestFit="1" customWidth="1"/>
    <col min="8722" max="8722" width="7.75" style="144" bestFit="1" customWidth="1"/>
    <col min="8723" max="8724" width="9.625" style="144" bestFit="1" customWidth="1"/>
    <col min="8725" max="8726" width="9.625" style="144" customWidth="1"/>
    <col min="8727" max="8727" width="9.25" style="144" bestFit="1" customWidth="1"/>
    <col min="8728" max="8728" width="11" style="144" bestFit="1" customWidth="1"/>
    <col min="8729" max="8961" width="9" style="144"/>
    <col min="8962" max="8962" width="4.625" style="144" bestFit="1" customWidth="1"/>
    <col min="8963" max="8963" width="7.5" style="144" bestFit="1" customWidth="1"/>
    <col min="8964" max="8964" width="6.25" style="144" customWidth="1"/>
    <col min="8965" max="8965" width="11" style="144" bestFit="1" customWidth="1"/>
    <col min="8966" max="8967" width="9.625" style="144" bestFit="1" customWidth="1"/>
    <col min="8968" max="8968" width="8.25" style="144" bestFit="1" customWidth="1"/>
    <col min="8969" max="8970" width="9.625" style="144" bestFit="1" customWidth="1"/>
    <col min="8971" max="8971" width="8.25" style="144" bestFit="1" customWidth="1"/>
    <col min="8972" max="8973" width="9.625" style="144" bestFit="1" customWidth="1"/>
    <col min="8974" max="8975" width="8.25" style="144" bestFit="1" customWidth="1"/>
    <col min="8976" max="8976" width="11" style="144" bestFit="1" customWidth="1"/>
    <col min="8977" max="8977" width="8" style="144" bestFit="1" customWidth="1"/>
    <col min="8978" max="8978" width="7.75" style="144" bestFit="1" customWidth="1"/>
    <col min="8979" max="8980" width="9.625" style="144" bestFit="1" customWidth="1"/>
    <col min="8981" max="8982" width="9.625" style="144" customWidth="1"/>
    <col min="8983" max="8983" width="9.25" style="144" bestFit="1" customWidth="1"/>
    <col min="8984" max="8984" width="11" style="144" bestFit="1" customWidth="1"/>
    <col min="8985" max="9217" width="9" style="144"/>
    <col min="9218" max="9218" width="4.625" style="144" bestFit="1" customWidth="1"/>
    <col min="9219" max="9219" width="7.5" style="144" bestFit="1" customWidth="1"/>
    <col min="9220" max="9220" width="6.25" style="144" customWidth="1"/>
    <col min="9221" max="9221" width="11" style="144" bestFit="1" customWidth="1"/>
    <col min="9222" max="9223" width="9.625" style="144" bestFit="1" customWidth="1"/>
    <col min="9224" max="9224" width="8.25" style="144" bestFit="1" customWidth="1"/>
    <col min="9225" max="9226" width="9.625" style="144" bestFit="1" customWidth="1"/>
    <col min="9227" max="9227" width="8.25" style="144" bestFit="1" customWidth="1"/>
    <col min="9228" max="9229" width="9.625" style="144" bestFit="1" customWidth="1"/>
    <col min="9230" max="9231" width="8.25" style="144" bestFit="1" customWidth="1"/>
    <col min="9232" max="9232" width="11" style="144" bestFit="1" customWidth="1"/>
    <col min="9233" max="9233" width="8" style="144" bestFit="1" customWidth="1"/>
    <col min="9234" max="9234" width="7.75" style="144" bestFit="1" customWidth="1"/>
    <col min="9235" max="9236" width="9.625" style="144" bestFit="1" customWidth="1"/>
    <col min="9237" max="9238" width="9.625" style="144" customWidth="1"/>
    <col min="9239" max="9239" width="9.25" style="144" bestFit="1" customWidth="1"/>
    <col min="9240" max="9240" width="11" style="144" bestFit="1" customWidth="1"/>
    <col min="9241" max="9473" width="9" style="144"/>
    <col min="9474" max="9474" width="4.625" style="144" bestFit="1" customWidth="1"/>
    <col min="9475" max="9475" width="7.5" style="144" bestFit="1" customWidth="1"/>
    <col min="9476" max="9476" width="6.25" style="144" customWidth="1"/>
    <col min="9477" max="9477" width="11" style="144" bestFit="1" customWidth="1"/>
    <col min="9478" max="9479" width="9.625" style="144" bestFit="1" customWidth="1"/>
    <col min="9480" max="9480" width="8.25" style="144" bestFit="1" customWidth="1"/>
    <col min="9481" max="9482" width="9.625" style="144" bestFit="1" customWidth="1"/>
    <col min="9483" max="9483" width="8.25" style="144" bestFit="1" customWidth="1"/>
    <col min="9484" max="9485" width="9.625" style="144" bestFit="1" customWidth="1"/>
    <col min="9486" max="9487" width="8.25" style="144" bestFit="1" customWidth="1"/>
    <col min="9488" max="9488" width="11" style="144" bestFit="1" customWidth="1"/>
    <col min="9489" max="9489" width="8" style="144" bestFit="1" customWidth="1"/>
    <col min="9490" max="9490" width="7.75" style="144" bestFit="1" customWidth="1"/>
    <col min="9491" max="9492" width="9.625" style="144" bestFit="1" customWidth="1"/>
    <col min="9493" max="9494" width="9.625" style="144" customWidth="1"/>
    <col min="9495" max="9495" width="9.25" style="144" bestFit="1" customWidth="1"/>
    <col min="9496" max="9496" width="11" style="144" bestFit="1" customWidth="1"/>
    <col min="9497" max="9729" width="9" style="144"/>
    <col min="9730" max="9730" width="4.625" style="144" bestFit="1" customWidth="1"/>
    <col min="9731" max="9731" width="7.5" style="144" bestFit="1" customWidth="1"/>
    <col min="9732" max="9732" width="6.25" style="144" customWidth="1"/>
    <col min="9733" max="9733" width="11" style="144" bestFit="1" customWidth="1"/>
    <col min="9734" max="9735" width="9.625" style="144" bestFit="1" customWidth="1"/>
    <col min="9736" max="9736" width="8.25" style="144" bestFit="1" customWidth="1"/>
    <col min="9737" max="9738" width="9.625" style="144" bestFit="1" customWidth="1"/>
    <col min="9739" max="9739" width="8.25" style="144" bestFit="1" customWidth="1"/>
    <col min="9740" max="9741" width="9.625" style="144" bestFit="1" customWidth="1"/>
    <col min="9742" max="9743" width="8.25" style="144" bestFit="1" customWidth="1"/>
    <col min="9744" max="9744" width="11" style="144" bestFit="1" customWidth="1"/>
    <col min="9745" max="9745" width="8" style="144" bestFit="1" customWidth="1"/>
    <col min="9746" max="9746" width="7.75" style="144" bestFit="1" customWidth="1"/>
    <col min="9747" max="9748" width="9.625" style="144" bestFit="1" customWidth="1"/>
    <col min="9749" max="9750" width="9.625" style="144" customWidth="1"/>
    <col min="9751" max="9751" width="9.25" style="144" bestFit="1" customWidth="1"/>
    <col min="9752" max="9752" width="11" style="144" bestFit="1" customWidth="1"/>
    <col min="9753" max="9985" width="9" style="144"/>
    <col min="9986" max="9986" width="4.625" style="144" bestFit="1" customWidth="1"/>
    <col min="9987" max="9987" width="7.5" style="144" bestFit="1" customWidth="1"/>
    <col min="9988" max="9988" width="6.25" style="144" customWidth="1"/>
    <col min="9989" max="9989" width="11" style="144" bestFit="1" customWidth="1"/>
    <col min="9990" max="9991" width="9.625" style="144" bestFit="1" customWidth="1"/>
    <col min="9992" max="9992" width="8.25" style="144" bestFit="1" customWidth="1"/>
    <col min="9993" max="9994" width="9.625" style="144" bestFit="1" customWidth="1"/>
    <col min="9995" max="9995" width="8.25" style="144" bestFit="1" customWidth="1"/>
    <col min="9996" max="9997" width="9.625" style="144" bestFit="1" customWidth="1"/>
    <col min="9998" max="9999" width="8.25" style="144" bestFit="1" customWidth="1"/>
    <col min="10000" max="10000" width="11" style="144" bestFit="1" customWidth="1"/>
    <col min="10001" max="10001" width="8" style="144" bestFit="1" customWidth="1"/>
    <col min="10002" max="10002" width="7.75" style="144" bestFit="1" customWidth="1"/>
    <col min="10003" max="10004" width="9.625" style="144" bestFit="1" customWidth="1"/>
    <col min="10005" max="10006" width="9.625" style="144" customWidth="1"/>
    <col min="10007" max="10007" width="9.25" style="144" bestFit="1" customWidth="1"/>
    <col min="10008" max="10008" width="11" style="144" bestFit="1" customWidth="1"/>
    <col min="10009" max="10241" width="9" style="144"/>
    <col min="10242" max="10242" width="4.625" style="144" bestFit="1" customWidth="1"/>
    <col min="10243" max="10243" width="7.5" style="144" bestFit="1" customWidth="1"/>
    <col min="10244" max="10244" width="6.25" style="144" customWidth="1"/>
    <col min="10245" max="10245" width="11" style="144" bestFit="1" customWidth="1"/>
    <col min="10246" max="10247" width="9.625" style="144" bestFit="1" customWidth="1"/>
    <col min="10248" max="10248" width="8.25" style="144" bestFit="1" customWidth="1"/>
    <col min="10249" max="10250" width="9.625" style="144" bestFit="1" customWidth="1"/>
    <col min="10251" max="10251" width="8.25" style="144" bestFit="1" customWidth="1"/>
    <col min="10252" max="10253" width="9.625" style="144" bestFit="1" customWidth="1"/>
    <col min="10254" max="10255" width="8.25" style="144" bestFit="1" customWidth="1"/>
    <col min="10256" max="10256" width="11" style="144" bestFit="1" customWidth="1"/>
    <col min="10257" max="10257" width="8" style="144" bestFit="1" customWidth="1"/>
    <col min="10258" max="10258" width="7.75" style="144" bestFit="1" customWidth="1"/>
    <col min="10259" max="10260" width="9.625" style="144" bestFit="1" customWidth="1"/>
    <col min="10261" max="10262" width="9.625" style="144" customWidth="1"/>
    <col min="10263" max="10263" width="9.25" style="144" bestFit="1" customWidth="1"/>
    <col min="10264" max="10264" width="11" style="144" bestFit="1" customWidth="1"/>
    <col min="10265" max="10497" width="9" style="144"/>
    <col min="10498" max="10498" width="4.625" style="144" bestFit="1" customWidth="1"/>
    <col min="10499" max="10499" width="7.5" style="144" bestFit="1" customWidth="1"/>
    <col min="10500" max="10500" width="6.25" style="144" customWidth="1"/>
    <col min="10501" max="10501" width="11" style="144" bestFit="1" customWidth="1"/>
    <col min="10502" max="10503" width="9.625" style="144" bestFit="1" customWidth="1"/>
    <col min="10504" max="10504" width="8.25" style="144" bestFit="1" customWidth="1"/>
    <col min="10505" max="10506" width="9.625" style="144" bestFit="1" customWidth="1"/>
    <col min="10507" max="10507" width="8.25" style="144" bestFit="1" customWidth="1"/>
    <col min="10508" max="10509" width="9.625" style="144" bestFit="1" customWidth="1"/>
    <col min="10510" max="10511" width="8.25" style="144" bestFit="1" customWidth="1"/>
    <col min="10512" max="10512" width="11" style="144" bestFit="1" customWidth="1"/>
    <col min="10513" max="10513" width="8" style="144" bestFit="1" customWidth="1"/>
    <col min="10514" max="10514" width="7.75" style="144" bestFit="1" customWidth="1"/>
    <col min="10515" max="10516" width="9.625" style="144" bestFit="1" customWidth="1"/>
    <col min="10517" max="10518" width="9.625" style="144" customWidth="1"/>
    <col min="10519" max="10519" width="9.25" style="144" bestFit="1" customWidth="1"/>
    <col min="10520" max="10520" width="11" style="144" bestFit="1" customWidth="1"/>
    <col min="10521" max="10753" width="9" style="144"/>
    <col min="10754" max="10754" width="4.625" style="144" bestFit="1" customWidth="1"/>
    <col min="10755" max="10755" width="7.5" style="144" bestFit="1" customWidth="1"/>
    <col min="10756" max="10756" width="6.25" style="144" customWidth="1"/>
    <col min="10757" max="10757" width="11" style="144" bestFit="1" customWidth="1"/>
    <col min="10758" max="10759" width="9.625" style="144" bestFit="1" customWidth="1"/>
    <col min="10760" max="10760" width="8.25" style="144" bestFit="1" customWidth="1"/>
    <col min="10761" max="10762" width="9.625" style="144" bestFit="1" customWidth="1"/>
    <col min="10763" max="10763" width="8.25" style="144" bestFit="1" customWidth="1"/>
    <col min="10764" max="10765" width="9.625" style="144" bestFit="1" customWidth="1"/>
    <col min="10766" max="10767" width="8.25" style="144" bestFit="1" customWidth="1"/>
    <col min="10768" max="10768" width="11" style="144" bestFit="1" customWidth="1"/>
    <col min="10769" max="10769" width="8" style="144" bestFit="1" customWidth="1"/>
    <col min="10770" max="10770" width="7.75" style="144" bestFit="1" customWidth="1"/>
    <col min="10771" max="10772" width="9.625" style="144" bestFit="1" customWidth="1"/>
    <col min="10773" max="10774" width="9.625" style="144" customWidth="1"/>
    <col min="10775" max="10775" width="9.25" style="144" bestFit="1" customWidth="1"/>
    <col min="10776" max="10776" width="11" style="144" bestFit="1" customWidth="1"/>
    <col min="10777" max="11009" width="9" style="144"/>
    <col min="11010" max="11010" width="4.625" style="144" bestFit="1" customWidth="1"/>
    <col min="11011" max="11011" width="7.5" style="144" bestFit="1" customWidth="1"/>
    <col min="11012" max="11012" width="6.25" style="144" customWidth="1"/>
    <col min="11013" max="11013" width="11" style="144" bestFit="1" customWidth="1"/>
    <col min="11014" max="11015" width="9.625" style="144" bestFit="1" customWidth="1"/>
    <col min="11016" max="11016" width="8.25" style="144" bestFit="1" customWidth="1"/>
    <col min="11017" max="11018" width="9.625" style="144" bestFit="1" customWidth="1"/>
    <col min="11019" max="11019" width="8.25" style="144" bestFit="1" customWidth="1"/>
    <col min="11020" max="11021" width="9.625" style="144" bestFit="1" customWidth="1"/>
    <col min="11022" max="11023" width="8.25" style="144" bestFit="1" customWidth="1"/>
    <col min="11024" max="11024" width="11" style="144" bestFit="1" customWidth="1"/>
    <col min="11025" max="11025" width="8" style="144" bestFit="1" customWidth="1"/>
    <col min="11026" max="11026" width="7.75" style="144" bestFit="1" customWidth="1"/>
    <col min="11027" max="11028" width="9.625" style="144" bestFit="1" customWidth="1"/>
    <col min="11029" max="11030" width="9.625" style="144" customWidth="1"/>
    <col min="11031" max="11031" width="9.25" style="144" bestFit="1" customWidth="1"/>
    <col min="11032" max="11032" width="11" style="144" bestFit="1" customWidth="1"/>
    <col min="11033" max="11265" width="9" style="144"/>
    <col min="11266" max="11266" width="4.625" style="144" bestFit="1" customWidth="1"/>
    <col min="11267" max="11267" width="7.5" style="144" bestFit="1" customWidth="1"/>
    <col min="11268" max="11268" width="6.25" style="144" customWidth="1"/>
    <col min="11269" max="11269" width="11" style="144" bestFit="1" customWidth="1"/>
    <col min="11270" max="11271" width="9.625" style="144" bestFit="1" customWidth="1"/>
    <col min="11272" max="11272" width="8.25" style="144" bestFit="1" customWidth="1"/>
    <col min="11273" max="11274" width="9.625" style="144" bestFit="1" customWidth="1"/>
    <col min="11275" max="11275" width="8.25" style="144" bestFit="1" customWidth="1"/>
    <col min="11276" max="11277" width="9.625" style="144" bestFit="1" customWidth="1"/>
    <col min="11278" max="11279" width="8.25" style="144" bestFit="1" customWidth="1"/>
    <col min="11280" max="11280" width="11" style="144" bestFit="1" customWidth="1"/>
    <col min="11281" max="11281" width="8" style="144" bestFit="1" customWidth="1"/>
    <col min="11282" max="11282" width="7.75" style="144" bestFit="1" customWidth="1"/>
    <col min="11283" max="11284" width="9.625" style="144" bestFit="1" customWidth="1"/>
    <col min="11285" max="11286" width="9.625" style="144" customWidth="1"/>
    <col min="11287" max="11287" width="9.25" style="144" bestFit="1" customWidth="1"/>
    <col min="11288" max="11288" width="11" style="144" bestFit="1" customWidth="1"/>
    <col min="11289" max="11521" width="9" style="144"/>
    <col min="11522" max="11522" width="4.625" style="144" bestFit="1" customWidth="1"/>
    <col min="11523" max="11523" width="7.5" style="144" bestFit="1" customWidth="1"/>
    <col min="11524" max="11524" width="6.25" style="144" customWidth="1"/>
    <col min="11525" max="11525" width="11" style="144" bestFit="1" customWidth="1"/>
    <col min="11526" max="11527" width="9.625" style="144" bestFit="1" customWidth="1"/>
    <col min="11528" max="11528" width="8.25" style="144" bestFit="1" customWidth="1"/>
    <col min="11529" max="11530" width="9.625" style="144" bestFit="1" customWidth="1"/>
    <col min="11531" max="11531" width="8.25" style="144" bestFit="1" customWidth="1"/>
    <col min="11532" max="11533" width="9.625" style="144" bestFit="1" customWidth="1"/>
    <col min="11534" max="11535" width="8.25" style="144" bestFit="1" customWidth="1"/>
    <col min="11536" max="11536" width="11" style="144" bestFit="1" customWidth="1"/>
    <col min="11537" max="11537" width="8" style="144" bestFit="1" customWidth="1"/>
    <col min="11538" max="11538" width="7.75" style="144" bestFit="1" customWidth="1"/>
    <col min="11539" max="11540" width="9.625" style="144" bestFit="1" customWidth="1"/>
    <col min="11541" max="11542" width="9.625" style="144" customWidth="1"/>
    <col min="11543" max="11543" width="9.25" style="144" bestFit="1" customWidth="1"/>
    <col min="11544" max="11544" width="11" style="144" bestFit="1" customWidth="1"/>
    <col min="11545" max="11777" width="9" style="144"/>
    <col min="11778" max="11778" width="4.625" style="144" bestFit="1" customWidth="1"/>
    <col min="11779" max="11779" width="7.5" style="144" bestFit="1" customWidth="1"/>
    <col min="11780" max="11780" width="6.25" style="144" customWidth="1"/>
    <col min="11781" max="11781" width="11" style="144" bestFit="1" customWidth="1"/>
    <col min="11782" max="11783" width="9.625" style="144" bestFit="1" customWidth="1"/>
    <col min="11784" max="11784" width="8.25" style="144" bestFit="1" customWidth="1"/>
    <col min="11785" max="11786" width="9.625" style="144" bestFit="1" customWidth="1"/>
    <col min="11787" max="11787" width="8.25" style="144" bestFit="1" customWidth="1"/>
    <col min="11788" max="11789" width="9.625" style="144" bestFit="1" customWidth="1"/>
    <col min="11790" max="11791" width="8.25" style="144" bestFit="1" customWidth="1"/>
    <col min="11792" max="11792" width="11" style="144" bestFit="1" customWidth="1"/>
    <col min="11793" max="11793" width="8" style="144" bestFit="1" customWidth="1"/>
    <col min="11794" max="11794" width="7.75" style="144" bestFit="1" customWidth="1"/>
    <col min="11795" max="11796" width="9.625" style="144" bestFit="1" customWidth="1"/>
    <col min="11797" max="11798" width="9.625" style="144" customWidth="1"/>
    <col min="11799" max="11799" width="9.25" style="144" bestFit="1" customWidth="1"/>
    <col min="11800" max="11800" width="11" style="144" bestFit="1" customWidth="1"/>
    <col min="11801" max="12033" width="9" style="144"/>
    <col min="12034" max="12034" width="4.625" style="144" bestFit="1" customWidth="1"/>
    <col min="12035" max="12035" width="7.5" style="144" bestFit="1" customWidth="1"/>
    <col min="12036" max="12036" width="6.25" style="144" customWidth="1"/>
    <col min="12037" max="12037" width="11" style="144" bestFit="1" customWidth="1"/>
    <col min="12038" max="12039" width="9.625" style="144" bestFit="1" customWidth="1"/>
    <col min="12040" max="12040" width="8.25" style="144" bestFit="1" customWidth="1"/>
    <col min="12041" max="12042" width="9.625" style="144" bestFit="1" customWidth="1"/>
    <col min="12043" max="12043" width="8.25" style="144" bestFit="1" customWidth="1"/>
    <col min="12044" max="12045" width="9.625" style="144" bestFit="1" customWidth="1"/>
    <col min="12046" max="12047" width="8.25" style="144" bestFit="1" customWidth="1"/>
    <col min="12048" max="12048" width="11" style="144" bestFit="1" customWidth="1"/>
    <col min="12049" max="12049" width="8" style="144" bestFit="1" customWidth="1"/>
    <col min="12050" max="12050" width="7.75" style="144" bestFit="1" customWidth="1"/>
    <col min="12051" max="12052" width="9.625" style="144" bestFit="1" customWidth="1"/>
    <col min="12053" max="12054" width="9.625" style="144" customWidth="1"/>
    <col min="12055" max="12055" width="9.25" style="144" bestFit="1" customWidth="1"/>
    <col min="12056" max="12056" width="11" style="144" bestFit="1" customWidth="1"/>
    <col min="12057" max="12289" width="9" style="144"/>
    <col min="12290" max="12290" width="4.625" style="144" bestFit="1" customWidth="1"/>
    <col min="12291" max="12291" width="7.5" style="144" bestFit="1" customWidth="1"/>
    <col min="12292" max="12292" width="6.25" style="144" customWidth="1"/>
    <col min="12293" max="12293" width="11" style="144" bestFit="1" customWidth="1"/>
    <col min="12294" max="12295" width="9.625" style="144" bestFit="1" customWidth="1"/>
    <col min="12296" max="12296" width="8.25" style="144" bestFit="1" customWidth="1"/>
    <col min="12297" max="12298" width="9.625" style="144" bestFit="1" customWidth="1"/>
    <col min="12299" max="12299" width="8.25" style="144" bestFit="1" customWidth="1"/>
    <col min="12300" max="12301" width="9.625" style="144" bestFit="1" customWidth="1"/>
    <col min="12302" max="12303" width="8.25" style="144" bestFit="1" customWidth="1"/>
    <col min="12304" max="12304" width="11" style="144" bestFit="1" customWidth="1"/>
    <col min="12305" max="12305" width="8" style="144" bestFit="1" customWidth="1"/>
    <col min="12306" max="12306" width="7.75" style="144" bestFit="1" customWidth="1"/>
    <col min="12307" max="12308" width="9.625" style="144" bestFit="1" customWidth="1"/>
    <col min="12309" max="12310" width="9.625" style="144" customWidth="1"/>
    <col min="12311" max="12311" width="9.25" style="144" bestFit="1" customWidth="1"/>
    <col min="12312" max="12312" width="11" style="144" bestFit="1" customWidth="1"/>
    <col min="12313" max="12545" width="9" style="144"/>
    <col min="12546" max="12546" width="4.625" style="144" bestFit="1" customWidth="1"/>
    <col min="12547" max="12547" width="7.5" style="144" bestFit="1" customWidth="1"/>
    <col min="12548" max="12548" width="6.25" style="144" customWidth="1"/>
    <col min="12549" max="12549" width="11" style="144" bestFit="1" customWidth="1"/>
    <col min="12550" max="12551" width="9.625" style="144" bestFit="1" customWidth="1"/>
    <col min="12552" max="12552" width="8.25" style="144" bestFit="1" customWidth="1"/>
    <col min="12553" max="12554" width="9.625" style="144" bestFit="1" customWidth="1"/>
    <col min="12555" max="12555" width="8.25" style="144" bestFit="1" customWidth="1"/>
    <col min="12556" max="12557" width="9.625" style="144" bestFit="1" customWidth="1"/>
    <col min="12558" max="12559" width="8.25" style="144" bestFit="1" customWidth="1"/>
    <col min="12560" max="12560" width="11" style="144" bestFit="1" customWidth="1"/>
    <col min="12561" max="12561" width="8" style="144" bestFit="1" customWidth="1"/>
    <col min="12562" max="12562" width="7.75" style="144" bestFit="1" customWidth="1"/>
    <col min="12563" max="12564" width="9.625" style="144" bestFit="1" customWidth="1"/>
    <col min="12565" max="12566" width="9.625" style="144" customWidth="1"/>
    <col min="12567" max="12567" width="9.25" style="144" bestFit="1" customWidth="1"/>
    <col min="12568" max="12568" width="11" style="144" bestFit="1" customWidth="1"/>
    <col min="12569" max="12801" width="9" style="144"/>
    <col min="12802" max="12802" width="4.625" style="144" bestFit="1" customWidth="1"/>
    <col min="12803" max="12803" width="7.5" style="144" bestFit="1" customWidth="1"/>
    <col min="12804" max="12804" width="6.25" style="144" customWidth="1"/>
    <col min="12805" max="12805" width="11" style="144" bestFit="1" customWidth="1"/>
    <col min="12806" max="12807" width="9.625" style="144" bestFit="1" customWidth="1"/>
    <col min="12808" max="12808" width="8.25" style="144" bestFit="1" customWidth="1"/>
    <col min="12809" max="12810" width="9.625" style="144" bestFit="1" customWidth="1"/>
    <col min="12811" max="12811" width="8.25" style="144" bestFit="1" customWidth="1"/>
    <col min="12812" max="12813" width="9.625" style="144" bestFit="1" customWidth="1"/>
    <col min="12814" max="12815" width="8.25" style="144" bestFit="1" customWidth="1"/>
    <col min="12816" max="12816" width="11" style="144" bestFit="1" customWidth="1"/>
    <col min="12817" max="12817" width="8" style="144" bestFit="1" customWidth="1"/>
    <col min="12818" max="12818" width="7.75" style="144" bestFit="1" customWidth="1"/>
    <col min="12819" max="12820" width="9.625" style="144" bestFit="1" customWidth="1"/>
    <col min="12821" max="12822" width="9.625" style="144" customWidth="1"/>
    <col min="12823" max="12823" width="9.25" style="144" bestFit="1" customWidth="1"/>
    <col min="12824" max="12824" width="11" style="144" bestFit="1" customWidth="1"/>
    <col min="12825" max="13057" width="9" style="144"/>
    <col min="13058" max="13058" width="4.625" style="144" bestFit="1" customWidth="1"/>
    <col min="13059" max="13059" width="7.5" style="144" bestFit="1" customWidth="1"/>
    <col min="13060" max="13060" width="6.25" style="144" customWidth="1"/>
    <col min="13061" max="13061" width="11" style="144" bestFit="1" customWidth="1"/>
    <col min="13062" max="13063" width="9.625" style="144" bestFit="1" customWidth="1"/>
    <col min="13064" max="13064" width="8.25" style="144" bestFit="1" customWidth="1"/>
    <col min="13065" max="13066" width="9.625" style="144" bestFit="1" customWidth="1"/>
    <col min="13067" max="13067" width="8.25" style="144" bestFit="1" customWidth="1"/>
    <col min="13068" max="13069" width="9.625" style="144" bestFit="1" customWidth="1"/>
    <col min="13070" max="13071" width="8.25" style="144" bestFit="1" customWidth="1"/>
    <col min="13072" max="13072" width="11" style="144" bestFit="1" customWidth="1"/>
    <col min="13073" max="13073" width="8" style="144" bestFit="1" customWidth="1"/>
    <col min="13074" max="13074" width="7.75" style="144" bestFit="1" customWidth="1"/>
    <col min="13075" max="13076" width="9.625" style="144" bestFit="1" customWidth="1"/>
    <col min="13077" max="13078" width="9.625" style="144" customWidth="1"/>
    <col min="13079" max="13079" width="9.25" style="144" bestFit="1" customWidth="1"/>
    <col min="13080" max="13080" width="11" style="144" bestFit="1" customWidth="1"/>
    <col min="13081" max="13313" width="9" style="144"/>
    <col min="13314" max="13314" width="4.625" style="144" bestFit="1" customWidth="1"/>
    <col min="13315" max="13315" width="7.5" style="144" bestFit="1" customWidth="1"/>
    <col min="13316" max="13316" width="6.25" style="144" customWidth="1"/>
    <col min="13317" max="13317" width="11" style="144" bestFit="1" customWidth="1"/>
    <col min="13318" max="13319" width="9.625" style="144" bestFit="1" customWidth="1"/>
    <col min="13320" max="13320" width="8.25" style="144" bestFit="1" customWidth="1"/>
    <col min="13321" max="13322" width="9.625" style="144" bestFit="1" customWidth="1"/>
    <col min="13323" max="13323" width="8.25" style="144" bestFit="1" customWidth="1"/>
    <col min="13324" max="13325" width="9.625" style="144" bestFit="1" customWidth="1"/>
    <col min="13326" max="13327" width="8.25" style="144" bestFit="1" customWidth="1"/>
    <col min="13328" max="13328" width="11" style="144" bestFit="1" customWidth="1"/>
    <col min="13329" max="13329" width="8" style="144" bestFit="1" customWidth="1"/>
    <col min="13330" max="13330" width="7.75" style="144" bestFit="1" customWidth="1"/>
    <col min="13331" max="13332" width="9.625" style="144" bestFit="1" customWidth="1"/>
    <col min="13333" max="13334" width="9.625" style="144" customWidth="1"/>
    <col min="13335" max="13335" width="9.25" style="144" bestFit="1" customWidth="1"/>
    <col min="13336" max="13336" width="11" style="144" bestFit="1" customWidth="1"/>
    <col min="13337" max="13569" width="9" style="144"/>
    <col min="13570" max="13570" width="4.625" style="144" bestFit="1" customWidth="1"/>
    <col min="13571" max="13571" width="7.5" style="144" bestFit="1" customWidth="1"/>
    <col min="13572" max="13572" width="6.25" style="144" customWidth="1"/>
    <col min="13573" max="13573" width="11" style="144" bestFit="1" customWidth="1"/>
    <col min="13574" max="13575" width="9.625" style="144" bestFit="1" customWidth="1"/>
    <col min="13576" max="13576" width="8.25" style="144" bestFit="1" customWidth="1"/>
    <col min="13577" max="13578" width="9.625" style="144" bestFit="1" customWidth="1"/>
    <col min="13579" max="13579" width="8.25" style="144" bestFit="1" customWidth="1"/>
    <col min="13580" max="13581" width="9.625" style="144" bestFit="1" customWidth="1"/>
    <col min="13582" max="13583" width="8.25" style="144" bestFit="1" customWidth="1"/>
    <col min="13584" max="13584" width="11" style="144" bestFit="1" customWidth="1"/>
    <col min="13585" max="13585" width="8" style="144" bestFit="1" customWidth="1"/>
    <col min="13586" max="13586" width="7.75" style="144" bestFit="1" customWidth="1"/>
    <col min="13587" max="13588" width="9.625" style="144" bestFit="1" customWidth="1"/>
    <col min="13589" max="13590" width="9.625" style="144" customWidth="1"/>
    <col min="13591" max="13591" width="9.25" style="144" bestFit="1" customWidth="1"/>
    <col min="13592" max="13592" width="11" style="144" bestFit="1" customWidth="1"/>
    <col min="13593" max="13825" width="9" style="144"/>
    <col min="13826" max="13826" width="4.625" style="144" bestFit="1" customWidth="1"/>
    <col min="13827" max="13827" width="7.5" style="144" bestFit="1" customWidth="1"/>
    <col min="13828" max="13828" width="6.25" style="144" customWidth="1"/>
    <col min="13829" max="13829" width="11" style="144" bestFit="1" customWidth="1"/>
    <col min="13830" max="13831" width="9.625" style="144" bestFit="1" customWidth="1"/>
    <col min="13832" max="13832" width="8.25" style="144" bestFit="1" customWidth="1"/>
    <col min="13833" max="13834" width="9.625" style="144" bestFit="1" customWidth="1"/>
    <col min="13835" max="13835" width="8.25" style="144" bestFit="1" customWidth="1"/>
    <col min="13836" max="13837" width="9.625" style="144" bestFit="1" customWidth="1"/>
    <col min="13838" max="13839" width="8.25" style="144" bestFit="1" customWidth="1"/>
    <col min="13840" max="13840" width="11" style="144" bestFit="1" customWidth="1"/>
    <col min="13841" max="13841" width="8" style="144" bestFit="1" customWidth="1"/>
    <col min="13842" max="13842" width="7.75" style="144" bestFit="1" customWidth="1"/>
    <col min="13843" max="13844" width="9.625" style="144" bestFit="1" customWidth="1"/>
    <col min="13845" max="13846" width="9.625" style="144" customWidth="1"/>
    <col min="13847" max="13847" width="9.25" style="144" bestFit="1" customWidth="1"/>
    <col min="13848" max="13848" width="11" style="144" bestFit="1" customWidth="1"/>
    <col min="13849" max="14081" width="9" style="144"/>
    <col min="14082" max="14082" width="4.625" style="144" bestFit="1" customWidth="1"/>
    <col min="14083" max="14083" width="7.5" style="144" bestFit="1" customWidth="1"/>
    <col min="14084" max="14084" width="6.25" style="144" customWidth="1"/>
    <col min="14085" max="14085" width="11" style="144" bestFit="1" customWidth="1"/>
    <col min="14086" max="14087" width="9.625" style="144" bestFit="1" customWidth="1"/>
    <col min="14088" max="14088" width="8.25" style="144" bestFit="1" customWidth="1"/>
    <col min="14089" max="14090" width="9.625" style="144" bestFit="1" customWidth="1"/>
    <col min="14091" max="14091" width="8.25" style="144" bestFit="1" customWidth="1"/>
    <col min="14092" max="14093" width="9.625" style="144" bestFit="1" customWidth="1"/>
    <col min="14094" max="14095" width="8.25" style="144" bestFit="1" customWidth="1"/>
    <col min="14096" max="14096" width="11" style="144" bestFit="1" customWidth="1"/>
    <col min="14097" max="14097" width="8" style="144" bestFit="1" customWidth="1"/>
    <col min="14098" max="14098" width="7.75" style="144" bestFit="1" customWidth="1"/>
    <col min="14099" max="14100" width="9.625" style="144" bestFit="1" customWidth="1"/>
    <col min="14101" max="14102" width="9.625" style="144" customWidth="1"/>
    <col min="14103" max="14103" width="9.25" style="144" bestFit="1" customWidth="1"/>
    <col min="14104" max="14104" width="11" style="144" bestFit="1" customWidth="1"/>
    <col min="14105" max="14337" width="9" style="144"/>
    <col min="14338" max="14338" width="4.625" style="144" bestFit="1" customWidth="1"/>
    <col min="14339" max="14339" width="7.5" style="144" bestFit="1" customWidth="1"/>
    <col min="14340" max="14340" width="6.25" style="144" customWidth="1"/>
    <col min="14341" max="14341" width="11" style="144" bestFit="1" customWidth="1"/>
    <col min="14342" max="14343" width="9.625" style="144" bestFit="1" customWidth="1"/>
    <col min="14344" max="14344" width="8.25" style="144" bestFit="1" customWidth="1"/>
    <col min="14345" max="14346" width="9.625" style="144" bestFit="1" customWidth="1"/>
    <col min="14347" max="14347" width="8.25" style="144" bestFit="1" customWidth="1"/>
    <col min="14348" max="14349" width="9.625" style="144" bestFit="1" customWidth="1"/>
    <col min="14350" max="14351" width="8.25" style="144" bestFit="1" customWidth="1"/>
    <col min="14352" max="14352" width="11" style="144" bestFit="1" customWidth="1"/>
    <col min="14353" max="14353" width="8" style="144" bestFit="1" customWidth="1"/>
    <col min="14354" max="14354" width="7.75" style="144" bestFit="1" customWidth="1"/>
    <col min="14355" max="14356" width="9.625" style="144" bestFit="1" customWidth="1"/>
    <col min="14357" max="14358" width="9.625" style="144" customWidth="1"/>
    <col min="14359" max="14359" width="9.25" style="144" bestFit="1" customWidth="1"/>
    <col min="14360" max="14360" width="11" style="144" bestFit="1" customWidth="1"/>
    <col min="14361" max="14593" width="9" style="144"/>
    <col min="14594" max="14594" width="4.625" style="144" bestFit="1" customWidth="1"/>
    <col min="14595" max="14595" width="7.5" style="144" bestFit="1" customWidth="1"/>
    <col min="14596" max="14596" width="6.25" style="144" customWidth="1"/>
    <col min="14597" max="14597" width="11" style="144" bestFit="1" customWidth="1"/>
    <col min="14598" max="14599" width="9.625" style="144" bestFit="1" customWidth="1"/>
    <col min="14600" max="14600" width="8.25" style="144" bestFit="1" customWidth="1"/>
    <col min="14601" max="14602" width="9.625" style="144" bestFit="1" customWidth="1"/>
    <col min="14603" max="14603" width="8.25" style="144" bestFit="1" customWidth="1"/>
    <col min="14604" max="14605" width="9.625" style="144" bestFit="1" customWidth="1"/>
    <col min="14606" max="14607" width="8.25" style="144" bestFit="1" customWidth="1"/>
    <col min="14608" max="14608" width="11" style="144" bestFit="1" customWidth="1"/>
    <col min="14609" max="14609" width="8" style="144" bestFit="1" customWidth="1"/>
    <col min="14610" max="14610" width="7.75" style="144" bestFit="1" customWidth="1"/>
    <col min="14611" max="14612" width="9.625" style="144" bestFit="1" customWidth="1"/>
    <col min="14613" max="14614" width="9.625" style="144" customWidth="1"/>
    <col min="14615" max="14615" width="9.25" style="144" bestFit="1" customWidth="1"/>
    <col min="14616" max="14616" width="11" style="144" bestFit="1" customWidth="1"/>
    <col min="14617" max="14849" width="9" style="144"/>
    <col min="14850" max="14850" width="4.625" style="144" bestFit="1" customWidth="1"/>
    <col min="14851" max="14851" width="7.5" style="144" bestFit="1" customWidth="1"/>
    <col min="14852" max="14852" width="6.25" style="144" customWidth="1"/>
    <col min="14853" max="14853" width="11" style="144" bestFit="1" customWidth="1"/>
    <col min="14854" max="14855" width="9.625" style="144" bestFit="1" customWidth="1"/>
    <col min="14856" max="14856" width="8.25" style="144" bestFit="1" customWidth="1"/>
    <col min="14857" max="14858" width="9.625" style="144" bestFit="1" customWidth="1"/>
    <col min="14859" max="14859" width="8.25" style="144" bestFit="1" customWidth="1"/>
    <col min="14860" max="14861" width="9.625" style="144" bestFit="1" customWidth="1"/>
    <col min="14862" max="14863" width="8.25" style="144" bestFit="1" customWidth="1"/>
    <col min="14864" max="14864" width="11" style="144" bestFit="1" customWidth="1"/>
    <col min="14865" max="14865" width="8" style="144" bestFit="1" customWidth="1"/>
    <col min="14866" max="14866" width="7.75" style="144" bestFit="1" customWidth="1"/>
    <col min="14867" max="14868" width="9.625" style="144" bestFit="1" customWidth="1"/>
    <col min="14869" max="14870" width="9.625" style="144" customWidth="1"/>
    <col min="14871" max="14871" width="9.25" style="144" bestFit="1" customWidth="1"/>
    <col min="14872" max="14872" width="11" style="144" bestFit="1" customWidth="1"/>
    <col min="14873" max="15105" width="9" style="144"/>
    <col min="15106" max="15106" width="4.625" style="144" bestFit="1" customWidth="1"/>
    <col min="15107" max="15107" width="7.5" style="144" bestFit="1" customWidth="1"/>
    <col min="15108" max="15108" width="6.25" style="144" customWidth="1"/>
    <col min="15109" max="15109" width="11" style="144" bestFit="1" customWidth="1"/>
    <col min="15110" max="15111" width="9.625" style="144" bestFit="1" customWidth="1"/>
    <col min="15112" max="15112" width="8.25" style="144" bestFit="1" customWidth="1"/>
    <col min="15113" max="15114" width="9.625" style="144" bestFit="1" customWidth="1"/>
    <col min="15115" max="15115" width="8.25" style="144" bestFit="1" customWidth="1"/>
    <col min="15116" max="15117" width="9.625" style="144" bestFit="1" customWidth="1"/>
    <col min="15118" max="15119" width="8.25" style="144" bestFit="1" customWidth="1"/>
    <col min="15120" max="15120" width="11" style="144" bestFit="1" customWidth="1"/>
    <col min="15121" max="15121" width="8" style="144" bestFit="1" customWidth="1"/>
    <col min="15122" max="15122" width="7.75" style="144" bestFit="1" customWidth="1"/>
    <col min="15123" max="15124" width="9.625" style="144" bestFit="1" customWidth="1"/>
    <col min="15125" max="15126" width="9.625" style="144" customWidth="1"/>
    <col min="15127" max="15127" width="9.25" style="144" bestFit="1" customWidth="1"/>
    <col min="15128" max="15128" width="11" style="144" bestFit="1" customWidth="1"/>
    <col min="15129" max="15361" width="9" style="144"/>
    <col min="15362" max="15362" width="4.625" style="144" bestFit="1" customWidth="1"/>
    <col min="15363" max="15363" width="7.5" style="144" bestFit="1" customWidth="1"/>
    <col min="15364" max="15364" width="6.25" style="144" customWidth="1"/>
    <col min="15365" max="15365" width="11" style="144" bestFit="1" customWidth="1"/>
    <col min="15366" max="15367" width="9.625" style="144" bestFit="1" customWidth="1"/>
    <col min="15368" max="15368" width="8.25" style="144" bestFit="1" customWidth="1"/>
    <col min="15369" max="15370" width="9.625" style="144" bestFit="1" customWidth="1"/>
    <col min="15371" max="15371" width="8.25" style="144" bestFit="1" customWidth="1"/>
    <col min="15372" max="15373" width="9.625" style="144" bestFit="1" customWidth="1"/>
    <col min="15374" max="15375" width="8.25" style="144" bestFit="1" customWidth="1"/>
    <col min="15376" max="15376" width="11" style="144" bestFit="1" customWidth="1"/>
    <col min="15377" max="15377" width="8" style="144" bestFit="1" customWidth="1"/>
    <col min="15378" max="15378" width="7.75" style="144" bestFit="1" customWidth="1"/>
    <col min="15379" max="15380" width="9.625" style="144" bestFit="1" customWidth="1"/>
    <col min="15381" max="15382" width="9.625" style="144" customWidth="1"/>
    <col min="15383" max="15383" width="9.25" style="144" bestFit="1" customWidth="1"/>
    <col min="15384" max="15384" width="11" style="144" bestFit="1" customWidth="1"/>
    <col min="15385" max="15617" width="9" style="144"/>
    <col min="15618" max="15618" width="4.625" style="144" bestFit="1" customWidth="1"/>
    <col min="15619" max="15619" width="7.5" style="144" bestFit="1" customWidth="1"/>
    <col min="15620" max="15620" width="6.25" style="144" customWidth="1"/>
    <col min="15621" max="15621" width="11" style="144" bestFit="1" customWidth="1"/>
    <col min="15622" max="15623" width="9.625" style="144" bestFit="1" customWidth="1"/>
    <col min="15624" max="15624" width="8.25" style="144" bestFit="1" customWidth="1"/>
    <col min="15625" max="15626" width="9.625" style="144" bestFit="1" customWidth="1"/>
    <col min="15627" max="15627" width="8.25" style="144" bestFit="1" customWidth="1"/>
    <col min="15628" max="15629" width="9.625" style="144" bestFit="1" customWidth="1"/>
    <col min="15630" max="15631" width="8.25" style="144" bestFit="1" customWidth="1"/>
    <col min="15632" max="15632" width="11" style="144" bestFit="1" customWidth="1"/>
    <col min="15633" max="15633" width="8" style="144" bestFit="1" customWidth="1"/>
    <col min="15634" max="15634" width="7.75" style="144" bestFit="1" customWidth="1"/>
    <col min="15635" max="15636" width="9.625" style="144" bestFit="1" customWidth="1"/>
    <col min="15637" max="15638" width="9.625" style="144" customWidth="1"/>
    <col min="15639" max="15639" width="9.25" style="144" bestFit="1" customWidth="1"/>
    <col min="15640" max="15640" width="11" style="144" bestFit="1" customWidth="1"/>
    <col min="15641" max="15873" width="9" style="144"/>
    <col min="15874" max="15874" width="4.625" style="144" bestFit="1" customWidth="1"/>
    <col min="15875" max="15875" width="7.5" style="144" bestFit="1" customWidth="1"/>
    <col min="15876" max="15876" width="6.25" style="144" customWidth="1"/>
    <col min="15877" max="15877" width="11" style="144" bestFit="1" customWidth="1"/>
    <col min="15878" max="15879" width="9.625" style="144" bestFit="1" customWidth="1"/>
    <col min="15880" max="15880" width="8.25" style="144" bestFit="1" customWidth="1"/>
    <col min="15881" max="15882" width="9.625" style="144" bestFit="1" customWidth="1"/>
    <col min="15883" max="15883" width="8.25" style="144" bestFit="1" customWidth="1"/>
    <col min="15884" max="15885" width="9.625" style="144" bestFit="1" customWidth="1"/>
    <col min="15886" max="15887" width="8.25" style="144" bestFit="1" customWidth="1"/>
    <col min="15888" max="15888" width="11" style="144" bestFit="1" customWidth="1"/>
    <col min="15889" max="15889" width="8" style="144" bestFit="1" customWidth="1"/>
    <col min="15890" max="15890" width="7.75" style="144" bestFit="1" customWidth="1"/>
    <col min="15891" max="15892" width="9.625" style="144" bestFit="1" customWidth="1"/>
    <col min="15893" max="15894" width="9.625" style="144" customWidth="1"/>
    <col min="15895" max="15895" width="9.25" style="144" bestFit="1" customWidth="1"/>
    <col min="15896" max="15896" width="11" style="144" bestFit="1" customWidth="1"/>
    <col min="15897" max="16129" width="9" style="144"/>
    <col min="16130" max="16130" width="4.625" style="144" bestFit="1" customWidth="1"/>
    <col min="16131" max="16131" width="7.5" style="144" bestFit="1" customWidth="1"/>
    <col min="16132" max="16132" width="6.25" style="144" customWidth="1"/>
    <col min="16133" max="16133" width="11" style="144" bestFit="1" customWidth="1"/>
    <col min="16134" max="16135" width="9.625" style="144" bestFit="1" customWidth="1"/>
    <col min="16136" max="16136" width="8.25" style="144" bestFit="1" customWidth="1"/>
    <col min="16137" max="16138" width="9.625" style="144" bestFit="1" customWidth="1"/>
    <col min="16139" max="16139" width="8.25" style="144" bestFit="1" customWidth="1"/>
    <col min="16140" max="16141" width="9.625" style="144" bestFit="1" customWidth="1"/>
    <col min="16142" max="16143" width="8.25" style="144" bestFit="1" customWidth="1"/>
    <col min="16144" max="16144" width="11" style="144" bestFit="1" customWidth="1"/>
    <col min="16145" max="16145" width="8" style="144" bestFit="1" customWidth="1"/>
    <col min="16146" max="16146" width="7.75" style="144" bestFit="1" customWidth="1"/>
    <col min="16147" max="16148" width="9.625" style="144" bestFit="1" customWidth="1"/>
    <col min="16149" max="16150" width="9.625" style="144" customWidth="1"/>
    <col min="16151" max="16151" width="9.25" style="144" bestFit="1" customWidth="1"/>
    <col min="16152" max="16152" width="11" style="144" bestFit="1" customWidth="1"/>
    <col min="16153" max="16384" width="9" style="144"/>
  </cols>
  <sheetData>
    <row r="2" spans="2:29" ht="24.75" customHeight="1" x14ac:dyDescent="0.3">
      <c r="J2" s="65"/>
    </row>
    <row r="3" spans="2:29" ht="24.7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175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12.7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45"/>
      <c r="V4" s="252"/>
      <c r="W4" s="252"/>
      <c r="X4" s="252"/>
    </row>
    <row r="5" spans="2:29" ht="24.75" customHeight="1" x14ac:dyDescent="0.3">
      <c r="B5" s="253" t="s">
        <v>176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46"/>
      <c r="Q5" s="69"/>
      <c r="R5" s="69"/>
      <c r="S5" s="69"/>
      <c r="T5" s="252"/>
      <c r="U5" s="145"/>
      <c r="V5" s="252"/>
      <c r="W5" s="252"/>
      <c r="X5" s="252"/>
    </row>
    <row r="6" spans="2:29" ht="7.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7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7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105</v>
      </c>
      <c r="H8" s="81" t="s">
        <v>106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110</v>
      </c>
      <c r="N8" s="80" t="s">
        <v>111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4.75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4.75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5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4.75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4.75" customHeight="1" x14ac:dyDescent="0.3">
      <c r="B12" s="101">
        <v>4</v>
      </c>
      <c r="C12" s="87" t="s">
        <v>201</v>
      </c>
      <c r="D12" s="88" t="s">
        <v>202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ht="24.75" customHeight="1" x14ac:dyDescent="0.3">
      <c r="B13" s="101">
        <v>5</v>
      </c>
      <c r="C13" s="87" t="s">
        <v>196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4.75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4.75" customHeight="1" x14ac:dyDescent="0.3">
      <c r="B15" s="101">
        <v>7</v>
      </c>
      <c r="C15" s="87" t="s">
        <v>198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126">
        <f t="shared" si="8"/>
        <v>99000</v>
      </c>
      <c r="T15" s="95">
        <f t="shared" si="3"/>
        <v>75460</v>
      </c>
      <c r="U15" s="96">
        <f t="shared" si="4"/>
        <v>8690</v>
      </c>
      <c r="V15" s="96">
        <f t="shared" ref="V15:V24" si="10">IFERROR(IF(D15&lt;&gt;"대표이사",ROUNDDOWN((P15-AC15)*고용보험율,-1),0),)</f>
        <v>17600</v>
      </c>
      <c r="W15" s="93">
        <f t="shared" ref="W15:W24" si="11">SUM(Q15:V15)</f>
        <v>229290</v>
      </c>
      <c r="X15" s="97">
        <f t="shared" si="7"/>
        <v>2270710</v>
      </c>
      <c r="Z15" s="98">
        <v>1</v>
      </c>
      <c r="AA15" s="99"/>
      <c r="AC15" s="100">
        <f t="shared" ref="AC15:AC24" si="12">IF(N15&gt;=100000,100000,N15)+IF(O15&gt;=200000,200000,O15)</f>
        <v>300000</v>
      </c>
    </row>
    <row r="16" spans="2:29" ht="24.75" customHeight="1" x14ac:dyDescent="0.3">
      <c r="B16" s="101">
        <v>8</v>
      </c>
      <c r="C16" s="87" t="s">
        <v>199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2"/>
        <v>300000</v>
      </c>
    </row>
    <row r="17" spans="2:29" ht="24.75" customHeight="1" x14ac:dyDescent="0.3">
      <c r="B17" s="101">
        <v>9</v>
      </c>
      <c r="C17" s="87" t="s">
        <v>132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24" si="13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4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si="10"/>
        <v>17600</v>
      </c>
      <c r="W17" s="124">
        <f t="shared" si="11"/>
        <v>229290</v>
      </c>
      <c r="X17" s="128">
        <f t="shared" si="7"/>
        <v>2270710</v>
      </c>
      <c r="Z17" s="98">
        <v>1</v>
      </c>
      <c r="AA17" s="99"/>
      <c r="AC17" s="100">
        <f t="shared" si="12"/>
        <v>300000</v>
      </c>
    </row>
    <row r="18" spans="2:29" ht="24.75" customHeight="1" x14ac:dyDescent="0.3">
      <c r="B18" s="101">
        <v>10</v>
      </c>
      <c r="C18" s="87" t="s">
        <v>200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3"/>
        <v>2500000</v>
      </c>
      <c r="Q18" s="125">
        <f t="shared" si="1"/>
        <v>25950</v>
      </c>
      <c r="R18" s="126">
        <f t="shared" si="2"/>
        <v>2590</v>
      </c>
      <c r="S18" s="126">
        <f t="shared" si="14"/>
        <v>99000</v>
      </c>
      <c r="T18" s="95">
        <f t="shared" si="3"/>
        <v>75460</v>
      </c>
      <c r="U18" s="96">
        <f t="shared" si="4"/>
        <v>8690</v>
      </c>
      <c r="V18" s="127">
        <f t="shared" si="10"/>
        <v>17600</v>
      </c>
      <c r="W18" s="124">
        <f t="shared" si="11"/>
        <v>229290</v>
      </c>
      <c r="X18" s="128">
        <f t="shared" si="7"/>
        <v>2270710</v>
      </c>
      <c r="Z18" s="98">
        <v>1</v>
      </c>
      <c r="AA18" s="99"/>
      <c r="AC18" s="100">
        <f t="shared" si="12"/>
        <v>300000</v>
      </c>
    </row>
    <row r="19" spans="2:29" ht="24.75" customHeight="1" x14ac:dyDescent="0.3">
      <c r="B19" s="101">
        <v>11</v>
      </c>
      <c r="C19" s="87" t="s">
        <v>169</v>
      </c>
      <c r="D19" s="88" t="s">
        <v>50</v>
      </c>
      <c r="E19" s="89">
        <v>1400000</v>
      </c>
      <c r="F19" s="102"/>
      <c r="G19" s="102"/>
      <c r="H19" s="102"/>
      <c r="I19" s="102"/>
      <c r="J19" s="103"/>
      <c r="K19" s="103"/>
      <c r="L19" s="103"/>
      <c r="M19" s="103"/>
      <c r="N19" s="89">
        <v>140000</v>
      </c>
      <c r="O19" s="104">
        <v>140000</v>
      </c>
      <c r="P19" s="93">
        <f>E19+N19+O19</f>
        <v>1680000</v>
      </c>
      <c r="Q19" s="94">
        <v>25950</v>
      </c>
      <c r="R19" s="126">
        <f t="shared" si="2"/>
        <v>2590</v>
      </c>
      <c r="S19" s="126"/>
      <c r="T19" s="95">
        <v>75460</v>
      </c>
      <c r="U19" s="96">
        <f t="shared" si="4"/>
        <v>8690</v>
      </c>
      <c r="V19" s="127">
        <v>17600</v>
      </c>
      <c r="W19" s="124">
        <f>SUM(Q19:V19)</f>
        <v>130290</v>
      </c>
      <c r="X19" s="128">
        <f t="shared" si="7"/>
        <v>1549710</v>
      </c>
      <c r="Z19" s="98">
        <v>1</v>
      </c>
      <c r="AA19" s="99"/>
      <c r="AC19" s="100"/>
    </row>
    <row r="20" spans="2:29" ht="24.75" customHeight="1" x14ac:dyDescent="0.3">
      <c r="B20" s="101">
        <v>12</v>
      </c>
      <c r="C20" s="87" t="s">
        <v>203</v>
      </c>
      <c r="D20" s="88" t="s">
        <v>170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ref="P20:P21" si="15">SUM(E20:O20)</f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4.75" customHeight="1" x14ac:dyDescent="0.3">
      <c r="B21" s="101">
        <v>13</v>
      </c>
      <c r="C21" s="87" t="s">
        <v>166</v>
      </c>
      <c r="D21" s="88" t="s">
        <v>45</v>
      </c>
      <c r="E21" s="89">
        <v>2100000</v>
      </c>
      <c r="F21" s="102"/>
      <c r="G21" s="102"/>
      <c r="H21" s="102"/>
      <c r="I21" s="102"/>
      <c r="J21" s="103"/>
      <c r="K21" s="103"/>
      <c r="L21" s="103"/>
      <c r="M21" s="103"/>
      <c r="N21" s="89">
        <v>200000</v>
      </c>
      <c r="O21" s="104">
        <v>200000</v>
      </c>
      <c r="P21" s="93">
        <f t="shared" si="15"/>
        <v>2500000</v>
      </c>
      <c r="Q21" s="94">
        <v>25950</v>
      </c>
      <c r="R21" s="126">
        <f t="shared" si="2"/>
        <v>2590</v>
      </c>
      <c r="S21" s="126"/>
      <c r="T21" s="95">
        <v>75460</v>
      </c>
      <c r="U21" s="96">
        <f t="shared" si="4"/>
        <v>8690</v>
      </c>
      <c r="V21" s="127">
        <v>17600</v>
      </c>
      <c r="W21" s="124">
        <f>SUM(Q21:V21)</f>
        <v>130290</v>
      </c>
      <c r="X21" s="97">
        <f t="shared" si="7"/>
        <v>2369710</v>
      </c>
      <c r="Z21" s="98">
        <v>1</v>
      </c>
      <c r="AA21" s="99"/>
      <c r="AC21" s="100"/>
    </row>
    <row r="22" spans="2:29" ht="24.75" customHeight="1" x14ac:dyDescent="0.3">
      <c r="B22" s="101">
        <v>14</v>
      </c>
      <c r="C22" s="87" t="s">
        <v>204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si="13"/>
        <v>2500000</v>
      </c>
      <c r="Q22" s="125">
        <f t="shared" si="1"/>
        <v>25950</v>
      </c>
      <c r="R22" s="126">
        <f t="shared" si="2"/>
        <v>2590</v>
      </c>
      <c r="S22" s="126"/>
      <c r="T22" s="95">
        <f t="shared" si="3"/>
        <v>75460</v>
      </c>
      <c r="U22" s="96">
        <f t="shared" si="4"/>
        <v>8690</v>
      </c>
      <c r="V22" s="127">
        <f t="shared" si="10"/>
        <v>17600</v>
      </c>
      <c r="W22" s="124">
        <f t="shared" si="11"/>
        <v>130290</v>
      </c>
      <c r="X22" s="128">
        <f t="shared" si="7"/>
        <v>2369710</v>
      </c>
      <c r="Z22" s="98">
        <v>1</v>
      </c>
      <c r="AA22" s="99"/>
      <c r="AC22" s="100">
        <f t="shared" si="12"/>
        <v>300000</v>
      </c>
    </row>
    <row r="23" spans="2:29" s="148" customFormat="1" ht="24.75" customHeight="1" x14ac:dyDescent="0.3">
      <c r="B23" s="101">
        <v>15</v>
      </c>
      <c r="C23" s="87" t="s">
        <v>205</v>
      </c>
      <c r="D23" s="88" t="s">
        <v>194</v>
      </c>
      <c r="E23" s="89">
        <v>2100000</v>
      </c>
      <c r="F23" s="106"/>
      <c r="G23" s="106"/>
      <c r="H23" s="106"/>
      <c r="I23" s="106"/>
      <c r="J23" s="107"/>
      <c r="K23" s="107"/>
      <c r="L23" s="107"/>
      <c r="M23" s="107"/>
      <c r="N23" s="89">
        <v>200000</v>
      </c>
      <c r="O23" s="130">
        <v>200000</v>
      </c>
      <c r="P23" s="124">
        <f t="shared" si="13"/>
        <v>2500000</v>
      </c>
      <c r="Q23" s="94">
        <v>25950</v>
      </c>
      <c r="R23" s="126">
        <f t="shared" si="2"/>
        <v>2590</v>
      </c>
      <c r="S23" s="126">
        <v>99000</v>
      </c>
      <c r="T23" s="95">
        <v>75460</v>
      </c>
      <c r="U23" s="96">
        <f t="shared" si="4"/>
        <v>8690</v>
      </c>
      <c r="V23" s="127">
        <v>17600</v>
      </c>
      <c r="W23" s="124">
        <f>SUM(Q23:V23)</f>
        <v>229290</v>
      </c>
      <c r="X23" s="97">
        <f t="shared" si="7"/>
        <v>2270710</v>
      </c>
      <c r="Z23" s="98">
        <v>1</v>
      </c>
      <c r="AA23" s="99"/>
      <c r="AC23" s="100"/>
    </row>
    <row r="24" spans="2:29" ht="24.75" customHeight="1" x14ac:dyDescent="0.3">
      <c r="B24" s="101">
        <v>16</v>
      </c>
      <c r="C24" s="87" t="s">
        <v>206</v>
      </c>
      <c r="D24" s="88" t="s">
        <v>50</v>
      </c>
      <c r="E24" s="89">
        <v>1050000</v>
      </c>
      <c r="F24" s="106"/>
      <c r="G24" s="106"/>
      <c r="H24" s="106"/>
      <c r="I24" s="106"/>
      <c r="J24" s="107"/>
      <c r="K24" s="107"/>
      <c r="L24" s="107"/>
      <c r="M24" s="107"/>
      <c r="N24" s="89">
        <v>100000</v>
      </c>
      <c r="O24" s="130">
        <v>100000</v>
      </c>
      <c r="P24" s="124">
        <f t="shared" si="13"/>
        <v>1250000</v>
      </c>
      <c r="Q24" s="125">
        <f t="shared" si="1"/>
        <v>0</v>
      </c>
      <c r="R24" s="126">
        <f t="shared" si="2"/>
        <v>0</v>
      </c>
      <c r="S24" s="126">
        <f t="shared" si="14"/>
        <v>47250</v>
      </c>
      <c r="T24" s="95">
        <f t="shared" si="3"/>
        <v>36010</v>
      </c>
      <c r="U24" s="96">
        <f t="shared" si="4"/>
        <v>4140</v>
      </c>
      <c r="V24" s="127">
        <f t="shared" si="10"/>
        <v>8400</v>
      </c>
      <c r="W24" s="124">
        <f t="shared" si="11"/>
        <v>95800</v>
      </c>
      <c r="X24" s="128">
        <f t="shared" si="7"/>
        <v>1154200</v>
      </c>
      <c r="Z24" s="98">
        <v>1</v>
      </c>
      <c r="AA24" s="99"/>
      <c r="AC24" s="100">
        <f t="shared" si="12"/>
        <v>200000</v>
      </c>
    </row>
    <row r="25" spans="2:29" ht="24.75" customHeight="1" x14ac:dyDescent="0.3">
      <c r="B25" s="216" t="s">
        <v>93</v>
      </c>
      <c r="C25" s="217"/>
      <c r="D25" s="218"/>
      <c r="E25" s="131">
        <f t="shared" ref="E25:X25" si="16">SUM(E9:E24)</f>
        <v>31850000</v>
      </c>
      <c r="F25" s="132">
        <f t="shared" si="16"/>
        <v>0</v>
      </c>
      <c r="G25" s="132">
        <f t="shared" si="16"/>
        <v>0</v>
      </c>
      <c r="H25" s="132">
        <f t="shared" si="16"/>
        <v>0</v>
      </c>
      <c r="I25" s="132">
        <f t="shared" si="16"/>
        <v>0</v>
      </c>
      <c r="J25" s="132">
        <f t="shared" si="16"/>
        <v>0</v>
      </c>
      <c r="K25" s="132">
        <f t="shared" si="16"/>
        <v>0</v>
      </c>
      <c r="L25" s="132">
        <f t="shared" si="16"/>
        <v>0</v>
      </c>
      <c r="M25" s="133">
        <f t="shared" si="16"/>
        <v>0</v>
      </c>
      <c r="N25" s="131">
        <f t="shared" si="16"/>
        <v>3040000</v>
      </c>
      <c r="O25" s="134">
        <f t="shared" si="16"/>
        <v>3040000</v>
      </c>
      <c r="P25" s="135">
        <f t="shared" si="16"/>
        <v>37930000</v>
      </c>
      <c r="Q25" s="131">
        <f t="shared" si="16"/>
        <v>389250</v>
      </c>
      <c r="R25" s="132">
        <f t="shared" si="16"/>
        <v>38850</v>
      </c>
      <c r="S25" s="132">
        <f t="shared" si="16"/>
        <v>839250</v>
      </c>
      <c r="T25" s="132">
        <f t="shared" si="16"/>
        <v>1167910</v>
      </c>
      <c r="U25" s="133">
        <f t="shared" si="16"/>
        <v>134490</v>
      </c>
      <c r="V25" s="133">
        <f t="shared" si="16"/>
        <v>272400</v>
      </c>
      <c r="W25" s="135">
        <f t="shared" si="16"/>
        <v>2842150</v>
      </c>
      <c r="X25" s="136">
        <f t="shared" si="16"/>
        <v>35087850</v>
      </c>
    </row>
    <row r="26" spans="2:29" ht="24.7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24.7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24.75" customHeight="1" x14ac:dyDescent="0.3">
      <c r="B28" s="225" t="s">
        <v>96</v>
      </c>
      <c r="C28" s="120" t="s">
        <v>182</v>
      </c>
      <c r="D28" s="197" t="s">
        <v>183</v>
      </c>
      <c r="E28" s="198"/>
      <c r="F28" s="204" t="s">
        <v>184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24.75" customHeight="1" x14ac:dyDescent="0.3">
      <c r="B29" s="195"/>
      <c r="C29" s="120" t="s">
        <v>185</v>
      </c>
      <c r="D29" s="197" t="s">
        <v>186</v>
      </c>
      <c r="E29" s="198"/>
      <c r="F29" s="204" t="s">
        <v>187</v>
      </c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24.75" customHeight="1" x14ac:dyDescent="0.3">
      <c r="B30" s="195"/>
      <c r="C30" s="147" t="s">
        <v>188</v>
      </c>
      <c r="D30" s="197" t="s">
        <v>189</v>
      </c>
      <c r="E30" s="198"/>
      <c r="F30" s="204" t="s">
        <v>187</v>
      </c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24.7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24.75" customHeight="1" thickTop="1" thickBot="1" x14ac:dyDescent="0.35">
      <c r="B32" s="195" t="s">
        <v>97</v>
      </c>
      <c r="C32" s="121"/>
      <c r="D32" s="227"/>
      <c r="E32" s="228"/>
      <c r="F32" s="199"/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24.75" customHeight="1" thickTop="1" x14ac:dyDescent="0.3">
      <c r="B33" s="195"/>
      <c r="C33" s="120" t="s">
        <v>177</v>
      </c>
      <c r="D33" s="197" t="s">
        <v>207</v>
      </c>
      <c r="E33" s="198"/>
      <c r="F33" s="204" t="s">
        <v>178</v>
      </c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24.75" customHeight="1" thickBot="1" x14ac:dyDescent="0.35">
      <c r="B34" s="196"/>
      <c r="C34" s="122" t="s">
        <v>179</v>
      </c>
      <c r="D34" s="209" t="s">
        <v>181</v>
      </c>
      <c r="E34" s="210"/>
      <c r="F34" s="211" t="s">
        <v>180</v>
      </c>
      <c r="G34" s="212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24.75" customHeight="1" x14ac:dyDescent="0.3">
      <c r="Q35" s="64"/>
      <c r="R35" s="64"/>
      <c r="S35" s="64"/>
      <c r="T35" s="64"/>
      <c r="U35" s="64"/>
      <c r="V35" s="64"/>
    </row>
    <row r="36" spans="2:22" s="64" customFormat="1" ht="24.75" customHeight="1" x14ac:dyDescent="0.3">
      <c r="B36" s="144"/>
      <c r="C36" s="144"/>
      <c r="D36" s="14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22" s="64" customFormat="1" ht="24.75" customHeight="1" x14ac:dyDescent="0.3">
      <c r="B37" s="144"/>
      <c r="C37" s="144"/>
      <c r="D37" s="144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4.75" customHeight="1" x14ac:dyDescent="0.3">
      <c r="B38" s="144"/>
      <c r="C38" s="144"/>
      <c r="D38" s="144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4.75" customHeight="1" x14ac:dyDescent="0.3">
      <c r="B39" s="144"/>
      <c r="C39" s="144"/>
      <c r="D39" s="144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4.75" customHeight="1" x14ac:dyDescent="0.3">
      <c r="B40" s="144"/>
      <c r="C40" s="144"/>
      <c r="D40" s="144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4.75" customHeight="1" x14ac:dyDescent="0.3">
      <c r="B41" s="144"/>
      <c r="C41" s="144"/>
      <c r="D41" s="144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4.75" customHeight="1" x14ac:dyDescent="0.3">
      <c r="B42" s="144"/>
      <c r="C42" s="144"/>
      <c r="D42" s="144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4.75" customHeight="1" x14ac:dyDescent="0.3">
      <c r="B43" s="144"/>
      <c r="C43" s="144"/>
      <c r="D43" s="144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4.75" customHeight="1" x14ac:dyDescent="0.3">
      <c r="B44" s="144"/>
      <c r="C44" s="144"/>
      <c r="D44" s="144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4.75" customHeight="1" x14ac:dyDescent="0.3">
      <c r="B45" s="144"/>
      <c r="C45" s="144"/>
      <c r="D45" s="144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4.75" customHeight="1" x14ac:dyDescent="0.3">
      <c r="B46" s="144"/>
      <c r="C46" s="144"/>
      <c r="D46" s="144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4.75" customHeight="1" x14ac:dyDescent="0.3">
      <c r="B47" s="144"/>
      <c r="C47" s="144"/>
      <c r="D47" s="144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4.75" customHeight="1" x14ac:dyDescent="0.3">
      <c r="B48" s="144"/>
      <c r="C48" s="144"/>
      <c r="D48" s="144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4.75" customHeight="1" x14ac:dyDescent="0.3">
      <c r="B49" s="144"/>
      <c r="C49" s="144"/>
      <c r="D49" s="144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4.75" customHeight="1" x14ac:dyDescent="0.3">
      <c r="B50" s="144"/>
      <c r="C50" s="144"/>
      <c r="D50" s="144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4.75" customHeight="1" x14ac:dyDescent="0.3">
      <c r="B51" s="144"/>
      <c r="C51" s="144"/>
      <c r="D51" s="144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4.75" customHeight="1" x14ac:dyDescent="0.3">
      <c r="B52" s="144"/>
      <c r="C52" s="144"/>
      <c r="D52" s="144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4.75" customHeight="1" x14ac:dyDescent="0.3">
      <c r="B53" s="144"/>
      <c r="C53" s="144"/>
      <c r="D53" s="144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4.75" customHeight="1" x14ac:dyDescent="0.3">
      <c r="B54" s="144"/>
      <c r="C54" s="144"/>
      <c r="D54" s="144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4.75" customHeight="1" x14ac:dyDescent="0.3">
      <c r="B55" s="144"/>
      <c r="C55" s="144"/>
      <c r="D55" s="144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4.75" customHeight="1" x14ac:dyDescent="0.3">
      <c r="B56" s="144"/>
      <c r="C56" s="144"/>
      <c r="D56" s="144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4.75" customHeight="1" x14ac:dyDescent="0.3">
      <c r="B57" s="144"/>
      <c r="C57" s="144"/>
      <c r="D57" s="144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4.75" customHeight="1" x14ac:dyDescent="0.3">
      <c r="B58" s="144"/>
      <c r="C58" s="144"/>
      <c r="D58" s="144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4.75" customHeight="1" x14ac:dyDescent="0.3">
      <c r="B59" s="144"/>
      <c r="C59" s="144"/>
      <c r="D59" s="144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4.75" customHeight="1" x14ac:dyDescent="0.3">
      <c r="B60" s="144"/>
      <c r="C60" s="144"/>
      <c r="D60" s="144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4.75" customHeight="1" x14ac:dyDescent="0.3">
      <c r="B61" s="144"/>
      <c r="C61" s="144"/>
      <c r="D61" s="144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4.75" customHeight="1" x14ac:dyDescent="0.3">
      <c r="B62" s="144"/>
      <c r="C62" s="144"/>
      <c r="D62" s="144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4.75" customHeight="1" x14ac:dyDescent="0.3">
      <c r="B63" s="144"/>
      <c r="C63" s="144"/>
      <c r="D63" s="144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4.75" customHeight="1" x14ac:dyDescent="0.3">
      <c r="B64" s="144"/>
      <c r="C64" s="144"/>
      <c r="D64" s="144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4.75" customHeight="1" x14ac:dyDescent="0.3">
      <c r="B65" s="144"/>
      <c r="C65" s="144"/>
      <c r="D65" s="144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4.75" customHeight="1" x14ac:dyDescent="0.3">
      <c r="B66" s="144"/>
      <c r="C66" s="144"/>
      <c r="D66" s="14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4.75" customHeight="1" x14ac:dyDescent="0.3">
      <c r="B67" s="144"/>
      <c r="C67" s="144"/>
      <c r="D67" s="144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4.75" customHeight="1" x14ac:dyDescent="0.3">
      <c r="B68" s="144"/>
      <c r="C68" s="144"/>
      <c r="D68" s="14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4.75" customHeight="1" x14ac:dyDescent="0.3">
      <c r="B69" s="144"/>
      <c r="C69" s="144"/>
      <c r="D69" s="144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4.75" customHeight="1" x14ac:dyDescent="0.3">
      <c r="B70" s="144"/>
      <c r="C70" s="144"/>
      <c r="D70" s="144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4.75" customHeight="1" x14ac:dyDescent="0.3">
      <c r="B71" s="144"/>
      <c r="C71" s="144"/>
      <c r="D71" s="144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4.75" customHeight="1" x14ac:dyDescent="0.3">
      <c r="B72" s="144"/>
      <c r="C72" s="144"/>
      <c r="D72" s="144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4.75" customHeight="1" x14ac:dyDescent="0.3">
      <c r="B73" s="144"/>
      <c r="C73" s="144"/>
      <c r="D73" s="144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4.75" customHeight="1" x14ac:dyDescent="0.3">
      <c r="B74" s="144"/>
      <c r="C74" s="144"/>
      <c r="D74" s="144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4.75" customHeight="1" x14ac:dyDescent="0.3">
      <c r="B75" s="144"/>
      <c r="C75" s="144"/>
      <c r="D75" s="14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4.75" customHeight="1" x14ac:dyDescent="0.3">
      <c r="B76" s="144"/>
      <c r="C76" s="144"/>
      <c r="D76" s="144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4.75" customHeight="1" x14ac:dyDescent="0.3">
      <c r="B77" s="144"/>
      <c r="C77" s="144"/>
      <c r="D77" s="144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4.75" customHeight="1" x14ac:dyDescent="0.3">
      <c r="B78" s="144"/>
      <c r="C78" s="144"/>
      <c r="D78" s="144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4.75" customHeight="1" x14ac:dyDescent="0.3">
      <c r="B79" s="144"/>
      <c r="C79" s="144"/>
      <c r="D79" s="144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4.75" customHeight="1" x14ac:dyDescent="0.3">
      <c r="B80" s="144"/>
      <c r="C80" s="144"/>
      <c r="D80" s="144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4.75" customHeight="1" x14ac:dyDescent="0.3">
      <c r="B81" s="144"/>
      <c r="C81" s="144"/>
      <c r="D81" s="144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4.75" customHeight="1" x14ac:dyDescent="0.3">
      <c r="B82" s="144"/>
      <c r="C82" s="144"/>
      <c r="D82" s="144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4.75" customHeight="1" x14ac:dyDescent="0.3">
      <c r="B83" s="144"/>
      <c r="C83" s="144"/>
      <c r="D83" s="144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4.75" customHeight="1" x14ac:dyDescent="0.3">
      <c r="B84" s="144"/>
      <c r="C84" s="144"/>
      <c r="D84" s="144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4.75" customHeight="1" x14ac:dyDescent="0.3">
      <c r="B85" s="144"/>
      <c r="C85" s="144"/>
      <c r="D85" s="144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4.75" customHeight="1" x14ac:dyDescent="0.3">
      <c r="B86" s="144"/>
      <c r="C86" s="144"/>
      <c r="D86" s="144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4.75" customHeight="1" x14ac:dyDescent="0.3">
      <c r="B87" s="144"/>
      <c r="C87" s="144"/>
      <c r="D87" s="144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4.75" customHeight="1" x14ac:dyDescent="0.3">
      <c r="B88" s="144"/>
      <c r="C88" s="144"/>
      <c r="D88" s="144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4.75" customHeight="1" x14ac:dyDescent="0.3">
      <c r="B89" s="144"/>
      <c r="C89" s="144"/>
      <c r="D89" s="144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4.75" customHeight="1" x14ac:dyDescent="0.3">
      <c r="B90" s="144"/>
      <c r="C90" s="144"/>
      <c r="D90" s="144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4.75" customHeight="1" x14ac:dyDescent="0.3">
      <c r="B91" s="144"/>
      <c r="C91" s="144"/>
      <c r="D91" s="144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4.75" customHeight="1" x14ac:dyDescent="0.3">
      <c r="B92" s="144"/>
      <c r="C92" s="144"/>
      <c r="D92" s="144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4.75" customHeight="1" x14ac:dyDescent="0.3">
      <c r="B93" s="144"/>
      <c r="C93" s="144"/>
      <c r="D93" s="144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4.75" customHeight="1" x14ac:dyDescent="0.3">
      <c r="B94" s="144"/>
      <c r="C94" s="144"/>
      <c r="D94" s="144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4.75" customHeight="1" x14ac:dyDescent="0.3">
      <c r="B95" s="144"/>
      <c r="C95" s="144"/>
      <c r="D95" s="144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4.75" customHeight="1" x14ac:dyDescent="0.3">
      <c r="B96" s="144"/>
      <c r="C96" s="144"/>
      <c r="D96" s="144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4.75" customHeight="1" x14ac:dyDescent="0.3">
      <c r="B97" s="144"/>
      <c r="C97" s="144"/>
      <c r="D97" s="144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4.75" customHeight="1" x14ac:dyDescent="0.3">
      <c r="B98" s="144"/>
      <c r="C98" s="144"/>
      <c r="D98" s="144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4.75" customHeight="1" x14ac:dyDescent="0.3">
      <c r="B99" s="144"/>
      <c r="C99" s="144"/>
      <c r="D99" s="144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4.75" customHeight="1" x14ac:dyDescent="0.3">
      <c r="B100" s="144"/>
      <c r="C100" s="144"/>
      <c r="D100" s="144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4.75" customHeight="1" x14ac:dyDescent="0.3">
      <c r="B101" s="144"/>
      <c r="C101" s="144"/>
      <c r="D101" s="144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4.75" customHeight="1" x14ac:dyDescent="0.3">
      <c r="B102" s="144"/>
      <c r="C102" s="144"/>
      <c r="D102" s="144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4.75" customHeight="1" x14ac:dyDescent="0.3">
      <c r="B103" s="144"/>
      <c r="C103" s="144"/>
      <c r="D103" s="144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4.75" customHeight="1" x14ac:dyDescent="0.3">
      <c r="B104" s="144"/>
      <c r="C104" s="144"/>
      <c r="D104" s="144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4.75" customHeight="1" x14ac:dyDescent="0.3">
      <c r="B105" s="144"/>
      <c r="C105" s="144"/>
      <c r="D105" s="144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4.75" customHeight="1" x14ac:dyDescent="0.3">
      <c r="B106" s="144"/>
      <c r="C106" s="144"/>
      <c r="D106" s="144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4.75" customHeight="1" x14ac:dyDescent="0.3">
      <c r="B107" s="144"/>
      <c r="C107" s="144"/>
      <c r="D107" s="144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4.75" customHeight="1" x14ac:dyDescent="0.3">
      <c r="B108" s="144"/>
      <c r="C108" s="144"/>
      <c r="D108" s="144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4.75" customHeight="1" x14ac:dyDescent="0.3">
      <c r="B109" s="144"/>
      <c r="C109" s="144"/>
      <c r="D109" s="144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4.75" customHeight="1" x14ac:dyDescent="0.3">
      <c r="B110" s="144"/>
      <c r="C110" s="144"/>
      <c r="D110" s="144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4.75" customHeight="1" x14ac:dyDescent="0.3">
      <c r="B111" s="144"/>
      <c r="C111" s="144"/>
      <c r="D111" s="144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4.75" customHeight="1" x14ac:dyDescent="0.3">
      <c r="B112" s="144"/>
      <c r="C112" s="144"/>
      <c r="D112" s="144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4.75" customHeight="1" x14ac:dyDescent="0.3">
      <c r="B113" s="144"/>
      <c r="C113" s="144"/>
      <c r="D113" s="144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4.75" customHeight="1" x14ac:dyDescent="0.3">
      <c r="B114" s="144"/>
      <c r="C114" s="144"/>
      <c r="D114" s="144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4.75" customHeight="1" x14ac:dyDescent="0.3">
      <c r="B115" s="144"/>
      <c r="C115" s="144"/>
      <c r="D115" s="144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4.75" customHeight="1" x14ac:dyDescent="0.3">
      <c r="B116" s="144"/>
      <c r="C116" s="144"/>
      <c r="D116" s="144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4.75" customHeight="1" x14ac:dyDescent="0.3">
      <c r="B117" s="144"/>
      <c r="C117" s="144"/>
      <c r="D117" s="144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4.75" customHeight="1" x14ac:dyDescent="0.3">
      <c r="B118" s="144"/>
      <c r="C118" s="144"/>
      <c r="D118" s="144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4.75" customHeight="1" x14ac:dyDescent="0.3">
      <c r="B119" s="144"/>
      <c r="C119" s="144"/>
      <c r="D119" s="144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4.75" customHeight="1" x14ac:dyDescent="0.3">
      <c r="B120" s="144"/>
      <c r="C120" s="144"/>
      <c r="D120" s="144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4.75" customHeight="1" x14ac:dyDescent="0.3">
      <c r="B121" s="144"/>
      <c r="C121" s="144"/>
      <c r="D121" s="144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4.75" customHeight="1" x14ac:dyDescent="0.3">
      <c r="B122" s="144"/>
      <c r="C122" s="144"/>
      <c r="D122" s="144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4.75" customHeight="1" x14ac:dyDescent="0.3">
      <c r="B123" s="144"/>
      <c r="C123" s="144"/>
      <c r="D123" s="144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4.75" customHeight="1" x14ac:dyDescent="0.3">
      <c r="B124" s="144"/>
      <c r="C124" s="144"/>
      <c r="D124" s="144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4.75" customHeight="1" x14ac:dyDescent="0.3">
      <c r="B125" s="144"/>
      <c r="C125" s="144"/>
      <c r="D125" s="144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4.75" customHeight="1" x14ac:dyDescent="0.3">
      <c r="B126" s="144"/>
      <c r="C126" s="144"/>
      <c r="D126" s="144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4.75" customHeight="1" x14ac:dyDescent="0.3">
      <c r="B127" s="144"/>
      <c r="C127" s="144"/>
      <c r="D127" s="144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4.75" customHeight="1" x14ac:dyDescent="0.3">
      <c r="B128" s="144"/>
      <c r="C128" s="144"/>
      <c r="D128" s="144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4.75" customHeight="1" x14ac:dyDescent="0.3">
      <c r="B129" s="144"/>
      <c r="C129" s="144"/>
      <c r="D129" s="144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4.75" customHeight="1" x14ac:dyDescent="0.3">
      <c r="B130" s="144"/>
      <c r="C130" s="144"/>
      <c r="D130" s="144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4.75" customHeight="1" x14ac:dyDescent="0.3">
      <c r="B131" s="144"/>
      <c r="C131" s="144"/>
      <c r="D131" s="144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4.75" customHeight="1" x14ac:dyDescent="0.3">
      <c r="B132" s="144"/>
      <c r="C132" s="144"/>
      <c r="D132" s="144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4.75" customHeight="1" x14ac:dyDescent="0.3">
      <c r="B133" s="144"/>
      <c r="C133" s="144"/>
      <c r="D133" s="144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4.75" customHeight="1" x14ac:dyDescent="0.3">
      <c r="B134" s="144"/>
      <c r="C134" s="144"/>
      <c r="D134" s="144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4.75" customHeight="1" x14ac:dyDescent="0.3">
      <c r="B135" s="144"/>
      <c r="C135" s="144"/>
      <c r="D135" s="144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4.75" customHeight="1" x14ac:dyDescent="0.3">
      <c r="B136" s="144"/>
      <c r="C136" s="144"/>
      <c r="D136" s="144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4.75" customHeight="1" x14ac:dyDescent="0.3">
      <c r="B137" s="144"/>
      <c r="C137" s="144"/>
      <c r="D137" s="144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4.75" customHeight="1" x14ac:dyDescent="0.3">
      <c r="B138" s="144"/>
      <c r="C138" s="144"/>
      <c r="D138" s="144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4.75" customHeight="1" x14ac:dyDescent="0.3">
      <c r="B139" s="144"/>
      <c r="C139" s="144"/>
      <c r="D139" s="144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4.75" customHeight="1" x14ac:dyDescent="0.3">
      <c r="B140" s="144"/>
      <c r="C140" s="144"/>
      <c r="D140" s="144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4.75" customHeight="1" x14ac:dyDescent="0.3">
      <c r="B141" s="144"/>
      <c r="C141" s="144"/>
      <c r="D141" s="144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4.75" customHeight="1" x14ac:dyDescent="0.3">
      <c r="B142" s="144"/>
      <c r="C142" s="144"/>
      <c r="D142" s="144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4.75" customHeight="1" x14ac:dyDescent="0.3">
      <c r="B143" s="144"/>
      <c r="C143" s="144"/>
      <c r="D143" s="144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4.75" customHeight="1" x14ac:dyDescent="0.3">
      <c r="B144" s="144"/>
      <c r="C144" s="144"/>
      <c r="D144" s="144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4.75" customHeight="1" x14ac:dyDescent="0.3">
      <c r="B145" s="144"/>
      <c r="C145" s="144"/>
      <c r="D145" s="144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4.75" customHeight="1" x14ac:dyDescent="0.3">
      <c r="B146" s="144"/>
      <c r="C146" s="144"/>
      <c r="D146" s="144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4.75" customHeight="1" x14ac:dyDescent="0.3">
      <c r="B147" s="144"/>
      <c r="C147" s="144"/>
      <c r="D147" s="144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4.75" customHeight="1" x14ac:dyDescent="0.3">
      <c r="B148" s="144"/>
      <c r="C148" s="144"/>
      <c r="D148" s="144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4.75" customHeight="1" x14ac:dyDescent="0.3">
      <c r="B149" s="144"/>
      <c r="C149" s="144"/>
      <c r="D149" s="144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4.75" customHeight="1" x14ac:dyDescent="0.3">
      <c r="B150" s="144"/>
      <c r="C150" s="144"/>
      <c r="D150" s="144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4.75" customHeight="1" x14ac:dyDescent="0.3">
      <c r="B151" s="144"/>
      <c r="C151" s="144"/>
      <c r="D151" s="144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4.75" customHeight="1" x14ac:dyDescent="0.3">
      <c r="B152" s="144"/>
      <c r="C152" s="144"/>
      <c r="D152" s="144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4.75" customHeight="1" x14ac:dyDescent="0.3">
      <c r="B153" s="144"/>
      <c r="C153" s="144"/>
      <c r="D153" s="144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4.75" customHeight="1" x14ac:dyDescent="0.3">
      <c r="B154" s="144"/>
      <c r="C154" s="144"/>
      <c r="D154" s="144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4.75" customHeight="1" x14ac:dyDescent="0.3">
      <c r="B155" s="144"/>
      <c r="C155" s="144"/>
      <c r="D155" s="144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4.75" customHeight="1" x14ac:dyDescent="0.3">
      <c r="B156" s="144"/>
      <c r="C156" s="144"/>
      <c r="D156" s="144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4.75" customHeight="1" x14ac:dyDescent="0.3">
      <c r="B157" s="144"/>
      <c r="C157" s="144"/>
      <c r="D157" s="144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4.75" customHeight="1" x14ac:dyDescent="0.3">
      <c r="B158" s="144"/>
      <c r="C158" s="144"/>
      <c r="D158" s="144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4.75" customHeight="1" x14ac:dyDescent="0.3">
      <c r="B159" s="144"/>
      <c r="C159" s="144"/>
      <c r="D159" s="144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4.75" customHeight="1" x14ac:dyDescent="0.3">
      <c r="B160" s="144"/>
      <c r="C160" s="144"/>
      <c r="D160" s="144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4.75" customHeight="1" x14ac:dyDescent="0.3">
      <c r="B161" s="144"/>
      <c r="C161" s="144"/>
      <c r="D161" s="144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4.75" customHeight="1" x14ac:dyDescent="0.3">
      <c r="B162" s="144"/>
      <c r="C162" s="144"/>
      <c r="D162" s="144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4.75" customHeight="1" x14ac:dyDescent="0.3">
      <c r="B163" s="144"/>
      <c r="C163" s="144"/>
      <c r="D163" s="144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4.75" customHeight="1" x14ac:dyDescent="0.3">
      <c r="B164" s="144"/>
      <c r="C164" s="144"/>
      <c r="D164" s="144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4.75" customHeight="1" x14ac:dyDescent="0.3">
      <c r="B165" s="144"/>
      <c r="C165" s="144"/>
      <c r="D165" s="144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4.75" customHeight="1" x14ac:dyDescent="0.3">
      <c r="B166" s="144"/>
      <c r="C166" s="144"/>
      <c r="D166" s="144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4.75" customHeight="1" x14ac:dyDescent="0.3">
      <c r="B167" s="144"/>
      <c r="C167" s="144"/>
      <c r="D167" s="144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4.75" customHeight="1" x14ac:dyDescent="0.3">
      <c r="B168" s="144"/>
      <c r="C168" s="144"/>
      <c r="D168" s="144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4.75" customHeight="1" x14ac:dyDescent="0.3">
      <c r="B169" s="144"/>
      <c r="C169" s="144"/>
      <c r="D169" s="144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4.75" customHeight="1" x14ac:dyDescent="0.3">
      <c r="B170" s="144"/>
      <c r="C170" s="144"/>
      <c r="D170" s="144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4.75" customHeight="1" x14ac:dyDescent="0.3">
      <c r="B171" s="144"/>
      <c r="C171" s="144"/>
      <c r="D171" s="144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4.75" customHeight="1" x14ac:dyDescent="0.3">
      <c r="B172" s="144"/>
      <c r="C172" s="144"/>
      <c r="D172" s="144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4.75" customHeight="1" x14ac:dyDescent="0.3">
      <c r="B173" s="144"/>
      <c r="C173" s="144"/>
      <c r="D173" s="144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4.75" customHeight="1" x14ac:dyDescent="0.3">
      <c r="B174" s="144"/>
      <c r="C174" s="144"/>
      <c r="D174" s="144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4.75" customHeight="1" x14ac:dyDescent="0.3">
      <c r="B175" s="144"/>
      <c r="C175" s="144"/>
      <c r="D175" s="144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4.75" customHeight="1" x14ac:dyDescent="0.3">
      <c r="B176" s="144"/>
      <c r="C176" s="144"/>
      <c r="D176" s="144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4.75" customHeight="1" x14ac:dyDescent="0.3">
      <c r="B177" s="144"/>
      <c r="C177" s="144"/>
      <c r="D177" s="144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4.75" customHeight="1" x14ac:dyDescent="0.3">
      <c r="B178" s="144"/>
      <c r="C178" s="144"/>
      <c r="D178" s="144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4.75" customHeight="1" x14ac:dyDescent="0.3">
      <c r="B179" s="144"/>
      <c r="C179" s="144"/>
      <c r="D179" s="144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4.75" customHeight="1" x14ac:dyDescent="0.3">
      <c r="B180" s="144"/>
      <c r="C180" s="144"/>
      <c r="D180" s="144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4.75" customHeight="1" x14ac:dyDescent="0.3">
      <c r="B181" s="144"/>
      <c r="C181" s="144"/>
      <c r="D181" s="144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4.75" customHeight="1" x14ac:dyDescent="0.3">
      <c r="B182" s="144"/>
      <c r="C182" s="144"/>
      <c r="D182" s="144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4.75" customHeight="1" x14ac:dyDescent="0.3">
      <c r="B183" s="144"/>
      <c r="C183" s="144"/>
      <c r="D183" s="144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4.75" customHeight="1" x14ac:dyDescent="0.3">
      <c r="B184" s="144"/>
      <c r="C184" s="144"/>
      <c r="D184" s="144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4.75" customHeight="1" x14ac:dyDescent="0.3">
      <c r="B185" s="144"/>
      <c r="C185" s="144"/>
      <c r="D185" s="144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4.75" customHeight="1" x14ac:dyDescent="0.3">
      <c r="B186" s="144"/>
      <c r="C186" s="144"/>
      <c r="D186" s="144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4.75" customHeight="1" x14ac:dyDescent="0.3">
      <c r="B187" s="144"/>
      <c r="C187" s="144"/>
      <c r="D187" s="144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4.75" customHeight="1" x14ac:dyDescent="0.3">
      <c r="B188" s="144"/>
      <c r="C188" s="144"/>
      <c r="D188" s="144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4.75" customHeight="1" x14ac:dyDescent="0.3">
      <c r="B189" s="144"/>
      <c r="C189" s="144"/>
      <c r="D189" s="144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4.75" customHeight="1" x14ac:dyDescent="0.3">
      <c r="B190" s="144"/>
      <c r="C190" s="144"/>
      <c r="D190" s="144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4.75" customHeight="1" x14ac:dyDescent="0.3">
      <c r="B191" s="144"/>
      <c r="C191" s="144"/>
      <c r="D191" s="144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4.75" customHeight="1" x14ac:dyDescent="0.3">
      <c r="B192" s="144"/>
      <c r="C192" s="144"/>
      <c r="D192" s="144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4.75" customHeight="1" x14ac:dyDescent="0.3">
      <c r="B193" s="144"/>
      <c r="C193" s="144"/>
      <c r="D193" s="144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4.75" customHeight="1" x14ac:dyDescent="0.3">
      <c r="B194" s="144"/>
      <c r="C194" s="144"/>
      <c r="D194" s="144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4.75" customHeight="1" x14ac:dyDescent="0.3">
      <c r="B195" s="144"/>
      <c r="C195" s="144"/>
      <c r="D195" s="144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4.75" customHeight="1" x14ac:dyDescent="0.3">
      <c r="B196" s="144"/>
      <c r="C196" s="144"/>
      <c r="D196" s="144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4.75" customHeight="1" x14ac:dyDescent="0.3">
      <c r="B197" s="144"/>
      <c r="C197" s="144"/>
      <c r="D197" s="144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4.75" customHeight="1" x14ac:dyDescent="0.3">
      <c r="B198" s="144"/>
      <c r="C198" s="144"/>
      <c r="D198" s="144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4.75" customHeight="1" x14ac:dyDescent="0.3">
      <c r="B199" s="144"/>
      <c r="C199" s="144"/>
      <c r="D199" s="144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4.75" customHeight="1" x14ac:dyDescent="0.3">
      <c r="B200" s="144"/>
      <c r="C200" s="144"/>
      <c r="D200" s="144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4.75" customHeight="1" x14ac:dyDescent="0.3">
      <c r="B201" s="144"/>
      <c r="C201" s="144"/>
      <c r="D201" s="144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4.75" customHeight="1" x14ac:dyDescent="0.3">
      <c r="B202" s="144"/>
      <c r="C202" s="144"/>
      <c r="D202" s="144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4.75" customHeight="1" x14ac:dyDescent="0.3">
      <c r="B203" s="144"/>
      <c r="C203" s="144"/>
      <c r="D203" s="144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4.75" customHeight="1" x14ac:dyDescent="0.3">
      <c r="B204" s="144"/>
      <c r="C204" s="144"/>
      <c r="D204" s="144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4.75" customHeight="1" x14ac:dyDescent="0.3">
      <c r="B205" s="144"/>
      <c r="C205" s="144"/>
      <c r="D205" s="144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4.75" customHeight="1" x14ac:dyDescent="0.3">
      <c r="B206" s="144"/>
      <c r="C206" s="144"/>
      <c r="D206" s="144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4.75" customHeight="1" x14ac:dyDescent="0.3">
      <c r="B207" s="144"/>
      <c r="C207" s="144"/>
      <c r="D207" s="144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4.75" customHeight="1" x14ac:dyDescent="0.3">
      <c r="B208" s="144"/>
      <c r="C208" s="144"/>
      <c r="D208" s="144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4.75" customHeight="1" x14ac:dyDescent="0.3">
      <c r="B209" s="144"/>
      <c r="C209" s="144"/>
      <c r="D209" s="144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4.75" customHeight="1" x14ac:dyDescent="0.3">
      <c r="B210" s="144"/>
      <c r="C210" s="144"/>
      <c r="D210" s="144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4.75" customHeight="1" x14ac:dyDescent="0.3">
      <c r="B211" s="144"/>
      <c r="C211" s="144"/>
      <c r="D211" s="144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4.75" customHeight="1" x14ac:dyDescent="0.3">
      <c r="B212" s="144"/>
      <c r="C212" s="144"/>
      <c r="D212" s="144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4.75" customHeight="1" x14ac:dyDescent="0.3">
      <c r="B213" s="144"/>
      <c r="C213" s="144"/>
      <c r="D213" s="144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4.75" customHeight="1" x14ac:dyDescent="0.3">
      <c r="B214" s="144"/>
      <c r="C214" s="144"/>
      <c r="D214" s="144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4.75" customHeight="1" x14ac:dyDescent="0.3">
      <c r="B215" s="144"/>
      <c r="C215" s="144"/>
      <c r="D215" s="144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4.75" customHeight="1" x14ac:dyDescent="0.3">
      <c r="B216" s="144"/>
      <c r="C216" s="144"/>
      <c r="D216" s="144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4.75" customHeight="1" x14ac:dyDescent="0.3">
      <c r="B217" s="144"/>
      <c r="C217" s="144"/>
      <c r="D217" s="144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4.75" customHeight="1" x14ac:dyDescent="0.3">
      <c r="B218" s="144"/>
      <c r="C218" s="144"/>
      <c r="D218" s="144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4.75" customHeight="1" x14ac:dyDescent="0.3">
      <c r="B219" s="144"/>
      <c r="C219" s="144"/>
      <c r="D219" s="144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4.75" customHeight="1" x14ac:dyDescent="0.3">
      <c r="B220" s="144"/>
      <c r="C220" s="144"/>
      <c r="D220" s="144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4.75" customHeight="1" x14ac:dyDescent="0.3">
      <c r="B221" s="144"/>
      <c r="C221" s="144"/>
      <c r="D221" s="144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4.75" customHeight="1" x14ac:dyDescent="0.3">
      <c r="B222" s="144"/>
      <c r="C222" s="144"/>
      <c r="D222" s="144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4.75" customHeight="1" x14ac:dyDescent="0.3">
      <c r="B223" s="144"/>
      <c r="C223" s="144"/>
      <c r="D223" s="144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4.75" customHeight="1" x14ac:dyDescent="0.3">
      <c r="B224" s="144"/>
      <c r="C224" s="144"/>
      <c r="D224" s="144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4.75" customHeight="1" x14ac:dyDescent="0.3">
      <c r="B225" s="144"/>
      <c r="C225" s="144"/>
      <c r="D225" s="144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4.75" customHeight="1" x14ac:dyDescent="0.3">
      <c r="B226" s="144"/>
      <c r="C226" s="144"/>
      <c r="D226" s="144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4.75" customHeight="1" x14ac:dyDescent="0.3">
      <c r="B227" s="144"/>
      <c r="C227" s="144"/>
      <c r="D227" s="144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4.75" customHeight="1" x14ac:dyDescent="0.3">
      <c r="B228" s="144"/>
      <c r="C228" s="144"/>
      <c r="D228" s="144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4.75" customHeight="1" x14ac:dyDescent="0.3">
      <c r="B229" s="144"/>
      <c r="C229" s="144"/>
      <c r="D229" s="144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4.75" customHeight="1" x14ac:dyDescent="0.3">
      <c r="B230" s="144"/>
      <c r="C230" s="144"/>
      <c r="D230" s="144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4.75" customHeight="1" x14ac:dyDescent="0.3">
      <c r="B231" s="144"/>
      <c r="C231" s="144"/>
      <c r="D231" s="144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4.75" customHeight="1" x14ac:dyDescent="0.3">
      <c r="B232" s="144"/>
      <c r="C232" s="144"/>
      <c r="D232" s="144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4.75" customHeight="1" x14ac:dyDescent="0.3">
      <c r="B233" s="144"/>
      <c r="C233" s="144"/>
      <c r="D233" s="144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4.75" customHeight="1" x14ac:dyDescent="0.3">
      <c r="B234" s="144"/>
      <c r="C234" s="144"/>
      <c r="D234" s="144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4.75" customHeight="1" x14ac:dyDescent="0.3">
      <c r="B235" s="144"/>
      <c r="C235" s="144"/>
      <c r="D235" s="144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4.75" customHeight="1" x14ac:dyDescent="0.3">
      <c r="B236" s="144"/>
      <c r="C236" s="144"/>
      <c r="D236" s="144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4.75" customHeight="1" x14ac:dyDescent="0.3">
      <c r="B237" s="144"/>
      <c r="C237" s="144"/>
      <c r="D237" s="144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4.75" customHeight="1" x14ac:dyDescent="0.3">
      <c r="B238" s="144"/>
      <c r="C238" s="144"/>
      <c r="D238" s="144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4.75" customHeight="1" x14ac:dyDescent="0.3">
      <c r="B239" s="144"/>
      <c r="C239" s="144"/>
      <c r="D239" s="144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4.75" customHeight="1" x14ac:dyDescent="0.3">
      <c r="B240" s="144"/>
      <c r="C240" s="144"/>
      <c r="D240" s="144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4.75" customHeight="1" x14ac:dyDescent="0.3">
      <c r="B241" s="144"/>
      <c r="C241" s="144"/>
      <c r="D241" s="144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4.75" customHeight="1" x14ac:dyDescent="0.3">
      <c r="B242" s="144"/>
      <c r="C242" s="144"/>
      <c r="D242" s="144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4.75" customHeight="1" x14ac:dyDescent="0.3">
      <c r="B243" s="144"/>
      <c r="C243" s="144"/>
      <c r="D243" s="144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4.75" customHeight="1" x14ac:dyDescent="0.3">
      <c r="B244" s="144"/>
      <c r="C244" s="144"/>
      <c r="D244" s="144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4.75" customHeight="1" x14ac:dyDescent="0.3">
      <c r="B245" s="144"/>
      <c r="C245" s="144"/>
      <c r="D245" s="144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4.75" customHeight="1" x14ac:dyDescent="0.3">
      <c r="B246" s="144"/>
      <c r="C246" s="144"/>
      <c r="D246" s="144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4.75" customHeight="1" x14ac:dyDescent="0.3">
      <c r="B247" s="144"/>
      <c r="C247" s="144"/>
      <c r="D247" s="144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4.75" customHeight="1" x14ac:dyDescent="0.3">
      <c r="B248" s="144"/>
      <c r="C248" s="144"/>
      <c r="D248" s="144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4.75" customHeight="1" x14ac:dyDescent="0.3">
      <c r="B249" s="144"/>
      <c r="C249" s="144"/>
      <c r="D249" s="144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4.75" customHeight="1" x14ac:dyDescent="0.3">
      <c r="B250" s="144"/>
      <c r="C250" s="144"/>
      <c r="D250" s="144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4.75" customHeight="1" x14ac:dyDescent="0.3">
      <c r="B251" s="144"/>
      <c r="C251" s="144"/>
      <c r="D251" s="144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4.75" customHeight="1" x14ac:dyDescent="0.3">
      <c r="B252" s="144"/>
      <c r="C252" s="144"/>
      <c r="D252" s="144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4.75" customHeight="1" x14ac:dyDescent="0.3">
      <c r="B253" s="144"/>
      <c r="C253" s="144"/>
      <c r="D253" s="144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4.75" customHeight="1" x14ac:dyDescent="0.3">
      <c r="B254" s="144"/>
      <c r="C254" s="144"/>
      <c r="D254" s="144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4.75" customHeight="1" x14ac:dyDescent="0.3">
      <c r="B255" s="144"/>
      <c r="C255" s="144"/>
      <c r="D255" s="144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4.75" customHeight="1" x14ac:dyDescent="0.3">
      <c r="B256" s="144"/>
      <c r="C256" s="144"/>
      <c r="D256" s="144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4.75" customHeight="1" x14ac:dyDescent="0.3">
      <c r="B257" s="144"/>
      <c r="C257" s="144"/>
      <c r="D257" s="144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4.75" customHeight="1" x14ac:dyDescent="0.3">
      <c r="B258" s="144"/>
      <c r="C258" s="144"/>
      <c r="D258" s="144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4.75" customHeight="1" x14ac:dyDescent="0.3">
      <c r="B259" s="144"/>
      <c r="C259" s="144"/>
      <c r="D259" s="144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4.75" customHeight="1" x14ac:dyDescent="0.3">
      <c r="B260" s="144"/>
      <c r="C260" s="144"/>
      <c r="D260" s="144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4.75" customHeight="1" x14ac:dyDescent="0.3">
      <c r="B261" s="144"/>
      <c r="C261" s="144"/>
      <c r="D261" s="144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4.75" customHeight="1" x14ac:dyDescent="0.3">
      <c r="B262" s="144"/>
      <c r="C262" s="144"/>
      <c r="D262" s="144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4.75" customHeight="1" x14ac:dyDescent="0.3">
      <c r="B263" s="144"/>
      <c r="C263" s="144"/>
      <c r="D263" s="144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4.75" customHeight="1" x14ac:dyDescent="0.3">
      <c r="B264" s="144"/>
      <c r="C264" s="144"/>
      <c r="D264" s="144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4.75" customHeight="1" x14ac:dyDescent="0.3">
      <c r="B265" s="144"/>
      <c r="C265" s="144"/>
      <c r="D265" s="144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4.75" customHeight="1" x14ac:dyDescent="0.3">
      <c r="B266" s="144"/>
      <c r="C266" s="144"/>
      <c r="D266" s="144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4.75" customHeight="1" x14ac:dyDescent="0.3">
      <c r="B267" s="144"/>
      <c r="C267" s="144"/>
      <c r="D267" s="144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4.75" customHeight="1" x14ac:dyDescent="0.3">
      <c r="B268" s="144"/>
      <c r="C268" s="144"/>
      <c r="D268" s="144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4.75" customHeight="1" x14ac:dyDescent="0.3">
      <c r="B269" s="144"/>
      <c r="C269" s="144"/>
      <c r="D269" s="144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4.75" customHeight="1" x14ac:dyDescent="0.3">
      <c r="B270" s="144"/>
      <c r="C270" s="144"/>
      <c r="D270" s="144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4.75" customHeight="1" x14ac:dyDescent="0.3">
      <c r="B271" s="144"/>
      <c r="C271" s="144"/>
      <c r="D271" s="144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4.75" customHeight="1" x14ac:dyDescent="0.3">
      <c r="B272" s="144"/>
      <c r="C272" s="144"/>
      <c r="D272" s="144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4.75" customHeight="1" x14ac:dyDescent="0.3">
      <c r="B273" s="144"/>
      <c r="C273" s="144"/>
      <c r="D273" s="144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4.75" customHeight="1" x14ac:dyDescent="0.3">
      <c r="B274" s="144"/>
      <c r="C274" s="144"/>
      <c r="D274" s="144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4.75" customHeight="1" x14ac:dyDescent="0.3">
      <c r="B275" s="144"/>
      <c r="C275" s="144"/>
      <c r="D275" s="144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4.75" customHeight="1" x14ac:dyDescent="0.3">
      <c r="B276" s="144"/>
      <c r="C276" s="144"/>
      <c r="D276" s="144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4.75" customHeight="1" x14ac:dyDescent="0.3">
      <c r="B277" s="144"/>
      <c r="C277" s="144"/>
      <c r="D277" s="144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4.75" customHeight="1" x14ac:dyDescent="0.3">
      <c r="B278" s="144"/>
      <c r="C278" s="144"/>
      <c r="D278" s="144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4.75" customHeight="1" x14ac:dyDescent="0.3">
      <c r="B279" s="144"/>
      <c r="C279" s="144"/>
      <c r="D279" s="144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4.75" customHeight="1" x14ac:dyDescent="0.3">
      <c r="B280" s="144"/>
      <c r="C280" s="144"/>
      <c r="D280" s="144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4.75" customHeight="1" x14ac:dyDescent="0.3">
      <c r="B281" s="144"/>
      <c r="C281" s="144"/>
      <c r="D281" s="144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4.75" customHeight="1" x14ac:dyDescent="0.3">
      <c r="B282" s="144"/>
      <c r="C282" s="144"/>
      <c r="D282" s="144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</sheetData>
  <mergeCells count="48">
    <mergeCell ref="X4:X5"/>
    <mergeCell ref="B5:E5"/>
    <mergeCell ref="F5:G5"/>
    <mergeCell ref="B3:E4"/>
    <mergeCell ref="L3:P3"/>
    <mergeCell ref="T4:T5"/>
    <mergeCell ref="V4:V5"/>
    <mergeCell ref="W4:W5"/>
    <mergeCell ref="D30:E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D28:E28"/>
    <mergeCell ref="F28:G28"/>
    <mergeCell ref="H28:P28"/>
    <mergeCell ref="D29:E29"/>
    <mergeCell ref="F29:G29"/>
    <mergeCell ref="H29:P29"/>
    <mergeCell ref="B25:D25"/>
    <mergeCell ref="B26:X26"/>
    <mergeCell ref="D27:E27"/>
    <mergeCell ref="F27:G27"/>
    <mergeCell ref="H27:P27"/>
    <mergeCell ref="F30:G30"/>
    <mergeCell ref="H30:P30"/>
    <mergeCell ref="B32:B34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1:E31"/>
    <mergeCell ref="F31:G31"/>
    <mergeCell ref="H31:P31"/>
    <mergeCell ref="B28:B3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2"/>
  <sheetViews>
    <sheetView topLeftCell="A10" workbookViewId="0">
      <selection activeCell="D28" sqref="D28:E29"/>
    </sheetView>
  </sheetViews>
  <sheetFormatPr defaultRowHeight="13.5" x14ac:dyDescent="0.3"/>
  <cols>
    <col min="1" max="1" width="1.625" style="148" customWidth="1"/>
    <col min="2" max="2" width="4.625" style="148" bestFit="1" customWidth="1"/>
    <col min="3" max="3" width="7.625" style="148" bestFit="1" customWidth="1"/>
    <col min="4" max="4" width="8" style="148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48" customWidth="1"/>
    <col min="26" max="26" width="8.375" style="148" customWidth="1"/>
    <col min="27" max="27" width="7.25" style="148" customWidth="1"/>
    <col min="28" max="28" width="3.875" style="148" customWidth="1"/>
    <col min="29" max="29" width="0.5" style="148" customWidth="1"/>
    <col min="30" max="257" width="9" style="148"/>
    <col min="258" max="258" width="4.625" style="148" bestFit="1" customWidth="1"/>
    <col min="259" max="259" width="7.5" style="148" bestFit="1" customWidth="1"/>
    <col min="260" max="260" width="6.25" style="148" customWidth="1"/>
    <col min="261" max="261" width="11" style="148" bestFit="1" customWidth="1"/>
    <col min="262" max="263" width="9.625" style="148" bestFit="1" customWidth="1"/>
    <col min="264" max="264" width="8.25" style="148" bestFit="1" customWidth="1"/>
    <col min="265" max="266" width="9.625" style="148" bestFit="1" customWidth="1"/>
    <col min="267" max="267" width="8.25" style="148" bestFit="1" customWidth="1"/>
    <col min="268" max="269" width="9.625" style="148" bestFit="1" customWidth="1"/>
    <col min="270" max="271" width="8.25" style="148" bestFit="1" customWidth="1"/>
    <col min="272" max="272" width="11" style="148" bestFit="1" customWidth="1"/>
    <col min="273" max="273" width="8" style="148" bestFit="1" customWidth="1"/>
    <col min="274" max="274" width="7.75" style="148" bestFit="1" customWidth="1"/>
    <col min="275" max="276" width="9.625" style="148" bestFit="1" customWidth="1"/>
    <col min="277" max="278" width="9.625" style="148" customWidth="1"/>
    <col min="279" max="279" width="9.25" style="148" bestFit="1" customWidth="1"/>
    <col min="280" max="280" width="11" style="148" bestFit="1" customWidth="1"/>
    <col min="281" max="513" width="9" style="148"/>
    <col min="514" max="514" width="4.625" style="148" bestFit="1" customWidth="1"/>
    <col min="515" max="515" width="7.5" style="148" bestFit="1" customWidth="1"/>
    <col min="516" max="516" width="6.25" style="148" customWidth="1"/>
    <col min="517" max="517" width="11" style="148" bestFit="1" customWidth="1"/>
    <col min="518" max="519" width="9.625" style="148" bestFit="1" customWidth="1"/>
    <col min="520" max="520" width="8.25" style="148" bestFit="1" customWidth="1"/>
    <col min="521" max="522" width="9.625" style="148" bestFit="1" customWidth="1"/>
    <col min="523" max="523" width="8.25" style="148" bestFit="1" customWidth="1"/>
    <col min="524" max="525" width="9.625" style="148" bestFit="1" customWidth="1"/>
    <col min="526" max="527" width="8.25" style="148" bestFit="1" customWidth="1"/>
    <col min="528" max="528" width="11" style="148" bestFit="1" customWidth="1"/>
    <col min="529" max="529" width="8" style="148" bestFit="1" customWidth="1"/>
    <col min="530" max="530" width="7.75" style="148" bestFit="1" customWidth="1"/>
    <col min="531" max="532" width="9.625" style="148" bestFit="1" customWidth="1"/>
    <col min="533" max="534" width="9.625" style="148" customWidth="1"/>
    <col min="535" max="535" width="9.25" style="148" bestFit="1" customWidth="1"/>
    <col min="536" max="536" width="11" style="148" bestFit="1" customWidth="1"/>
    <col min="537" max="769" width="9" style="148"/>
    <col min="770" max="770" width="4.625" style="148" bestFit="1" customWidth="1"/>
    <col min="771" max="771" width="7.5" style="148" bestFit="1" customWidth="1"/>
    <col min="772" max="772" width="6.25" style="148" customWidth="1"/>
    <col min="773" max="773" width="11" style="148" bestFit="1" customWidth="1"/>
    <col min="774" max="775" width="9.625" style="148" bestFit="1" customWidth="1"/>
    <col min="776" max="776" width="8.25" style="148" bestFit="1" customWidth="1"/>
    <col min="777" max="778" width="9.625" style="148" bestFit="1" customWidth="1"/>
    <col min="779" max="779" width="8.25" style="148" bestFit="1" customWidth="1"/>
    <col min="780" max="781" width="9.625" style="148" bestFit="1" customWidth="1"/>
    <col min="782" max="783" width="8.25" style="148" bestFit="1" customWidth="1"/>
    <col min="784" max="784" width="11" style="148" bestFit="1" customWidth="1"/>
    <col min="785" max="785" width="8" style="148" bestFit="1" customWidth="1"/>
    <col min="786" max="786" width="7.75" style="148" bestFit="1" customWidth="1"/>
    <col min="787" max="788" width="9.625" style="148" bestFit="1" customWidth="1"/>
    <col min="789" max="790" width="9.625" style="148" customWidth="1"/>
    <col min="791" max="791" width="9.25" style="148" bestFit="1" customWidth="1"/>
    <col min="792" max="792" width="11" style="148" bestFit="1" customWidth="1"/>
    <col min="793" max="1025" width="9" style="148"/>
    <col min="1026" max="1026" width="4.625" style="148" bestFit="1" customWidth="1"/>
    <col min="1027" max="1027" width="7.5" style="148" bestFit="1" customWidth="1"/>
    <col min="1028" max="1028" width="6.25" style="148" customWidth="1"/>
    <col min="1029" max="1029" width="11" style="148" bestFit="1" customWidth="1"/>
    <col min="1030" max="1031" width="9.625" style="148" bestFit="1" customWidth="1"/>
    <col min="1032" max="1032" width="8.25" style="148" bestFit="1" customWidth="1"/>
    <col min="1033" max="1034" width="9.625" style="148" bestFit="1" customWidth="1"/>
    <col min="1035" max="1035" width="8.25" style="148" bestFit="1" customWidth="1"/>
    <col min="1036" max="1037" width="9.625" style="148" bestFit="1" customWidth="1"/>
    <col min="1038" max="1039" width="8.25" style="148" bestFit="1" customWidth="1"/>
    <col min="1040" max="1040" width="11" style="148" bestFit="1" customWidth="1"/>
    <col min="1041" max="1041" width="8" style="148" bestFit="1" customWidth="1"/>
    <col min="1042" max="1042" width="7.75" style="148" bestFit="1" customWidth="1"/>
    <col min="1043" max="1044" width="9.625" style="148" bestFit="1" customWidth="1"/>
    <col min="1045" max="1046" width="9.625" style="148" customWidth="1"/>
    <col min="1047" max="1047" width="9.25" style="148" bestFit="1" customWidth="1"/>
    <col min="1048" max="1048" width="11" style="148" bestFit="1" customWidth="1"/>
    <col min="1049" max="1281" width="9" style="148"/>
    <col min="1282" max="1282" width="4.625" style="148" bestFit="1" customWidth="1"/>
    <col min="1283" max="1283" width="7.5" style="148" bestFit="1" customWidth="1"/>
    <col min="1284" max="1284" width="6.25" style="148" customWidth="1"/>
    <col min="1285" max="1285" width="11" style="148" bestFit="1" customWidth="1"/>
    <col min="1286" max="1287" width="9.625" style="148" bestFit="1" customWidth="1"/>
    <col min="1288" max="1288" width="8.25" style="148" bestFit="1" customWidth="1"/>
    <col min="1289" max="1290" width="9.625" style="148" bestFit="1" customWidth="1"/>
    <col min="1291" max="1291" width="8.25" style="148" bestFit="1" customWidth="1"/>
    <col min="1292" max="1293" width="9.625" style="148" bestFit="1" customWidth="1"/>
    <col min="1294" max="1295" width="8.25" style="148" bestFit="1" customWidth="1"/>
    <col min="1296" max="1296" width="11" style="148" bestFit="1" customWidth="1"/>
    <col min="1297" max="1297" width="8" style="148" bestFit="1" customWidth="1"/>
    <col min="1298" max="1298" width="7.75" style="148" bestFit="1" customWidth="1"/>
    <col min="1299" max="1300" width="9.625" style="148" bestFit="1" customWidth="1"/>
    <col min="1301" max="1302" width="9.625" style="148" customWidth="1"/>
    <col min="1303" max="1303" width="9.25" style="148" bestFit="1" customWidth="1"/>
    <col min="1304" max="1304" width="11" style="148" bestFit="1" customWidth="1"/>
    <col min="1305" max="1537" width="9" style="148"/>
    <col min="1538" max="1538" width="4.625" style="148" bestFit="1" customWidth="1"/>
    <col min="1539" max="1539" width="7.5" style="148" bestFit="1" customWidth="1"/>
    <col min="1540" max="1540" width="6.25" style="148" customWidth="1"/>
    <col min="1541" max="1541" width="11" style="148" bestFit="1" customWidth="1"/>
    <col min="1542" max="1543" width="9.625" style="148" bestFit="1" customWidth="1"/>
    <col min="1544" max="1544" width="8.25" style="148" bestFit="1" customWidth="1"/>
    <col min="1545" max="1546" width="9.625" style="148" bestFit="1" customWidth="1"/>
    <col min="1547" max="1547" width="8.25" style="148" bestFit="1" customWidth="1"/>
    <col min="1548" max="1549" width="9.625" style="148" bestFit="1" customWidth="1"/>
    <col min="1550" max="1551" width="8.25" style="148" bestFit="1" customWidth="1"/>
    <col min="1552" max="1552" width="11" style="148" bestFit="1" customWidth="1"/>
    <col min="1553" max="1553" width="8" style="148" bestFit="1" customWidth="1"/>
    <col min="1554" max="1554" width="7.75" style="148" bestFit="1" customWidth="1"/>
    <col min="1555" max="1556" width="9.625" style="148" bestFit="1" customWidth="1"/>
    <col min="1557" max="1558" width="9.625" style="148" customWidth="1"/>
    <col min="1559" max="1559" width="9.25" style="148" bestFit="1" customWidth="1"/>
    <col min="1560" max="1560" width="11" style="148" bestFit="1" customWidth="1"/>
    <col min="1561" max="1793" width="9" style="148"/>
    <col min="1794" max="1794" width="4.625" style="148" bestFit="1" customWidth="1"/>
    <col min="1795" max="1795" width="7.5" style="148" bestFit="1" customWidth="1"/>
    <col min="1796" max="1796" width="6.25" style="148" customWidth="1"/>
    <col min="1797" max="1797" width="11" style="148" bestFit="1" customWidth="1"/>
    <col min="1798" max="1799" width="9.625" style="148" bestFit="1" customWidth="1"/>
    <col min="1800" max="1800" width="8.25" style="148" bestFit="1" customWidth="1"/>
    <col min="1801" max="1802" width="9.625" style="148" bestFit="1" customWidth="1"/>
    <col min="1803" max="1803" width="8.25" style="148" bestFit="1" customWidth="1"/>
    <col min="1804" max="1805" width="9.625" style="148" bestFit="1" customWidth="1"/>
    <col min="1806" max="1807" width="8.25" style="148" bestFit="1" customWidth="1"/>
    <col min="1808" max="1808" width="11" style="148" bestFit="1" customWidth="1"/>
    <col min="1809" max="1809" width="8" style="148" bestFit="1" customWidth="1"/>
    <col min="1810" max="1810" width="7.75" style="148" bestFit="1" customWidth="1"/>
    <col min="1811" max="1812" width="9.625" style="148" bestFit="1" customWidth="1"/>
    <col min="1813" max="1814" width="9.625" style="148" customWidth="1"/>
    <col min="1815" max="1815" width="9.25" style="148" bestFit="1" customWidth="1"/>
    <col min="1816" max="1816" width="11" style="148" bestFit="1" customWidth="1"/>
    <col min="1817" max="2049" width="9" style="148"/>
    <col min="2050" max="2050" width="4.625" style="148" bestFit="1" customWidth="1"/>
    <col min="2051" max="2051" width="7.5" style="148" bestFit="1" customWidth="1"/>
    <col min="2052" max="2052" width="6.25" style="148" customWidth="1"/>
    <col min="2053" max="2053" width="11" style="148" bestFit="1" customWidth="1"/>
    <col min="2054" max="2055" width="9.625" style="148" bestFit="1" customWidth="1"/>
    <col min="2056" max="2056" width="8.25" style="148" bestFit="1" customWidth="1"/>
    <col min="2057" max="2058" width="9.625" style="148" bestFit="1" customWidth="1"/>
    <col min="2059" max="2059" width="8.25" style="148" bestFit="1" customWidth="1"/>
    <col min="2060" max="2061" width="9.625" style="148" bestFit="1" customWidth="1"/>
    <col min="2062" max="2063" width="8.25" style="148" bestFit="1" customWidth="1"/>
    <col min="2064" max="2064" width="11" style="148" bestFit="1" customWidth="1"/>
    <col min="2065" max="2065" width="8" style="148" bestFit="1" customWidth="1"/>
    <col min="2066" max="2066" width="7.75" style="148" bestFit="1" customWidth="1"/>
    <col min="2067" max="2068" width="9.625" style="148" bestFit="1" customWidth="1"/>
    <col min="2069" max="2070" width="9.625" style="148" customWidth="1"/>
    <col min="2071" max="2071" width="9.25" style="148" bestFit="1" customWidth="1"/>
    <col min="2072" max="2072" width="11" style="148" bestFit="1" customWidth="1"/>
    <col min="2073" max="2305" width="9" style="148"/>
    <col min="2306" max="2306" width="4.625" style="148" bestFit="1" customWidth="1"/>
    <col min="2307" max="2307" width="7.5" style="148" bestFit="1" customWidth="1"/>
    <col min="2308" max="2308" width="6.25" style="148" customWidth="1"/>
    <col min="2309" max="2309" width="11" style="148" bestFit="1" customWidth="1"/>
    <col min="2310" max="2311" width="9.625" style="148" bestFit="1" customWidth="1"/>
    <col min="2312" max="2312" width="8.25" style="148" bestFit="1" customWidth="1"/>
    <col min="2313" max="2314" width="9.625" style="148" bestFit="1" customWidth="1"/>
    <col min="2315" max="2315" width="8.25" style="148" bestFit="1" customWidth="1"/>
    <col min="2316" max="2317" width="9.625" style="148" bestFit="1" customWidth="1"/>
    <col min="2318" max="2319" width="8.25" style="148" bestFit="1" customWidth="1"/>
    <col min="2320" max="2320" width="11" style="148" bestFit="1" customWidth="1"/>
    <col min="2321" max="2321" width="8" style="148" bestFit="1" customWidth="1"/>
    <col min="2322" max="2322" width="7.75" style="148" bestFit="1" customWidth="1"/>
    <col min="2323" max="2324" width="9.625" style="148" bestFit="1" customWidth="1"/>
    <col min="2325" max="2326" width="9.625" style="148" customWidth="1"/>
    <col min="2327" max="2327" width="9.25" style="148" bestFit="1" customWidth="1"/>
    <col min="2328" max="2328" width="11" style="148" bestFit="1" customWidth="1"/>
    <col min="2329" max="2561" width="9" style="148"/>
    <col min="2562" max="2562" width="4.625" style="148" bestFit="1" customWidth="1"/>
    <col min="2563" max="2563" width="7.5" style="148" bestFit="1" customWidth="1"/>
    <col min="2564" max="2564" width="6.25" style="148" customWidth="1"/>
    <col min="2565" max="2565" width="11" style="148" bestFit="1" customWidth="1"/>
    <col min="2566" max="2567" width="9.625" style="148" bestFit="1" customWidth="1"/>
    <col min="2568" max="2568" width="8.25" style="148" bestFit="1" customWidth="1"/>
    <col min="2569" max="2570" width="9.625" style="148" bestFit="1" customWidth="1"/>
    <col min="2571" max="2571" width="8.25" style="148" bestFit="1" customWidth="1"/>
    <col min="2572" max="2573" width="9.625" style="148" bestFit="1" customWidth="1"/>
    <col min="2574" max="2575" width="8.25" style="148" bestFit="1" customWidth="1"/>
    <col min="2576" max="2576" width="11" style="148" bestFit="1" customWidth="1"/>
    <col min="2577" max="2577" width="8" style="148" bestFit="1" customWidth="1"/>
    <col min="2578" max="2578" width="7.75" style="148" bestFit="1" customWidth="1"/>
    <col min="2579" max="2580" width="9.625" style="148" bestFit="1" customWidth="1"/>
    <col min="2581" max="2582" width="9.625" style="148" customWidth="1"/>
    <col min="2583" max="2583" width="9.25" style="148" bestFit="1" customWidth="1"/>
    <col min="2584" max="2584" width="11" style="148" bestFit="1" customWidth="1"/>
    <col min="2585" max="2817" width="9" style="148"/>
    <col min="2818" max="2818" width="4.625" style="148" bestFit="1" customWidth="1"/>
    <col min="2819" max="2819" width="7.5" style="148" bestFit="1" customWidth="1"/>
    <col min="2820" max="2820" width="6.25" style="148" customWidth="1"/>
    <col min="2821" max="2821" width="11" style="148" bestFit="1" customWidth="1"/>
    <col min="2822" max="2823" width="9.625" style="148" bestFit="1" customWidth="1"/>
    <col min="2824" max="2824" width="8.25" style="148" bestFit="1" customWidth="1"/>
    <col min="2825" max="2826" width="9.625" style="148" bestFit="1" customWidth="1"/>
    <col min="2827" max="2827" width="8.25" style="148" bestFit="1" customWidth="1"/>
    <col min="2828" max="2829" width="9.625" style="148" bestFit="1" customWidth="1"/>
    <col min="2830" max="2831" width="8.25" style="148" bestFit="1" customWidth="1"/>
    <col min="2832" max="2832" width="11" style="148" bestFit="1" customWidth="1"/>
    <col min="2833" max="2833" width="8" style="148" bestFit="1" customWidth="1"/>
    <col min="2834" max="2834" width="7.75" style="148" bestFit="1" customWidth="1"/>
    <col min="2835" max="2836" width="9.625" style="148" bestFit="1" customWidth="1"/>
    <col min="2837" max="2838" width="9.625" style="148" customWidth="1"/>
    <col min="2839" max="2839" width="9.25" style="148" bestFit="1" customWidth="1"/>
    <col min="2840" max="2840" width="11" style="148" bestFit="1" customWidth="1"/>
    <col min="2841" max="3073" width="9" style="148"/>
    <col min="3074" max="3074" width="4.625" style="148" bestFit="1" customWidth="1"/>
    <col min="3075" max="3075" width="7.5" style="148" bestFit="1" customWidth="1"/>
    <col min="3076" max="3076" width="6.25" style="148" customWidth="1"/>
    <col min="3077" max="3077" width="11" style="148" bestFit="1" customWidth="1"/>
    <col min="3078" max="3079" width="9.625" style="148" bestFit="1" customWidth="1"/>
    <col min="3080" max="3080" width="8.25" style="148" bestFit="1" customWidth="1"/>
    <col min="3081" max="3082" width="9.625" style="148" bestFit="1" customWidth="1"/>
    <col min="3083" max="3083" width="8.25" style="148" bestFit="1" customWidth="1"/>
    <col min="3084" max="3085" width="9.625" style="148" bestFit="1" customWidth="1"/>
    <col min="3086" max="3087" width="8.25" style="148" bestFit="1" customWidth="1"/>
    <col min="3088" max="3088" width="11" style="148" bestFit="1" customWidth="1"/>
    <col min="3089" max="3089" width="8" style="148" bestFit="1" customWidth="1"/>
    <col min="3090" max="3090" width="7.75" style="148" bestFit="1" customWidth="1"/>
    <col min="3091" max="3092" width="9.625" style="148" bestFit="1" customWidth="1"/>
    <col min="3093" max="3094" width="9.625" style="148" customWidth="1"/>
    <col min="3095" max="3095" width="9.25" style="148" bestFit="1" customWidth="1"/>
    <col min="3096" max="3096" width="11" style="148" bestFit="1" customWidth="1"/>
    <col min="3097" max="3329" width="9" style="148"/>
    <col min="3330" max="3330" width="4.625" style="148" bestFit="1" customWidth="1"/>
    <col min="3331" max="3331" width="7.5" style="148" bestFit="1" customWidth="1"/>
    <col min="3332" max="3332" width="6.25" style="148" customWidth="1"/>
    <col min="3333" max="3333" width="11" style="148" bestFit="1" customWidth="1"/>
    <col min="3334" max="3335" width="9.625" style="148" bestFit="1" customWidth="1"/>
    <col min="3336" max="3336" width="8.25" style="148" bestFit="1" customWidth="1"/>
    <col min="3337" max="3338" width="9.625" style="148" bestFit="1" customWidth="1"/>
    <col min="3339" max="3339" width="8.25" style="148" bestFit="1" customWidth="1"/>
    <col min="3340" max="3341" width="9.625" style="148" bestFit="1" customWidth="1"/>
    <col min="3342" max="3343" width="8.25" style="148" bestFit="1" customWidth="1"/>
    <col min="3344" max="3344" width="11" style="148" bestFit="1" customWidth="1"/>
    <col min="3345" max="3345" width="8" style="148" bestFit="1" customWidth="1"/>
    <col min="3346" max="3346" width="7.75" style="148" bestFit="1" customWidth="1"/>
    <col min="3347" max="3348" width="9.625" style="148" bestFit="1" customWidth="1"/>
    <col min="3349" max="3350" width="9.625" style="148" customWidth="1"/>
    <col min="3351" max="3351" width="9.25" style="148" bestFit="1" customWidth="1"/>
    <col min="3352" max="3352" width="11" style="148" bestFit="1" customWidth="1"/>
    <col min="3353" max="3585" width="9" style="148"/>
    <col min="3586" max="3586" width="4.625" style="148" bestFit="1" customWidth="1"/>
    <col min="3587" max="3587" width="7.5" style="148" bestFit="1" customWidth="1"/>
    <col min="3588" max="3588" width="6.25" style="148" customWidth="1"/>
    <col min="3589" max="3589" width="11" style="148" bestFit="1" customWidth="1"/>
    <col min="3590" max="3591" width="9.625" style="148" bestFit="1" customWidth="1"/>
    <col min="3592" max="3592" width="8.25" style="148" bestFit="1" customWidth="1"/>
    <col min="3593" max="3594" width="9.625" style="148" bestFit="1" customWidth="1"/>
    <col min="3595" max="3595" width="8.25" style="148" bestFit="1" customWidth="1"/>
    <col min="3596" max="3597" width="9.625" style="148" bestFit="1" customWidth="1"/>
    <col min="3598" max="3599" width="8.25" style="148" bestFit="1" customWidth="1"/>
    <col min="3600" max="3600" width="11" style="148" bestFit="1" customWidth="1"/>
    <col min="3601" max="3601" width="8" style="148" bestFit="1" customWidth="1"/>
    <col min="3602" max="3602" width="7.75" style="148" bestFit="1" customWidth="1"/>
    <col min="3603" max="3604" width="9.625" style="148" bestFit="1" customWidth="1"/>
    <col min="3605" max="3606" width="9.625" style="148" customWidth="1"/>
    <col min="3607" max="3607" width="9.25" style="148" bestFit="1" customWidth="1"/>
    <col min="3608" max="3608" width="11" style="148" bestFit="1" customWidth="1"/>
    <col min="3609" max="3841" width="9" style="148"/>
    <col min="3842" max="3842" width="4.625" style="148" bestFit="1" customWidth="1"/>
    <col min="3843" max="3843" width="7.5" style="148" bestFit="1" customWidth="1"/>
    <col min="3844" max="3844" width="6.25" style="148" customWidth="1"/>
    <col min="3845" max="3845" width="11" style="148" bestFit="1" customWidth="1"/>
    <col min="3846" max="3847" width="9.625" style="148" bestFit="1" customWidth="1"/>
    <col min="3848" max="3848" width="8.25" style="148" bestFit="1" customWidth="1"/>
    <col min="3849" max="3850" width="9.625" style="148" bestFit="1" customWidth="1"/>
    <col min="3851" max="3851" width="8.25" style="148" bestFit="1" customWidth="1"/>
    <col min="3852" max="3853" width="9.625" style="148" bestFit="1" customWidth="1"/>
    <col min="3854" max="3855" width="8.25" style="148" bestFit="1" customWidth="1"/>
    <col min="3856" max="3856" width="11" style="148" bestFit="1" customWidth="1"/>
    <col min="3857" max="3857" width="8" style="148" bestFit="1" customWidth="1"/>
    <col min="3858" max="3858" width="7.75" style="148" bestFit="1" customWidth="1"/>
    <col min="3859" max="3860" width="9.625" style="148" bestFit="1" customWidth="1"/>
    <col min="3861" max="3862" width="9.625" style="148" customWidth="1"/>
    <col min="3863" max="3863" width="9.25" style="148" bestFit="1" customWidth="1"/>
    <col min="3864" max="3864" width="11" style="148" bestFit="1" customWidth="1"/>
    <col min="3865" max="4097" width="9" style="148"/>
    <col min="4098" max="4098" width="4.625" style="148" bestFit="1" customWidth="1"/>
    <col min="4099" max="4099" width="7.5" style="148" bestFit="1" customWidth="1"/>
    <col min="4100" max="4100" width="6.25" style="148" customWidth="1"/>
    <col min="4101" max="4101" width="11" style="148" bestFit="1" customWidth="1"/>
    <col min="4102" max="4103" width="9.625" style="148" bestFit="1" customWidth="1"/>
    <col min="4104" max="4104" width="8.25" style="148" bestFit="1" customWidth="1"/>
    <col min="4105" max="4106" width="9.625" style="148" bestFit="1" customWidth="1"/>
    <col min="4107" max="4107" width="8.25" style="148" bestFit="1" customWidth="1"/>
    <col min="4108" max="4109" width="9.625" style="148" bestFit="1" customWidth="1"/>
    <col min="4110" max="4111" width="8.25" style="148" bestFit="1" customWidth="1"/>
    <col min="4112" max="4112" width="11" style="148" bestFit="1" customWidth="1"/>
    <col min="4113" max="4113" width="8" style="148" bestFit="1" customWidth="1"/>
    <col min="4114" max="4114" width="7.75" style="148" bestFit="1" customWidth="1"/>
    <col min="4115" max="4116" width="9.625" style="148" bestFit="1" customWidth="1"/>
    <col min="4117" max="4118" width="9.625" style="148" customWidth="1"/>
    <col min="4119" max="4119" width="9.25" style="148" bestFit="1" customWidth="1"/>
    <col min="4120" max="4120" width="11" style="148" bestFit="1" customWidth="1"/>
    <col min="4121" max="4353" width="9" style="148"/>
    <col min="4354" max="4354" width="4.625" style="148" bestFit="1" customWidth="1"/>
    <col min="4355" max="4355" width="7.5" style="148" bestFit="1" customWidth="1"/>
    <col min="4356" max="4356" width="6.25" style="148" customWidth="1"/>
    <col min="4357" max="4357" width="11" style="148" bestFit="1" customWidth="1"/>
    <col min="4358" max="4359" width="9.625" style="148" bestFit="1" customWidth="1"/>
    <col min="4360" max="4360" width="8.25" style="148" bestFit="1" customWidth="1"/>
    <col min="4361" max="4362" width="9.625" style="148" bestFit="1" customWidth="1"/>
    <col min="4363" max="4363" width="8.25" style="148" bestFit="1" customWidth="1"/>
    <col min="4364" max="4365" width="9.625" style="148" bestFit="1" customWidth="1"/>
    <col min="4366" max="4367" width="8.25" style="148" bestFit="1" customWidth="1"/>
    <col min="4368" max="4368" width="11" style="148" bestFit="1" customWidth="1"/>
    <col min="4369" max="4369" width="8" style="148" bestFit="1" customWidth="1"/>
    <col min="4370" max="4370" width="7.75" style="148" bestFit="1" customWidth="1"/>
    <col min="4371" max="4372" width="9.625" style="148" bestFit="1" customWidth="1"/>
    <col min="4373" max="4374" width="9.625" style="148" customWidth="1"/>
    <col min="4375" max="4375" width="9.25" style="148" bestFit="1" customWidth="1"/>
    <col min="4376" max="4376" width="11" style="148" bestFit="1" customWidth="1"/>
    <col min="4377" max="4609" width="9" style="148"/>
    <col min="4610" max="4610" width="4.625" style="148" bestFit="1" customWidth="1"/>
    <col min="4611" max="4611" width="7.5" style="148" bestFit="1" customWidth="1"/>
    <col min="4612" max="4612" width="6.25" style="148" customWidth="1"/>
    <col min="4613" max="4613" width="11" style="148" bestFit="1" customWidth="1"/>
    <col min="4614" max="4615" width="9.625" style="148" bestFit="1" customWidth="1"/>
    <col min="4616" max="4616" width="8.25" style="148" bestFit="1" customWidth="1"/>
    <col min="4617" max="4618" width="9.625" style="148" bestFit="1" customWidth="1"/>
    <col min="4619" max="4619" width="8.25" style="148" bestFit="1" customWidth="1"/>
    <col min="4620" max="4621" width="9.625" style="148" bestFit="1" customWidth="1"/>
    <col min="4622" max="4623" width="8.25" style="148" bestFit="1" customWidth="1"/>
    <col min="4624" max="4624" width="11" style="148" bestFit="1" customWidth="1"/>
    <col min="4625" max="4625" width="8" style="148" bestFit="1" customWidth="1"/>
    <col min="4626" max="4626" width="7.75" style="148" bestFit="1" customWidth="1"/>
    <col min="4627" max="4628" width="9.625" style="148" bestFit="1" customWidth="1"/>
    <col min="4629" max="4630" width="9.625" style="148" customWidth="1"/>
    <col min="4631" max="4631" width="9.25" style="148" bestFit="1" customWidth="1"/>
    <col min="4632" max="4632" width="11" style="148" bestFit="1" customWidth="1"/>
    <col min="4633" max="4865" width="9" style="148"/>
    <col min="4866" max="4866" width="4.625" style="148" bestFit="1" customWidth="1"/>
    <col min="4867" max="4867" width="7.5" style="148" bestFit="1" customWidth="1"/>
    <col min="4868" max="4868" width="6.25" style="148" customWidth="1"/>
    <col min="4869" max="4869" width="11" style="148" bestFit="1" customWidth="1"/>
    <col min="4870" max="4871" width="9.625" style="148" bestFit="1" customWidth="1"/>
    <col min="4872" max="4872" width="8.25" style="148" bestFit="1" customWidth="1"/>
    <col min="4873" max="4874" width="9.625" style="148" bestFit="1" customWidth="1"/>
    <col min="4875" max="4875" width="8.25" style="148" bestFit="1" customWidth="1"/>
    <col min="4876" max="4877" width="9.625" style="148" bestFit="1" customWidth="1"/>
    <col min="4878" max="4879" width="8.25" style="148" bestFit="1" customWidth="1"/>
    <col min="4880" max="4880" width="11" style="148" bestFit="1" customWidth="1"/>
    <col min="4881" max="4881" width="8" style="148" bestFit="1" customWidth="1"/>
    <col min="4882" max="4882" width="7.75" style="148" bestFit="1" customWidth="1"/>
    <col min="4883" max="4884" width="9.625" style="148" bestFit="1" customWidth="1"/>
    <col min="4885" max="4886" width="9.625" style="148" customWidth="1"/>
    <col min="4887" max="4887" width="9.25" style="148" bestFit="1" customWidth="1"/>
    <col min="4888" max="4888" width="11" style="148" bestFit="1" customWidth="1"/>
    <col min="4889" max="5121" width="9" style="148"/>
    <col min="5122" max="5122" width="4.625" style="148" bestFit="1" customWidth="1"/>
    <col min="5123" max="5123" width="7.5" style="148" bestFit="1" customWidth="1"/>
    <col min="5124" max="5124" width="6.25" style="148" customWidth="1"/>
    <col min="5125" max="5125" width="11" style="148" bestFit="1" customWidth="1"/>
    <col min="5126" max="5127" width="9.625" style="148" bestFit="1" customWidth="1"/>
    <col min="5128" max="5128" width="8.25" style="148" bestFit="1" customWidth="1"/>
    <col min="5129" max="5130" width="9.625" style="148" bestFit="1" customWidth="1"/>
    <col min="5131" max="5131" width="8.25" style="148" bestFit="1" customWidth="1"/>
    <col min="5132" max="5133" width="9.625" style="148" bestFit="1" customWidth="1"/>
    <col min="5134" max="5135" width="8.25" style="148" bestFit="1" customWidth="1"/>
    <col min="5136" max="5136" width="11" style="148" bestFit="1" customWidth="1"/>
    <col min="5137" max="5137" width="8" style="148" bestFit="1" customWidth="1"/>
    <col min="5138" max="5138" width="7.75" style="148" bestFit="1" customWidth="1"/>
    <col min="5139" max="5140" width="9.625" style="148" bestFit="1" customWidth="1"/>
    <col min="5141" max="5142" width="9.625" style="148" customWidth="1"/>
    <col min="5143" max="5143" width="9.25" style="148" bestFit="1" customWidth="1"/>
    <col min="5144" max="5144" width="11" style="148" bestFit="1" customWidth="1"/>
    <col min="5145" max="5377" width="9" style="148"/>
    <col min="5378" max="5378" width="4.625" style="148" bestFit="1" customWidth="1"/>
    <col min="5379" max="5379" width="7.5" style="148" bestFit="1" customWidth="1"/>
    <col min="5380" max="5380" width="6.25" style="148" customWidth="1"/>
    <col min="5381" max="5381" width="11" style="148" bestFit="1" customWidth="1"/>
    <col min="5382" max="5383" width="9.625" style="148" bestFit="1" customWidth="1"/>
    <col min="5384" max="5384" width="8.25" style="148" bestFit="1" customWidth="1"/>
    <col min="5385" max="5386" width="9.625" style="148" bestFit="1" customWidth="1"/>
    <col min="5387" max="5387" width="8.25" style="148" bestFit="1" customWidth="1"/>
    <col min="5388" max="5389" width="9.625" style="148" bestFit="1" customWidth="1"/>
    <col min="5390" max="5391" width="8.25" style="148" bestFit="1" customWidth="1"/>
    <col min="5392" max="5392" width="11" style="148" bestFit="1" customWidth="1"/>
    <col min="5393" max="5393" width="8" style="148" bestFit="1" customWidth="1"/>
    <col min="5394" max="5394" width="7.75" style="148" bestFit="1" customWidth="1"/>
    <col min="5395" max="5396" width="9.625" style="148" bestFit="1" customWidth="1"/>
    <col min="5397" max="5398" width="9.625" style="148" customWidth="1"/>
    <col min="5399" max="5399" width="9.25" style="148" bestFit="1" customWidth="1"/>
    <col min="5400" max="5400" width="11" style="148" bestFit="1" customWidth="1"/>
    <col min="5401" max="5633" width="9" style="148"/>
    <col min="5634" max="5634" width="4.625" style="148" bestFit="1" customWidth="1"/>
    <col min="5635" max="5635" width="7.5" style="148" bestFit="1" customWidth="1"/>
    <col min="5636" max="5636" width="6.25" style="148" customWidth="1"/>
    <col min="5637" max="5637" width="11" style="148" bestFit="1" customWidth="1"/>
    <col min="5638" max="5639" width="9.625" style="148" bestFit="1" customWidth="1"/>
    <col min="5640" max="5640" width="8.25" style="148" bestFit="1" customWidth="1"/>
    <col min="5641" max="5642" width="9.625" style="148" bestFit="1" customWidth="1"/>
    <col min="5643" max="5643" width="8.25" style="148" bestFit="1" customWidth="1"/>
    <col min="5644" max="5645" width="9.625" style="148" bestFit="1" customWidth="1"/>
    <col min="5646" max="5647" width="8.25" style="148" bestFit="1" customWidth="1"/>
    <col min="5648" max="5648" width="11" style="148" bestFit="1" customWidth="1"/>
    <col min="5649" max="5649" width="8" style="148" bestFit="1" customWidth="1"/>
    <col min="5650" max="5650" width="7.75" style="148" bestFit="1" customWidth="1"/>
    <col min="5651" max="5652" width="9.625" style="148" bestFit="1" customWidth="1"/>
    <col min="5653" max="5654" width="9.625" style="148" customWidth="1"/>
    <col min="5655" max="5655" width="9.25" style="148" bestFit="1" customWidth="1"/>
    <col min="5656" max="5656" width="11" style="148" bestFit="1" customWidth="1"/>
    <col min="5657" max="5889" width="9" style="148"/>
    <col min="5890" max="5890" width="4.625" style="148" bestFit="1" customWidth="1"/>
    <col min="5891" max="5891" width="7.5" style="148" bestFit="1" customWidth="1"/>
    <col min="5892" max="5892" width="6.25" style="148" customWidth="1"/>
    <col min="5893" max="5893" width="11" style="148" bestFit="1" customWidth="1"/>
    <col min="5894" max="5895" width="9.625" style="148" bestFit="1" customWidth="1"/>
    <col min="5896" max="5896" width="8.25" style="148" bestFit="1" customWidth="1"/>
    <col min="5897" max="5898" width="9.625" style="148" bestFit="1" customWidth="1"/>
    <col min="5899" max="5899" width="8.25" style="148" bestFit="1" customWidth="1"/>
    <col min="5900" max="5901" width="9.625" style="148" bestFit="1" customWidth="1"/>
    <col min="5902" max="5903" width="8.25" style="148" bestFit="1" customWidth="1"/>
    <col min="5904" max="5904" width="11" style="148" bestFit="1" customWidth="1"/>
    <col min="5905" max="5905" width="8" style="148" bestFit="1" customWidth="1"/>
    <col min="5906" max="5906" width="7.75" style="148" bestFit="1" customWidth="1"/>
    <col min="5907" max="5908" width="9.625" style="148" bestFit="1" customWidth="1"/>
    <col min="5909" max="5910" width="9.625" style="148" customWidth="1"/>
    <col min="5911" max="5911" width="9.25" style="148" bestFit="1" customWidth="1"/>
    <col min="5912" max="5912" width="11" style="148" bestFit="1" customWidth="1"/>
    <col min="5913" max="6145" width="9" style="148"/>
    <col min="6146" max="6146" width="4.625" style="148" bestFit="1" customWidth="1"/>
    <col min="6147" max="6147" width="7.5" style="148" bestFit="1" customWidth="1"/>
    <col min="6148" max="6148" width="6.25" style="148" customWidth="1"/>
    <col min="6149" max="6149" width="11" style="148" bestFit="1" customWidth="1"/>
    <col min="6150" max="6151" width="9.625" style="148" bestFit="1" customWidth="1"/>
    <col min="6152" max="6152" width="8.25" style="148" bestFit="1" customWidth="1"/>
    <col min="6153" max="6154" width="9.625" style="148" bestFit="1" customWidth="1"/>
    <col min="6155" max="6155" width="8.25" style="148" bestFit="1" customWidth="1"/>
    <col min="6156" max="6157" width="9.625" style="148" bestFit="1" customWidth="1"/>
    <col min="6158" max="6159" width="8.25" style="148" bestFit="1" customWidth="1"/>
    <col min="6160" max="6160" width="11" style="148" bestFit="1" customWidth="1"/>
    <col min="6161" max="6161" width="8" style="148" bestFit="1" customWidth="1"/>
    <col min="6162" max="6162" width="7.75" style="148" bestFit="1" customWidth="1"/>
    <col min="6163" max="6164" width="9.625" style="148" bestFit="1" customWidth="1"/>
    <col min="6165" max="6166" width="9.625" style="148" customWidth="1"/>
    <col min="6167" max="6167" width="9.25" style="148" bestFit="1" customWidth="1"/>
    <col min="6168" max="6168" width="11" style="148" bestFit="1" customWidth="1"/>
    <col min="6169" max="6401" width="9" style="148"/>
    <col min="6402" max="6402" width="4.625" style="148" bestFit="1" customWidth="1"/>
    <col min="6403" max="6403" width="7.5" style="148" bestFit="1" customWidth="1"/>
    <col min="6404" max="6404" width="6.25" style="148" customWidth="1"/>
    <col min="6405" max="6405" width="11" style="148" bestFit="1" customWidth="1"/>
    <col min="6406" max="6407" width="9.625" style="148" bestFit="1" customWidth="1"/>
    <col min="6408" max="6408" width="8.25" style="148" bestFit="1" customWidth="1"/>
    <col min="6409" max="6410" width="9.625" style="148" bestFit="1" customWidth="1"/>
    <col min="6411" max="6411" width="8.25" style="148" bestFit="1" customWidth="1"/>
    <col min="6412" max="6413" width="9.625" style="148" bestFit="1" customWidth="1"/>
    <col min="6414" max="6415" width="8.25" style="148" bestFit="1" customWidth="1"/>
    <col min="6416" max="6416" width="11" style="148" bestFit="1" customWidth="1"/>
    <col min="6417" max="6417" width="8" style="148" bestFit="1" customWidth="1"/>
    <col min="6418" max="6418" width="7.75" style="148" bestFit="1" customWidth="1"/>
    <col min="6419" max="6420" width="9.625" style="148" bestFit="1" customWidth="1"/>
    <col min="6421" max="6422" width="9.625" style="148" customWidth="1"/>
    <col min="6423" max="6423" width="9.25" style="148" bestFit="1" customWidth="1"/>
    <col min="6424" max="6424" width="11" style="148" bestFit="1" customWidth="1"/>
    <col min="6425" max="6657" width="9" style="148"/>
    <col min="6658" max="6658" width="4.625" style="148" bestFit="1" customWidth="1"/>
    <col min="6659" max="6659" width="7.5" style="148" bestFit="1" customWidth="1"/>
    <col min="6660" max="6660" width="6.25" style="148" customWidth="1"/>
    <col min="6661" max="6661" width="11" style="148" bestFit="1" customWidth="1"/>
    <col min="6662" max="6663" width="9.625" style="148" bestFit="1" customWidth="1"/>
    <col min="6664" max="6664" width="8.25" style="148" bestFit="1" customWidth="1"/>
    <col min="6665" max="6666" width="9.625" style="148" bestFit="1" customWidth="1"/>
    <col min="6667" max="6667" width="8.25" style="148" bestFit="1" customWidth="1"/>
    <col min="6668" max="6669" width="9.625" style="148" bestFit="1" customWidth="1"/>
    <col min="6670" max="6671" width="8.25" style="148" bestFit="1" customWidth="1"/>
    <col min="6672" max="6672" width="11" style="148" bestFit="1" customWidth="1"/>
    <col min="6673" max="6673" width="8" style="148" bestFit="1" customWidth="1"/>
    <col min="6674" max="6674" width="7.75" style="148" bestFit="1" customWidth="1"/>
    <col min="6675" max="6676" width="9.625" style="148" bestFit="1" customWidth="1"/>
    <col min="6677" max="6678" width="9.625" style="148" customWidth="1"/>
    <col min="6679" max="6679" width="9.25" style="148" bestFit="1" customWidth="1"/>
    <col min="6680" max="6680" width="11" style="148" bestFit="1" customWidth="1"/>
    <col min="6681" max="6913" width="9" style="148"/>
    <col min="6914" max="6914" width="4.625" style="148" bestFit="1" customWidth="1"/>
    <col min="6915" max="6915" width="7.5" style="148" bestFit="1" customWidth="1"/>
    <col min="6916" max="6916" width="6.25" style="148" customWidth="1"/>
    <col min="6917" max="6917" width="11" style="148" bestFit="1" customWidth="1"/>
    <col min="6918" max="6919" width="9.625" style="148" bestFit="1" customWidth="1"/>
    <col min="6920" max="6920" width="8.25" style="148" bestFit="1" customWidth="1"/>
    <col min="6921" max="6922" width="9.625" style="148" bestFit="1" customWidth="1"/>
    <col min="6923" max="6923" width="8.25" style="148" bestFit="1" customWidth="1"/>
    <col min="6924" max="6925" width="9.625" style="148" bestFit="1" customWidth="1"/>
    <col min="6926" max="6927" width="8.25" style="148" bestFit="1" customWidth="1"/>
    <col min="6928" max="6928" width="11" style="148" bestFit="1" customWidth="1"/>
    <col min="6929" max="6929" width="8" style="148" bestFit="1" customWidth="1"/>
    <col min="6930" max="6930" width="7.75" style="148" bestFit="1" customWidth="1"/>
    <col min="6931" max="6932" width="9.625" style="148" bestFit="1" customWidth="1"/>
    <col min="6933" max="6934" width="9.625" style="148" customWidth="1"/>
    <col min="6935" max="6935" width="9.25" style="148" bestFit="1" customWidth="1"/>
    <col min="6936" max="6936" width="11" style="148" bestFit="1" customWidth="1"/>
    <col min="6937" max="7169" width="9" style="148"/>
    <col min="7170" max="7170" width="4.625" style="148" bestFit="1" customWidth="1"/>
    <col min="7171" max="7171" width="7.5" style="148" bestFit="1" customWidth="1"/>
    <col min="7172" max="7172" width="6.25" style="148" customWidth="1"/>
    <col min="7173" max="7173" width="11" style="148" bestFit="1" customWidth="1"/>
    <col min="7174" max="7175" width="9.625" style="148" bestFit="1" customWidth="1"/>
    <col min="7176" max="7176" width="8.25" style="148" bestFit="1" customWidth="1"/>
    <col min="7177" max="7178" width="9.625" style="148" bestFit="1" customWidth="1"/>
    <col min="7179" max="7179" width="8.25" style="148" bestFit="1" customWidth="1"/>
    <col min="7180" max="7181" width="9.625" style="148" bestFit="1" customWidth="1"/>
    <col min="7182" max="7183" width="8.25" style="148" bestFit="1" customWidth="1"/>
    <col min="7184" max="7184" width="11" style="148" bestFit="1" customWidth="1"/>
    <col min="7185" max="7185" width="8" style="148" bestFit="1" customWidth="1"/>
    <col min="7186" max="7186" width="7.75" style="148" bestFit="1" customWidth="1"/>
    <col min="7187" max="7188" width="9.625" style="148" bestFit="1" customWidth="1"/>
    <col min="7189" max="7190" width="9.625" style="148" customWidth="1"/>
    <col min="7191" max="7191" width="9.25" style="148" bestFit="1" customWidth="1"/>
    <col min="7192" max="7192" width="11" style="148" bestFit="1" customWidth="1"/>
    <col min="7193" max="7425" width="9" style="148"/>
    <col min="7426" max="7426" width="4.625" style="148" bestFit="1" customWidth="1"/>
    <col min="7427" max="7427" width="7.5" style="148" bestFit="1" customWidth="1"/>
    <col min="7428" max="7428" width="6.25" style="148" customWidth="1"/>
    <col min="7429" max="7429" width="11" style="148" bestFit="1" customWidth="1"/>
    <col min="7430" max="7431" width="9.625" style="148" bestFit="1" customWidth="1"/>
    <col min="7432" max="7432" width="8.25" style="148" bestFit="1" customWidth="1"/>
    <col min="7433" max="7434" width="9.625" style="148" bestFit="1" customWidth="1"/>
    <col min="7435" max="7435" width="8.25" style="148" bestFit="1" customWidth="1"/>
    <col min="7436" max="7437" width="9.625" style="148" bestFit="1" customWidth="1"/>
    <col min="7438" max="7439" width="8.25" style="148" bestFit="1" customWidth="1"/>
    <col min="7440" max="7440" width="11" style="148" bestFit="1" customWidth="1"/>
    <col min="7441" max="7441" width="8" style="148" bestFit="1" customWidth="1"/>
    <col min="7442" max="7442" width="7.75" style="148" bestFit="1" customWidth="1"/>
    <col min="7443" max="7444" width="9.625" style="148" bestFit="1" customWidth="1"/>
    <col min="7445" max="7446" width="9.625" style="148" customWidth="1"/>
    <col min="7447" max="7447" width="9.25" style="148" bestFit="1" customWidth="1"/>
    <col min="7448" max="7448" width="11" style="148" bestFit="1" customWidth="1"/>
    <col min="7449" max="7681" width="9" style="148"/>
    <col min="7682" max="7682" width="4.625" style="148" bestFit="1" customWidth="1"/>
    <col min="7683" max="7683" width="7.5" style="148" bestFit="1" customWidth="1"/>
    <col min="7684" max="7684" width="6.25" style="148" customWidth="1"/>
    <col min="7685" max="7685" width="11" style="148" bestFit="1" customWidth="1"/>
    <col min="7686" max="7687" width="9.625" style="148" bestFit="1" customWidth="1"/>
    <col min="7688" max="7688" width="8.25" style="148" bestFit="1" customWidth="1"/>
    <col min="7689" max="7690" width="9.625" style="148" bestFit="1" customWidth="1"/>
    <col min="7691" max="7691" width="8.25" style="148" bestFit="1" customWidth="1"/>
    <col min="7692" max="7693" width="9.625" style="148" bestFit="1" customWidth="1"/>
    <col min="7694" max="7695" width="8.25" style="148" bestFit="1" customWidth="1"/>
    <col min="7696" max="7696" width="11" style="148" bestFit="1" customWidth="1"/>
    <col min="7697" max="7697" width="8" style="148" bestFit="1" customWidth="1"/>
    <col min="7698" max="7698" width="7.75" style="148" bestFit="1" customWidth="1"/>
    <col min="7699" max="7700" width="9.625" style="148" bestFit="1" customWidth="1"/>
    <col min="7701" max="7702" width="9.625" style="148" customWidth="1"/>
    <col min="7703" max="7703" width="9.25" style="148" bestFit="1" customWidth="1"/>
    <col min="7704" max="7704" width="11" style="148" bestFit="1" customWidth="1"/>
    <col min="7705" max="7937" width="9" style="148"/>
    <col min="7938" max="7938" width="4.625" style="148" bestFit="1" customWidth="1"/>
    <col min="7939" max="7939" width="7.5" style="148" bestFit="1" customWidth="1"/>
    <col min="7940" max="7940" width="6.25" style="148" customWidth="1"/>
    <col min="7941" max="7941" width="11" style="148" bestFit="1" customWidth="1"/>
    <col min="7942" max="7943" width="9.625" style="148" bestFit="1" customWidth="1"/>
    <col min="7944" max="7944" width="8.25" style="148" bestFit="1" customWidth="1"/>
    <col min="7945" max="7946" width="9.625" style="148" bestFit="1" customWidth="1"/>
    <col min="7947" max="7947" width="8.25" style="148" bestFit="1" customWidth="1"/>
    <col min="7948" max="7949" width="9.625" style="148" bestFit="1" customWidth="1"/>
    <col min="7950" max="7951" width="8.25" style="148" bestFit="1" customWidth="1"/>
    <col min="7952" max="7952" width="11" style="148" bestFit="1" customWidth="1"/>
    <col min="7953" max="7953" width="8" style="148" bestFit="1" customWidth="1"/>
    <col min="7954" max="7954" width="7.75" style="148" bestFit="1" customWidth="1"/>
    <col min="7955" max="7956" width="9.625" style="148" bestFit="1" customWidth="1"/>
    <col min="7957" max="7958" width="9.625" style="148" customWidth="1"/>
    <col min="7959" max="7959" width="9.25" style="148" bestFit="1" customWidth="1"/>
    <col min="7960" max="7960" width="11" style="148" bestFit="1" customWidth="1"/>
    <col min="7961" max="8193" width="9" style="148"/>
    <col min="8194" max="8194" width="4.625" style="148" bestFit="1" customWidth="1"/>
    <col min="8195" max="8195" width="7.5" style="148" bestFit="1" customWidth="1"/>
    <col min="8196" max="8196" width="6.25" style="148" customWidth="1"/>
    <col min="8197" max="8197" width="11" style="148" bestFit="1" customWidth="1"/>
    <col min="8198" max="8199" width="9.625" style="148" bestFit="1" customWidth="1"/>
    <col min="8200" max="8200" width="8.25" style="148" bestFit="1" customWidth="1"/>
    <col min="8201" max="8202" width="9.625" style="148" bestFit="1" customWidth="1"/>
    <col min="8203" max="8203" width="8.25" style="148" bestFit="1" customWidth="1"/>
    <col min="8204" max="8205" width="9.625" style="148" bestFit="1" customWidth="1"/>
    <col min="8206" max="8207" width="8.25" style="148" bestFit="1" customWidth="1"/>
    <col min="8208" max="8208" width="11" style="148" bestFit="1" customWidth="1"/>
    <col min="8209" max="8209" width="8" style="148" bestFit="1" customWidth="1"/>
    <col min="8210" max="8210" width="7.75" style="148" bestFit="1" customWidth="1"/>
    <col min="8211" max="8212" width="9.625" style="148" bestFit="1" customWidth="1"/>
    <col min="8213" max="8214" width="9.625" style="148" customWidth="1"/>
    <col min="8215" max="8215" width="9.25" style="148" bestFit="1" customWidth="1"/>
    <col min="8216" max="8216" width="11" style="148" bestFit="1" customWidth="1"/>
    <col min="8217" max="8449" width="9" style="148"/>
    <col min="8450" max="8450" width="4.625" style="148" bestFit="1" customWidth="1"/>
    <col min="8451" max="8451" width="7.5" style="148" bestFit="1" customWidth="1"/>
    <col min="8452" max="8452" width="6.25" style="148" customWidth="1"/>
    <col min="8453" max="8453" width="11" style="148" bestFit="1" customWidth="1"/>
    <col min="8454" max="8455" width="9.625" style="148" bestFit="1" customWidth="1"/>
    <col min="8456" max="8456" width="8.25" style="148" bestFit="1" customWidth="1"/>
    <col min="8457" max="8458" width="9.625" style="148" bestFit="1" customWidth="1"/>
    <col min="8459" max="8459" width="8.25" style="148" bestFit="1" customWidth="1"/>
    <col min="8460" max="8461" width="9.625" style="148" bestFit="1" customWidth="1"/>
    <col min="8462" max="8463" width="8.25" style="148" bestFit="1" customWidth="1"/>
    <col min="8464" max="8464" width="11" style="148" bestFit="1" customWidth="1"/>
    <col min="8465" max="8465" width="8" style="148" bestFit="1" customWidth="1"/>
    <col min="8466" max="8466" width="7.75" style="148" bestFit="1" customWidth="1"/>
    <col min="8467" max="8468" width="9.625" style="148" bestFit="1" customWidth="1"/>
    <col min="8469" max="8470" width="9.625" style="148" customWidth="1"/>
    <col min="8471" max="8471" width="9.25" style="148" bestFit="1" customWidth="1"/>
    <col min="8472" max="8472" width="11" style="148" bestFit="1" customWidth="1"/>
    <col min="8473" max="8705" width="9" style="148"/>
    <col min="8706" max="8706" width="4.625" style="148" bestFit="1" customWidth="1"/>
    <col min="8707" max="8707" width="7.5" style="148" bestFit="1" customWidth="1"/>
    <col min="8708" max="8708" width="6.25" style="148" customWidth="1"/>
    <col min="8709" max="8709" width="11" style="148" bestFit="1" customWidth="1"/>
    <col min="8710" max="8711" width="9.625" style="148" bestFit="1" customWidth="1"/>
    <col min="8712" max="8712" width="8.25" style="148" bestFit="1" customWidth="1"/>
    <col min="8713" max="8714" width="9.625" style="148" bestFit="1" customWidth="1"/>
    <col min="8715" max="8715" width="8.25" style="148" bestFit="1" customWidth="1"/>
    <col min="8716" max="8717" width="9.625" style="148" bestFit="1" customWidth="1"/>
    <col min="8718" max="8719" width="8.25" style="148" bestFit="1" customWidth="1"/>
    <col min="8720" max="8720" width="11" style="148" bestFit="1" customWidth="1"/>
    <col min="8721" max="8721" width="8" style="148" bestFit="1" customWidth="1"/>
    <col min="8722" max="8722" width="7.75" style="148" bestFit="1" customWidth="1"/>
    <col min="8723" max="8724" width="9.625" style="148" bestFit="1" customWidth="1"/>
    <col min="8725" max="8726" width="9.625" style="148" customWidth="1"/>
    <col min="8727" max="8727" width="9.25" style="148" bestFit="1" customWidth="1"/>
    <col min="8728" max="8728" width="11" style="148" bestFit="1" customWidth="1"/>
    <col min="8729" max="8961" width="9" style="148"/>
    <col min="8962" max="8962" width="4.625" style="148" bestFit="1" customWidth="1"/>
    <col min="8963" max="8963" width="7.5" style="148" bestFit="1" customWidth="1"/>
    <col min="8964" max="8964" width="6.25" style="148" customWidth="1"/>
    <col min="8965" max="8965" width="11" style="148" bestFit="1" customWidth="1"/>
    <col min="8966" max="8967" width="9.625" style="148" bestFit="1" customWidth="1"/>
    <col min="8968" max="8968" width="8.25" style="148" bestFit="1" customWidth="1"/>
    <col min="8969" max="8970" width="9.625" style="148" bestFit="1" customWidth="1"/>
    <col min="8971" max="8971" width="8.25" style="148" bestFit="1" customWidth="1"/>
    <col min="8972" max="8973" width="9.625" style="148" bestFit="1" customWidth="1"/>
    <col min="8974" max="8975" width="8.25" style="148" bestFit="1" customWidth="1"/>
    <col min="8976" max="8976" width="11" style="148" bestFit="1" customWidth="1"/>
    <col min="8977" max="8977" width="8" style="148" bestFit="1" customWidth="1"/>
    <col min="8978" max="8978" width="7.75" style="148" bestFit="1" customWidth="1"/>
    <col min="8979" max="8980" width="9.625" style="148" bestFit="1" customWidth="1"/>
    <col min="8981" max="8982" width="9.625" style="148" customWidth="1"/>
    <col min="8983" max="8983" width="9.25" style="148" bestFit="1" customWidth="1"/>
    <col min="8984" max="8984" width="11" style="148" bestFit="1" customWidth="1"/>
    <col min="8985" max="9217" width="9" style="148"/>
    <col min="9218" max="9218" width="4.625" style="148" bestFit="1" customWidth="1"/>
    <col min="9219" max="9219" width="7.5" style="148" bestFit="1" customWidth="1"/>
    <col min="9220" max="9220" width="6.25" style="148" customWidth="1"/>
    <col min="9221" max="9221" width="11" style="148" bestFit="1" customWidth="1"/>
    <col min="9222" max="9223" width="9.625" style="148" bestFit="1" customWidth="1"/>
    <col min="9224" max="9224" width="8.25" style="148" bestFit="1" customWidth="1"/>
    <col min="9225" max="9226" width="9.625" style="148" bestFit="1" customWidth="1"/>
    <col min="9227" max="9227" width="8.25" style="148" bestFit="1" customWidth="1"/>
    <col min="9228" max="9229" width="9.625" style="148" bestFit="1" customWidth="1"/>
    <col min="9230" max="9231" width="8.25" style="148" bestFit="1" customWidth="1"/>
    <col min="9232" max="9232" width="11" style="148" bestFit="1" customWidth="1"/>
    <col min="9233" max="9233" width="8" style="148" bestFit="1" customWidth="1"/>
    <col min="9234" max="9234" width="7.75" style="148" bestFit="1" customWidth="1"/>
    <col min="9235" max="9236" width="9.625" style="148" bestFit="1" customWidth="1"/>
    <col min="9237" max="9238" width="9.625" style="148" customWidth="1"/>
    <col min="9239" max="9239" width="9.25" style="148" bestFit="1" customWidth="1"/>
    <col min="9240" max="9240" width="11" style="148" bestFit="1" customWidth="1"/>
    <col min="9241" max="9473" width="9" style="148"/>
    <col min="9474" max="9474" width="4.625" style="148" bestFit="1" customWidth="1"/>
    <col min="9475" max="9475" width="7.5" style="148" bestFit="1" customWidth="1"/>
    <col min="9476" max="9476" width="6.25" style="148" customWidth="1"/>
    <col min="9477" max="9477" width="11" style="148" bestFit="1" customWidth="1"/>
    <col min="9478" max="9479" width="9.625" style="148" bestFit="1" customWidth="1"/>
    <col min="9480" max="9480" width="8.25" style="148" bestFit="1" customWidth="1"/>
    <col min="9481" max="9482" width="9.625" style="148" bestFit="1" customWidth="1"/>
    <col min="9483" max="9483" width="8.25" style="148" bestFit="1" customWidth="1"/>
    <col min="9484" max="9485" width="9.625" style="148" bestFit="1" customWidth="1"/>
    <col min="9486" max="9487" width="8.25" style="148" bestFit="1" customWidth="1"/>
    <col min="9488" max="9488" width="11" style="148" bestFit="1" customWidth="1"/>
    <col min="9489" max="9489" width="8" style="148" bestFit="1" customWidth="1"/>
    <col min="9490" max="9490" width="7.75" style="148" bestFit="1" customWidth="1"/>
    <col min="9491" max="9492" width="9.625" style="148" bestFit="1" customWidth="1"/>
    <col min="9493" max="9494" width="9.625" style="148" customWidth="1"/>
    <col min="9495" max="9495" width="9.25" style="148" bestFit="1" customWidth="1"/>
    <col min="9496" max="9496" width="11" style="148" bestFit="1" customWidth="1"/>
    <col min="9497" max="9729" width="9" style="148"/>
    <col min="9730" max="9730" width="4.625" style="148" bestFit="1" customWidth="1"/>
    <col min="9731" max="9731" width="7.5" style="148" bestFit="1" customWidth="1"/>
    <col min="9732" max="9732" width="6.25" style="148" customWidth="1"/>
    <col min="9733" max="9733" width="11" style="148" bestFit="1" customWidth="1"/>
    <col min="9734" max="9735" width="9.625" style="148" bestFit="1" customWidth="1"/>
    <col min="9736" max="9736" width="8.25" style="148" bestFit="1" customWidth="1"/>
    <col min="9737" max="9738" width="9.625" style="148" bestFit="1" customWidth="1"/>
    <col min="9739" max="9739" width="8.25" style="148" bestFit="1" customWidth="1"/>
    <col min="9740" max="9741" width="9.625" style="148" bestFit="1" customWidth="1"/>
    <col min="9742" max="9743" width="8.25" style="148" bestFit="1" customWidth="1"/>
    <col min="9744" max="9744" width="11" style="148" bestFit="1" customWidth="1"/>
    <col min="9745" max="9745" width="8" style="148" bestFit="1" customWidth="1"/>
    <col min="9746" max="9746" width="7.75" style="148" bestFit="1" customWidth="1"/>
    <col min="9747" max="9748" width="9.625" style="148" bestFit="1" customWidth="1"/>
    <col min="9749" max="9750" width="9.625" style="148" customWidth="1"/>
    <col min="9751" max="9751" width="9.25" style="148" bestFit="1" customWidth="1"/>
    <col min="9752" max="9752" width="11" style="148" bestFit="1" customWidth="1"/>
    <col min="9753" max="9985" width="9" style="148"/>
    <col min="9986" max="9986" width="4.625" style="148" bestFit="1" customWidth="1"/>
    <col min="9987" max="9987" width="7.5" style="148" bestFit="1" customWidth="1"/>
    <col min="9988" max="9988" width="6.25" style="148" customWidth="1"/>
    <col min="9989" max="9989" width="11" style="148" bestFit="1" customWidth="1"/>
    <col min="9990" max="9991" width="9.625" style="148" bestFit="1" customWidth="1"/>
    <col min="9992" max="9992" width="8.25" style="148" bestFit="1" customWidth="1"/>
    <col min="9993" max="9994" width="9.625" style="148" bestFit="1" customWidth="1"/>
    <col min="9995" max="9995" width="8.25" style="148" bestFit="1" customWidth="1"/>
    <col min="9996" max="9997" width="9.625" style="148" bestFit="1" customWidth="1"/>
    <col min="9998" max="9999" width="8.25" style="148" bestFit="1" customWidth="1"/>
    <col min="10000" max="10000" width="11" style="148" bestFit="1" customWidth="1"/>
    <col min="10001" max="10001" width="8" style="148" bestFit="1" customWidth="1"/>
    <col min="10002" max="10002" width="7.75" style="148" bestFit="1" customWidth="1"/>
    <col min="10003" max="10004" width="9.625" style="148" bestFit="1" customWidth="1"/>
    <col min="10005" max="10006" width="9.625" style="148" customWidth="1"/>
    <col min="10007" max="10007" width="9.25" style="148" bestFit="1" customWidth="1"/>
    <col min="10008" max="10008" width="11" style="148" bestFit="1" customWidth="1"/>
    <col min="10009" max="10241" width="9" style="148"/>
    <col min="10242" max="10242" width="4.625" style="148" bestFit="1" customWidth="1"/>
    <col min="10243" max="10243" width="7.5" style="148" bestFit="1" customWidth="1"/>
    <col min="10244" max="10244" width="6.25" style="148" customWidth="1"/>
    <col min="10245" max="10245" width="11" style="148" bestFit="1" customWidth="1"/>
    <col min="10246" max="10247" width="9.625" style="148" bestFit="1" customWidth="1"/>
    <col min="10248" max="10248" width="8.25" style="148" bestFit="1" customWidth="1"/>
    <col min="10249" max="10250" width="9.625" style="148" bestFit="1" customWidth="1"/>
    <col min="10251" max="10251" width="8.25" style="148" bestFit="1" customWidth="1"/>
    <col min="10252" max="10253" width="9.625" style="148" bestFit="1" customWidth="1"/>
    <col min="10254" max="10255" width="8.25" style="148" bestFit="1" customWidth="1"/>
    <col min="10256" max="10256" width="11" style="148" bestFit="1" customWidth="1"/>
    <col min="10257" max="10257" width="8" style="148" bestFit="1" customWidth="1"/>
    <col min="10258" max="10258" width="7.75" style="148" bestFit="1" customWidth="1"/>
    <col min="10259" max="10260" width="9.625" style="148" bestFit="1" customWidth="1"/>
    <col min="10261" max="10262" width="9.625" style="148" customWidth="1"/>
    <col min="10263" max="10263" width="9.25" style="148" bestFit="1" customWidth="1"/>
    <col min="10264" max="10264" width="11" style="148" bestFit="1" customWidth="1"/>
    <col min="10265" max="10497" width="9" style="148"/>
    <col min="10498" max="10498" width="4.625" style="148" bestFit="1" customWidth="1"/>
    <col min="10499" max="10499" width="7.5" style="148" bestFit="1" customWidth="1"/>
    <col min="10500" max="10500" width="6.25" style="148" customWidth="1"/>
    <col min="10501" max="10501" width="11" style="148" bestFit="1" customWidth="1"/>
    <col min="10502" max="10503" width="9.625" style="148" bestFit="1" customWidth="1"/>
    <col min="10504" max="10504" width="8.25" style="148" bestFit="1" customWidth="1"/>
    <col min="10505" max="10506" width="9.625" style="148" bestFit="1" customWidth="1"/>
    <col min="10507" max="10507" width="8.25" style="148" bestFit="1" customWidth="1"/>
    <col min="10508" max="10509" width="9.625" style="148" bestFit="1" customWidth="1"/>
    <col min="10510" max="10511" width="8.25" style="148" bestFit="1" customWidth="1"/>
    <col min="10512" max="10512" width="11" style="148" bestFit="1" customWidth="1"/>
    <col min="10513" max="10513" width="8" style="148" bestFit="1" customWidth="1"/>
    <col min="10514" max="10514" width="7.75" style="148" bestFit="1" customWidth="1"/>
    <col min="10515" max="10516" width="9.625" style="148" bestFit="1" customWidth="1"/>
    <col min="10517" max="10518" width="9.625" style="148" customWidth="1"/>
    <col min="10519" max="10519" width="9.25" style="148" bestFit="1" customWidth="1"/>
    <col min="10520" max="10520" width="11" style="148" bestFit="1" customWidth="1"/>
    <col min="10521" max="10753" width="9" style="148"/>
    <col min="10754" max="10754" width="4.625" style="148" bestFit="1" customWidth="1"/>
    <col min="10755" max="10755" width="7.5" style="148" bestFit="1" customWidth="1"/>
    <col min="10756" max="10756" width="6.25" style="148" customWidth="1"/>
    <col min="10757" max="10757" width="11" style="148" bestFit="1" customWidth="1"/>
    <col min="10758" max="10759" width="9.625" style="148" bestFit="1" customWidth="1"/>
    <col min="10760" max="10760" width="8.25" style="148" bestFit="1" customWidth="1"/>
    <col min="10761" max="10762" width="9.625" style="148" bestFit="1" customWidth="1"/>
    <col min="10763" max="10763" width="8.25" style="148" bestFit="1" customWidth="1"/>
    <col min="10764" max="10765" width="9.625" style="148" bestFit="1" customWidth="1"/>
    <col min="10766" max="10767" width="8.25" style="148" bestFit="1" customWidth="1"/>
    <col min="10768" max="10768" width="11" style="148" bestFit="1" customWidth="1"/>
    <col min="10769" max="10769" width="8" style="148" bestFit="1" customWidth="1"/>
    <col min="10770" max="10770" width="7.75" style="148" bestFit="1" customWidth="1"/>
    <col min="10771" max="10772" width="9.625" style="148" bestFit="1" customWidth="1"/>
    <col min="10773" max="10774" width="9.625" style="148" customWidth="1"/>
    <col min="10775" max="10775" width="9.25" style="148" bestFit="1" customWidth="1"/>
    <col min="10776" max="10776" width="11" style="148" bestFit="1" customWidth="1"/>
    <col min="10777" max="11009" width="9" style="148"/>
    <col min="11010" max="11010" width="4.625" style="148" bestFit="1" customWidth="1"/>
    <col min="11011" max="11011" width="7.5" style="148" bestFit="1" customWidth="1"/>
    <col min="11012" max="11012" width="6.25" style="148" customWidth="1"/>
    <col min="11013" max="11013" width="11" style="148" bestFit="1" customWidth="1"/>
    <col min="11014" max="11015" width="9.625" style="148" bestFit="1" customWidth="1"/>
    <col min="11016" max="11016" width="8.25" style="148" bestFit="1" customWidth="1"/>
    <col min="11017" max="11018" width="9.625" style="148" bestFit="1" customWidth="1"/>
    <col min="11019" max="11019" width="8.25" style="148" bestFit="1" customWidth="1"/>
    <col min="11020" max="11021" width="9.625" style="148" bestFit="1" customWidth="1"/>
    <col min="11022" max="11023" width="8.25" style="148" bestFit="1" customWidth="1"/>
    <col min="11024" max="11024" width="11" style="148" bestFit="1" customWidth="1"/>
    <col min="11025" max="11025" width="8" style="148" bestFit="1" customWidth="1"/>
    <col min="11026" max="11026" width="7.75" style="148" bestFit="1" customWidth="1"/>
    <col min="11027" max="11028" width="9.625" style="148" bestFit="1" customWidth="1"/>
    <col min="11029" max="11030" width="9.625" style="148" customWidth="1"/>
    <col min="11031" max="11031" width="9.25" style="148" bestFit="1" customWidth="1"/>
    <col min="11032" max="11032" width="11" style="148" bestFit="1" customWidth="1"/>
    <col min="11033" max="11265" width="9" style="148"/>
    <col min="11266" max="11266" width="4.625" style="148" bestFit="1" customWidth="1"/>
    <col min="11267" max="11267" width="7.5" style="148" bestFit="1" customWidth="1"/>
    <col min="11268" max="11268" width="6.25" style="148" customWidth="1"/>
    <col min="11269" max="11269" width="11" style="148" bestFit="1" customWidth="1"/>
    <col min="11270" max="11271" width="9.625" style="148" bestFit="1" customWidth="1"/>
    <col min="11272" max="11272" width="8.25" style="148" bestFit="1" customWidth="1"/>
    <col min="11273" max="11274" width="9.625" style="148" bestFit="1" customWidth="1"/>
    <col min="11275" max="11275" width="8.25" style="148" bestFit="1" customWidth="1"/>
    <col min="11276" max="11277" width="9.625" style="148" bestFit="1" customWidth="1"/>
    <col min="11278" max="11279" width="8.25" style="148" bestFit="1" customWidth="1"/>
    <col min="11280" max="11280" width="11" style="148" bestFit="1" customWidth="1"/>
    <col min="11281" max="11281" width="8" style="148" bestFit="1" customWidth="1"/>
    <col min="11282" max="11282" width="7.75" style="148" bestFit="1" customWidth="1"/>
    <col min="11283" max="11284" width="9.625" style="148" bestFit="1" customWidth="1"/>
    <col min="11285" max="11286" width="9.625" style="148" customWidth="1"/>
    <col min="11287" max="11287" width="9.25" style="148" bestFit="1" customWidth="1"/>
    <col min="11288" max="11288" width="11" style="148" bestFit="1" customWidth="1"/>
    <col min="11289" max="11521" width="9" style="148"/>
    <col min="11522" max="11522" width="4.625" style="148" bestFit="1" customWidth="1"/>
    <col min="11523" max="11523" width="7.5" style="148" bestFit="1" customWidth="1"/>
    <col min="11524" max="11524" width="6.25" style="148" customWidth="1"/>
    <col min="11525" max="11525" width="11" style="148" bestFit="1" customWidth="1"/>
    <col min="11526" max="11527" width="9.625" style="148" bestFit="1" customWidth="1"/>
    <col min="11528" max="11528" width="8.25" style="148" bestFit="1" customWidth="1"/>
    <col min="11529" max="11530" width="9.625" style="148" bestFit="1" customWidth="1"/>
    <col min="11531" max="11531" width="8.25" style="148" bestFit="1" customWidth="1"/>
    <col min="11532" max="11533" width="9.625" style="148" bestFit="1" customWidth="1"/>
    <col min="11534" max="11535" width="8.25" style="148" bestFit="1" customWidth="1"/>
    <col min="11536" max="11536" width="11" style="148" bestFit="1" customWidth="1"/>
    <col min="11537" max="11537" width="8" style="148" bestFit="1" customWidth="1"/>
    <col min="11538" max="11538" width="7.75" style="148" bestFit="1" customWidth="1"/>
    <col min="11539" max="11540" width="9.625" style="148" bestFit="1" customWidth="1"/>
    <col min="11541" max="11542" width="9.625" style="148" customWidth="1"/>
    <col min="11543" max="11543" width="9.25" style="148" bestFit="1" customWidth="1"/>
    <col min="11544" max="11544" width="11" style="148" bestFit="1" customWidth="1"/>
    <col min="11545" max="11777" width="9" style="148"/>
    <col min="11778" max="11778" width="4.625" style="148" bestFit="1" customWidth="1"/>
    <col min="11779" max="11779" width="7.5" style="148" bestFit="1" customWidth="1"/>
    <col min="11780" max="11780" width="6.25" style="148" customWidth="1"/>
    <col min="11781" max="11781" width="11" style="148" bestFit="1" customWidth="1"/>
    <col min="11782" max="11783" width="9.625" style="148" bestFit="1" customWidth="1"/>
    <col min="11784" max="11784" width="8.25" style="148" bestFit="1" customWidth="1"/>
    <col min="11785" max="11786" width="9.625" style="148" bestFit="1" customWidth="1"/>
    <col min="11787" max="11787" width="8.25" style="148" bestFit="1" customWidth="1"/>
    <col min="11788" max="11789" width="9.625" style="148" bestFit="1" customWidth="1"/>
    <col min="11790" max="11791" width="8.25" style="148" bestFit="1" customWidth="1"/>
    <col min="11792" max="11792" width="11" style="148" bestFit="1" customWidth="1"/>
    <col min="11793" max="11793" width="8" style="148" bestFit="1" customWidth="1"/>
    <col min="11794" max="11794" width="7.75" style="148" bestFit="1" customWidth="1"/>
    <col min="11795" max="11796" width="9.625" style="148" bestFit="1" customWidth="1"/>
    <col min="11797" max="11798" width="9.625" style="148" customWidth="1"/>
    <col min="11799" max="11799" width="9.25" style="148" bestFit="1" customWidth="1"/>
    <col min="11800" max="11800" width="11" style="148" bestFit="1" customWidth="1"/>
    <col min="11801" max="12033" width="9" style="148"/>
    <col min="12034" max="12034" width="4.625" style="148" bestFit="1" customWidth="1"/>
    <col min="12035" max="12035" width="7.5" style="148" bestFit="1" customWidth="1"/>
    <col min="12036" max="12036" width="6.25" style="148" customWidth="1"/>
    <col min="12037" max="12037" width="11" style="148" bestFit="1" customWidth="1"/>
    <col min="12038" max="12039" width="9.625" style="148" bestFit="1" customWidth="1"/>
    <col min="12040" max="12040" width="8.25" style="148" bestFit="1" customWidth="1"/>
    <col min="12041" max="12042" width="9.625" style="148" bestFit="1" customWidth="1"/>
    <col min="12043" max="12043" width="8.25" style="148" bestFit="1" customWidth="1"/>
    <col min="12044" max="12045" width="9.625" style="148" bestFit="1" customWidth="1"/>
    <col min="12046" max="12047" width="8.25" style="148" bestFit="1" customWidth="1"/>
    <col min="12048" max="12048" width="11" style="148" bestFit="1" customWidth="1"/>
    <col min="12049" max="12049" width="8" style="148" bestFit="1" customWidth="1"/>
    <col min="12050" max="12050" width="7.75" style="148" bestFit="1" customWidth="1"/>
    <col min="12051" max="12052" width="9.625" style="148" bestFit="1" customWidth="1"/>
    <col min="12053" max="12054" width="9.625" style="148" customWidth="1"/>
    <col min="12055" max="12055" width="9.25" style="148" bestFit="1" customWidth="1"/>
    <col min="12056" max="12056" width="11" style="148" bestFit="1" customWidth="1"/>
    <col min="12057" max="12289" width="9" style="148"/>
    <col min="12290" max="12290" width="4.625" style="148" bestFit="1" customWidth="1"/>
    <col min="12291" max="12291" width="7.5" style="148" bestFit="1" customWidth="1"/>
    <col min="12292" max="12292" width="6.25" style="148" customWidth="1"/>
    <col min="12293" max="12293" width="11" style="148" bestFit="1" customWidth="1"/>
    <col min="12294" max="12295" width="9.625" style="148" bestFit="1" customWidth="1"/>
    <col min="12296" max="12296" width="8.25" style="148" bestFit="1" customWidth="1"/>
    <col min="12297" max="12298" width="9.625" style="148" bestFit="1" customWidth="1"/>
    <col min="12299" max="12299" width="8.25" style="148" bestFit="1" customWidth="1"/>
    <col min="12300" max="12301" width="9.625" style="148" bestFit="1" customWidth="1"/>
    <col min="12302" max="12303" width="8.25" style="148" bestFit="1" customWidth="1"/>
    <col min="12304" max="12304" width="11" style="148" bestFit="1" customWidth="1"/>
    <col min="12305" max="12305" width="8" style="148" bestFit="1" customWidth="1"/>
    <col min="12306" max="12306" width="7.75" style="148" bestFit="1" customWidth="1"/>
    <col min="12307" max="12308" width="9.625" style="148" bestFit="1" customWidth="1"/>
    <col min="12309" max="12310" width="9.625" style="148" customWidth="1"/>
    <col min="12311" max="12311" width="9.25" style="148" bestFit="1" customWidth="1"/>
    <col min="12312" max="12312" width="11" style="148" bestFit="1" customWidth="1"/>
    <col min="12313" max="12545" width="9" style="148"/>
    <col min="12546" max="12546" width="4.625" style="148" bestFit="1" customWidth="1"/>
    <col min="12547" max="12547" width="7.5" style="148" bestFit="1" customWidth="1"/>
    <col min="12548" max="12548" width="6.25" style="148" customWidth="1"/>
    <col min="12549" max="12549" width="11" style="148" bestFit="1" customWidth="1"/>
    <col min="12550" max="12551" width="9.625" style="148" bestFit="1" customWidth="1"/>
    <col min="12552" max="12552" width="8.25" style="148" bestFit="1" customWidth="1"/>
    <col min="12553" max="12554" width="9.625" style="148" bestFit="1" customWidth="1"/>
    <col min="12555" max="12555" width="8.25" style="148" bestFit="1" customWidth="1"/>
    <col min="12556" max="12557" width="9.625" style="148" bestFit="1" customWidth="1"/>
    <col min="12558" max="12559" width="8.25" style="148" bestFit="1" customWidth="1"/>
    <col min="12560" max="12560" width="11" style="148" bestFit="1" customWidth="1"/>
    <col min="12561" max="12561" width="8" style="148" bestFit="1" customWidth="1"/>
    <col min="12562" max="12562" width="7.75" style="148" bestFit="1" customWidth="1"/>
    <col min="12563" max="12564" width="9.625" style="148" bestFit="1" customWidth="1"/>
    <col min="12565" max="12566" width="9.625" style="148" customWidth="1"/>
    <col min="12567" max="12567" width="9.25" style="148" bestFit="1" customWidth="1"/>
    <col min="12568" max="12568" width="11" style="148" bestFit="1" customWidth="1"/>
    <col min="12569" max="12801" width="9" style="148"/>
    <col min="12802" max="12802" width="4.625" style="148" bestFit="1" customWidth="1"/>
    <col min="12803" max="12803" width="7.5" style="148" bestFit="1" customWidth="1"/>
    <col min="12804" max="12804" width="6.25" style="148" customWidth="1"/>
    <col min="12805" max="12805" width="11" style="148" bestFit="1" customWidth="1"/>
    <col min="12806" max="12807" width="9.625" style="148" bestFit="1" customWidth="1"/>
    <col min="12808" max="12808" width="8.25" style="148" bestFit="1" customWidth="1"/>
    <col min="12809" max="12810" width="9.625" style="148" bestFit="1" customWidth="1"/>
    <col min="12811" max="12811" width="8.25" style="148" bestFit="1" customWidth="1"/>
    <col min="12812" max="12813" width="9.625" style="148" bestFit="1" customWidth="1"/>
    <col min="12814" max="12815" width="8.25" style="148" bestFit="1" customWidth="1"/>
    <col min="12816" max="12816" width="11" style="148" bestFit="1" customWidth="1"/>
    <col min="12817" max="12817" width="8" style="148" bestFit="1" customWidth="1"/>
    <col min="12818" max="12818" width="7.75" style="148" bestFit="1" customWidth="1"/>
    <col min="12819" max="12820" width="9.625" style="148" bestFit="1" customWidth="1"/>
    <col min="12821" max="12822" width="9.625" style="148" customWidth="1"/>
    <col min="12823" max="12823" width="9.25" style="148" bestFit="1" customWidth="1"/>
    <col min="12824" max="12824" width="11" style="148" bestFit="1" customWidth="1"/>
    <col min="12825" max="13057" width="9" style="148"/>
    <col min="13058" max="13058" width="4.625" style="148" bestFit="1" customWidth="1"/>
    <col min="13059" max="13059" width="7.5" style="148" bestFit="1" customWidth="1"/>
    <col min="13060" max="13060" width="6.25" style="148" customWidth="1"/>
    <col min="13061" max="13061" width="11" style="148" bestFit="1" customWidth="1"/>
    <col min="13062" max="13063" width="9.625" style="148" bestFit="1" customWidth="1"/>
    <col min="13064" max="13064" width="8.25" style="148" bestFit="1" customWidth="1"/>
    <col min="13065" max="13066" width="9.625" style="148" bestFit="1" customWidth="1"/>
    <col min="13067" max="13067" width="8.25" style="148" bestFit="1" customWidth="1"/>
    <col min="13068" max="13069" width="9.625" style="148" bestFit="1" customWidth="1"/>
    <col min="13070" max="13071" width="8.25" style="148" bestFit="1" customWidth="1"/>
    <col min="13072" max="13072" width="11" style="148" bestFit="1" customWidth="1"/>
    <col min="13073" max="13073" width="8" style="148" bestFit="1" customWidth="1"/>
    <col min="13074" max="13074" width="7.75" style="148" bestFit="1" customWidth="1"/>
    <col min="13075" max="13076" width="9.625" style="148" bestFit="1" customWidth="1"/>
    <col min="13077" max="13078" width="9.625" style="148" customWidth="1"/>
    <col min="13079" max="13079" width="9.25" style="148" bestFit="1" customWidth="1"/>
    <col min="13080" max="13080" width="11" style="148" bestFit="1" customWidth="1"/>
    <col min="13081" max="13313" width="9" style="148"/>
    <col min="13314" max="13314" width="4.625" style="148" bestFit="1" customWidth="1"/>
    <col min="13315" max="13315" width="7.5" style="148" bestFit="1" customWidth="1"/>
    <col min="13316" max="13316" width="6.25" style="148" customWidth="1"/>
    <col min="13317" max="13317" width="11" style="148" bestFit="1" customWidth="1"/>
    <col min="13318" max="13319" width="9.625" style="148" bestFit="1" customWidth="1"/>
    <col min="13320" max="13320" width="8.25" style="148" bestFit="1" customWidth="1"/>
    <col min="13321" max="13322" width="9.625" style="148" bestFit="1" customWidth="1"/>
    <col min="13323" max="13323" width="8.25" style="148" bestFit="1" customWidth="1"/>
    <col min="13324" max="13325" width="9.625" style="148" bestFit="1" customWidth="1"/>
    <col min="13326" max="13327" width="8.25" style="148" bestFit="1" customWidth="1"/>
    <col min="13328" max="13328" width="11" style="148" bestFit="1" customWidth="1"/>
    <col min="13329" max="13329" width="8" style="148" bestFit="1" customWidth="1"/>
    <col min="13330" max="13330" width="7.75" style="148" bestFit="1" customWidth="1"/>
    <col min="13331" max="13332" width="9.625" style="148" bestFit="1" customWidth="1"/>
    <col min="13333" max="13334" width="9.625" style="148" customWidth="1"/>
    <col min="13335" max="13335" width="9.25" style="148" bestFit="1" customWidth="1"/>
    <col min="13336" max="13336" width="11" style="148" bestFit="1" customWidth="1"/>
    <col min="13337" max="13569" width="9" style="148"/>
    <col min="13570" max="13570" width="4.625" style="148" bestFit="1" customWidth="1"/>
    <col min="13571" max="13571" width="7.5" style="148" bestFit="1" customWidth="1"/>
    <col min="13572" max="13572" width="6.25" style="148" customWidth="1"/>
    <col min="13573" max="13573" width="11" style="148" bestFit="1" customWidth="1"/>
    <col min="13574" max="13575" width="9.625" style="148" bestFit="1" customWidth="1"/>
    <col min="13576" max="13576" width="8.25" style="148" bestFit="1" customWidth="1"/>
    <col min="13577" max="13578" width="9.625" style="148" bestFit="1" customWidth="1"/>
    <col min="13579" max="13579" width="8.25" style="148" bestFit="1" customWidth="1"/>
    <col min="13580" max="13581" width="9.625" style="148" bestFit="1" customWidth="1"/>
    <col min="13582" max="13583" width="8.25" style="148" bestFit="1" customWidth="1"/>
    <col min="13584" max="13584" width="11" style="148" bestFit="1" customWidth="1"/>
    <col min="13585" max="13585" width="8" style="148" bestFit="1" customWidth="1"/>
    <col min="13586" max="13586" width="7.75" style="148" bestFit="1" customWidth="1"/>
    <col min="13587" max="13588" width="9.625" style="148" bestFit="1" customWidth="1"/>
    <col min="13589" max="13590" width="9.625" style="148" customWidth="1"/>
    <col min="13591" max="13591" width="9.25" style="148" bestFit="1" customWidth="1"/>
    <col min="13592" max="13592" width="11" style="148" bestFit="1" customWidth="1"/>
    <col min="13593" max="13825" width="9" style="148"/>
    <col min="13826" max="13826" width="4.625" style="148" bestFit="1" customWidth="1"/>
    <col min="13827" max="13827" width="7.5" style="148" bestFit="1" customWidth="1"/>
    <col min="13828" max="13828" width="6.25" style="148" customWidth="1"/>
    <col min="13829" max="13829" width="11" style="148" bestFit="1" customWidth="1"/>
    <col min="13830" max="13831" width="9.625" style="148" bestFit="1" customWidth="1"/>
    <col min="13832" max="13832" width="8.25" style="148" bestFit="1" customWidth="1"/>
    <col min="13833" max="13834" width="9.625" style="148" bestFit="1" customWidth="1"/>
    <col min="13835" max="13835" width="8.25" style="148" bestFit="1" customWidth="1"/>
    <col min="13836" max="13837" width="9.625" style="148" bestFit="1" customWidth="1"/>
    <col min="13838" max="13839" width="8.25" style="148" bestFit="1" customWidth="1"/>
    <col min="13840" max="13840" width="11" style="148" bestFit="1" customWidth="1"/>
    <col min="13841" max="13841" width="8" style="148" bestFit="1" customWidth="1"/>
    <col min="13842" max="13842" width="7.75" style="148" bestFit="1" customWidth="1"/>
    <col min="13843" max="13844" width="9.625" style="148" bestFit="1" customWidth="1"/>
    <col min="13845" max="13846" width="9.625" style="148" customWidth="1"/>
    <col min="13847" max="13847" width="9.25" style="148" bestFit="1" customWidth="1"/>
    <col min="13848" max="13848" width="11" style="148" bestFit="1" customWidth="1"/>
    <col min="13849" max="14081" width="9" style="148"/>
    <col min="14082" max="14082" width="4.625" style="148" bestFit="1" customWidth="1"/>
    <col min="14083" max="14083" width="7.5" style="148" bestFit="1" customWidth="1"/>
    <col min="14084" max="14084" width="6.25" style="148" customWidth="1"/>
    <col min="14085" max="14085" width="11" style="148" bestFit="1" customWidth="1"/>
    <col min="14086" max="14087" width="9.625" style="148" bestFit="1" customWidth="1"/>
    <col min="14088" max="14088" width="8.25" style="148" bestFit="1" customWidth="1"/>
    <col min="14089" max="14090" width="9.625" style="148" bestFit="1" customWidth="1"/>
    <col min="14091" max="14091" width="8.25" style="148" bestFit="1" customWidth="1"/>
    <col min="14092" max="14093" width="9.625" style="148" bestFit="1" customWidth="1"/>
    <col min="14094" max="14095" width="8.25" style="148" bestFit="1" customWidth="1"/>
    <col min="14096" max="14096" width="11" style="148" bestFit="1" customWidth="1"/>
    <col min="14097" max="14097" width="8" style="148" bestFit="1" customWidth="1"/>
    <col min="14098" max="14098" width="7.75" style="148" bestFit="1" customWidth="1"/>
    <col min="14099" max="14100" width="9.625" style="148" bestFit="1" customWidth="1"/>
    <col min="14101" max="14102" width="9.625" style="148" customWidth="1"/>
    <col min="14103" max="14103" width="9.25" style="148" bestFit="1" customWidth="1"/>
    <col min="14104" max="14104" width="11" style="148" bestFit="1" customWidth="1"/>
    <col min="14105" max="14337" width="9" style="148"/>
    <col min="14338" max="14338" width="4.625" style="148" bestFit="1" customWidth="1"/>
    <col min="14339" max="14339" width="7.5" style="148" bestFit="1" customWidth="1"/>
    <col min="14340" max="14340" width="6.25" style="148" customWidth="1"/>
    <col min="14341" max="14341" width="11" style="148" bestFit="1" customWidth="1"/>
    <col min="14342" max="14343" width="9.625" style="148" bestFit="1" customWidth="1"/>
    <col min="14344" max="14344" width="8.25" style="148" bestFit="1" customWidth="1"/>
    <col min="14345" max="14346" width="9.625" style="148" bestFit="1" customWidth="1"/>
    <col min="14347" max="14347" width="8.25" style="148" bestFit="1" customWidth="1"/>
    <col min="14348" max="14349" width="9.625" style="148" bestFit="1" customWidth="1"/>
    <col min="14350" max="14351" width="8.25" style="148" bestFit="1" customWidth="1"/>
    <col min="14352" max="14352" width="11" style="148" bestFit="1" customWidth="1"/>
    <col min="14353" max="14353" width="8" style="148" bestFit="1" customWidth="1"/>
    <col min="14354" max="14354" width="7.75" style="148" bestFit="1" customWidth="1"/>
    <col min="14355" max="14356" width="9.625" style="148" bestFit="1" customWidth="1"/>
    <col min="14357" max="14358" width="9.625" style="148" customWidth="1"/>
    <col min="14359" max="14359" width="9.25" style="148" bestFit="1" customWidth="1"/>
    <col min="14360" max="14360" width="11" style="148" bestFit="1" customWidth="1"/>
    <col min="14361" max="14593" width="9" style="148"/>
    <col min="14594" max="14594" width="4.625" style="148" bestFit="1" customWidth="1"/>
    <col min="14595" max="14595" width="7.5" style="148" bestFit="1" customWidth="1"/>
    <col min="14596" max="14596" width="6.25" style="148" customWidth="1"/>
    <col min="14597" max="14597" width="11" style="148" bestFit="1" customWidth="1"/>
    <col min="14598" max="14599" width="9.625" style="148" bestFit="1" customWidth="1"/>
    <col min="14600" max="14600" width="8.25" style="148" bestFit="1" customWidth="1"/>
    <col min="14601" max="14602" width="9.625" style="148" bestFit="1" customWidth="1"/>
    <col min="14603" max="14603" width="8.25" style="148" bestFit="1" customWidth="1"/>
    <col min="14604" max="14605" width="9.625" style="148" bestFit="1" customWidth="1"/>
    <col min="14606" max="14607" width="8.25" style="148" bestFit="1" customWidth="1"/>
    <col min="14608" max="14608" width="11" style="148" bestFit="1" customWidth="1"/>
    <col min="14609" max="14609" width="8" style="148" bestFit="1" customWidth="1"/>
    <col min="14610" max="14610" width="7.75" style="148" bestFit="1" customWidth="1"/>
    <col min="14611" max="14612" width="9.625" style="148" bestFit="1" customWidth="1"/>
    <col min="14613" max="14614" width="9.625" style="148" customWidth="1"/>
    <col min="14615" max="14615" width="9.25" style="148" bestFit="1" customWidth="1"/>
    <col min="14616" max="14616" width="11" style="148" bestFit="1" customWidth="1"/>
    <col min="14617" max="14849" width="9" style="148"/>
    <col min="14850" max="14850" width="4.625" style="148" bestFit="1" customWidth="1"/>
    <col min="14851" max="14851" width="7.5" style="148" bestFit="1" customWidth="1"/>
    <col min="14852" max="14852" width="6.25" style="148" customWidth="1"/>
    <col min="14853" max="14853" width="11" style="148" bestFit="1" customWidth="1"/>
    <col min="14854" max="14855" width="9.625" style="148" bestFit="1" customWidth="1"/>
    <col min="14856" max="14856" width="8.25" style="148" bestFit="1" customWidth="1"/>
    <col min="14857" max="14858" width="9.625" style="148" bestFit="1" customWidth="1"/>
    <col min="14859" max="14859" width="8.25" style="148" bestFit="1" customWidth="1"/>
    <col min="14860" max="14861" width="9.625" style="148" bestFit="1" customWidth="1"/>
    <col min="14862" max="14863" width="8.25" style="148" bestFit="1" customWidth="1"/>
    <col min="14864" max="14864" width="11" style="148" bestFit="1" customWidth="1"/>
    <col min="14865" max="14865" width="8" style="148" bestFit="1" customWidth="1"/>
    <col min="14866" max="14866" width="7.75" style="148" bestFit="1" customWidth="1"/>
    <col min="14867" max="14868" width="9.625" style="148" bestFit="1" customWidth="1"/>
    <col min="14869" max="14870" width="9.625" style="148" customWidth="1"/>
    <col min="14871" max="14871" width="9.25" style="148" bestFit="1" customWidth="1"/>
    <col min="14872" max="14872" width="11" style="148" bestFit="1" customWidth="1"/>
    <col min="14873" max="15105" width="9" style="148"/>
    <col min="15106" max="15106" width="4.625" style="148" bestFit="1" customWidth="1"/>
    <col min="15107" max="15107" width="7.5" style="148" bestFit="1" customWidth="1"/>
    <col min="15108" max="15108" width="6.25" style="148" customWidth="1"/>
    <col min="15109" max="15109" width="11" style="148" bestFit="1" customWidth="1"/>
    <col min="15110" max="15111" width="9.625" style="148" bestFit="1" customWidth="1"/>
    <col min="15112" max="15112" width="8.25" style="148" bestFit="1" customWidth="1"/>
    <col min="15113" max="15114" width="9.625" style="148" bestFit="1" customWidth="1"/>
    <col min="15115" max="15115" width="8.25" style="148" bestFit="1" customWidth="1"/>
    <col min="15116" max="15117" width="9.625" style="148" bestFit="1" customWidth="1"/>
    <col min="15118" max="15119" width="8.25" style="148" bestFit="1" customWidth="1"/>
    <col min="15120" max="15120" width="11" style="148" bestFit="1" customWidth="1"/>
    <col min="15121" max="15121" width="8" style="148" bestFit="1" customWidth="1"/>
    <col min="15122" max="15122" width="7.75" style="148" bestFit="1" customWidth="1"/>
    <col min="15123" max="15124" width="9.625" style="148" bestFit="1" customWidth="1"/>
    <col min="15125" max="15126" width="9.625" style="148" customWidth="1"/>
    <col min="15127" max="15127" width="9.25" style="148" bestFit="1" customWidth="1"/>
    <col min="15128" max="15128" width="11" style="148" bestFit="1" customWidth="1"/>
    <col min="15129" max="15361" width="9" style="148"/>
    <col min="15362" max="15362" width="4.625" style="148" bestFit="1" customWidth="1"/>
    <col min="15363" max="15363" width="7.5" style="148" bestFit="1" customWidth="1"/>
    <col min="15364" max="15364" width="6.25" style="148" customWidth="1"/>
    <col min="15365" max="15365" width="11" style="148" bestFit="1" customWidth="1"/>
    <col min="15366" max="15367" width="9.625" style="148" bestFit="1" customWidth="1"/>
    <col min="15368" max="15368" width="8.25" style="148" bestFit="1" customWidth="1"/>
    <col min="15369" max="15370" width="9.625" style="148" bestFit="1" customWidth="1"/>
    <col min="15371" max="15371" width="8.25" style="148" bestFit="1" customWidth="1"/>
    <col min="15372" max="15373" width="9.625" style="148" bestFit="1" customWidth="1"/>
    <col min="15374" max="15375" width="8.25" style="148" bestFit="1" customWidth="1"/>
    <col min="15376" max="15376" width="11" style="148" bestFit="1" customWidth="1"/>
    <col min="15377" max="15377" width="8" style="148" bestFit="1" customWidth="1"/>
    <col min="15378" max="15378" width="7.75" style="148" bestFit="1" customWidth="1"/>
    <col min="15379" max="15380" width="9.625" style="148" bestFit="1" customWidth="1"/>
    <col min="15381" max="15382" width="9.625" style="148" customWidth="1"/>
    <col min="15383" max="15383" width="9.25" style="148" bestFit="1" customWidth="1"/>
    <col min="15384" max="15384" width="11" style="148" bestFit="1" customWidth="1"/>
    <col min="15385" max="15617" width="9" style="148"/>
    <col min="15618" max="15618" width="4.625" style="148" bestFit="1" customWidth="1"/>
    <col min="15619" max="15619" width="7.5" style="148" bestFit="1" customWidth="1"/>
    <col min="15620" max="15620" width="6.25" style="148" customWidth="1"/>
    <col min="15621" max="15621" width="11" style="148" bestFit="1" customWidth="1"/>
    <col min="15622" max="15623" width="9.625" style="148" bestFit="1" customWidth="1"/>
    <col min="15624" max="15624" width="8.25" style="148" bestFit="1" customWidth="1"/>
    <col min="15625" max="15626" width="9.625" style="148" bestFit="1" customWidth="1"/>
    <col min="15627" max="15627" width="8.25" style="148" bestFit="1" customWidth="1"/>
    <col min="15628" max="15629" width="9.625" style="148" bestFit="1" customWidth="1"/>
    <col min="15630" max="15631" width="8.25" style="148" bestFit="1" customWidth="1"/>
    <col min="15632" max="15632" width="11" style="148" bestFit="1" customWidth="1"/>
    <col min="15633" max="15633" width="8" style="148" bestFit="1" customWidth="1"/>
    <col min="15634" max="15634" width="7.75" style="148" bestFit="1" customWidth="1"/>
    <col min="15635" max="15636" width="9.625" style="148" bestFit="1" customWidth="1"/>
    <col min="15637" max="15638" width="9.625" style="148" customWidth="1"/>
    <col min="15639" max="15639" width="9.25" style="148" bestFit="1" customWidth="1"/>
    <col min="15640" max="15640" width="11" style="148" bestFit="1" customWidth="1"/>
    <col min="15641" max="15873" width="9" style="148"/>
    <col min="15874" max="15874" width="4.625" style="148" bestFit="1" customWidth="1"/>
    <col min="15875" max="15875" width="7.5" style="148" bestFit="1" customWidth="1"/>
    <col min="15876" max="15876" width="6.25" style="148" customWidth="1"/>
    <col min="15877" max="15877" width="11" style="148" bestFit="1" customWidth="1"/>
    <col min="15878" max="15879" width="9.625" style="148" bestFit="1" customWidth="1"/>
    <col min="15880" max="15880" width="8.25" style="148" bestFit="1" customWidth="1"/>
    <col min="15881" max="15882" width="9.625" style="148" bestFit="1" customWidth="1"/>
    <col min="15883" max="15883" width="8.25" style="148" bestFit="1" customWidth="1"/>
    <col min="15884" max="15885" width="9.625" style="148" bestFit="1" customWidth="1"/>
    <col min="15886" max="15887" width="8.25" style="148" bestFit="1" customWidth="1"/>
    <col min="15888" max="15888" width="11" style="148" bestFit="1" customWidth="1"/>
    <col min="15889" max="15889" width="8" style="148" bestFit="1" customWidth="1"/>
    <col min="15890" max="15890" width="7.75" style="148" bestFit="1" customWidth="1"/>
    <col min="15891" max="15892" width="9.625" style="148" bestFit="1" customWidth="1"/>
    <col min="15893" max="15894" width="9.625" style="148" customWidth="1"/>
    <col min="15895" max="15895" width="9.25" style="148" bestFit="1" customWidth="1"/>
    <col min="15896" max="15896" width="11" style="148" bestFit="1" customWidth="1"/>
    <col min="15897" max="16129" width="9" style="148"/>
    <col min="16130" max="16130" width="4.625" style="148" bestFit="1" customWidth="1"/>
    <col min="16131" max="16131" width="7.5" style="148" bestFit="1" customWidth="1"/>
    <col min="16132" max="16132" width="6.25" style="148" customWidth="1"/>
    <col min="16133" max="16133" width="11" style="148" bestFit="1" customWidth="1"/>
    <col min="16134" max="16135" width="9.625" style="148" bestFit="1" customWidth="1"/>
    <col min="16136" max="16136" width="8.25" style="148" bestFit="1" customWidth="1"/>
    <col min="16137" max="16138" width="9.625" style="148" bestFit="1" customWidth="1"/>
    <col min="16139" max="16139" width="8.25" style="148" bestFit="1" customWidth="1"/>
    <col min="16140" max="16141" width="9.625" style="148" bestFit="1" customWidth="1"/>
    <col min="16142" max="16143" width="8.25" style="148" bestFit="1" customWidth="1"/>
    <col min="16144" max="16144" width="11" style="148" bestFit="1" customWidth="1"/>
    <col min="16145" max="16145" width="8" style="148" bestFit="1" customWidth="1"/>
    <col min="16146" max="16146" width="7.75" style="148" bestFit="1" customWidth="1"/>
    <col min="16147" max="16148" width="9.625" style="148" bestFit="1" customWidth="1"/>
    <col min="16149" max="16150" width="9.625" style="148" customWidth="1"/>
    <col min="16151" max="16151" width="9.25" style="148" bestFit="1" customWidth="1"/>
    <col min="16152" max="16152" width="11" style="148" bestFit="1" customWidth="1"/>
    <col min="16153" max="16384" width="9" style="148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208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49"/>
      <c r="V4" s="252"/>
      <c r="W4" s="252"/>
      <c r="X4" s="252"/>
    </row>
    <row r="5" spans="2:29" ht="20.25" customHeight="1" x14ac:dyDescent="0.3">
      <c r="B5" s="253" t="s">
        <v>209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50"/>
      <c r="Q5" s="69"/>
      <c r="R5" s="69"/>
      <c r="S5" s="69"/>
      <c r="T5" s="252"/>
      <c r="U5" s="149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5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202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">
        <v>196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198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126">
        <f t="shared" si="8"/>
        <v>99000</v>
      </c>
      <c r="T15" s="95">
        <f t="shared" si="3"/>
        <v>75460</v>
      </c>
      <c r="U15" s="96">
        <f t="shared" si="4"/>
        <v>8690</v>
      </c>
      <c r="V15" s="96">
        <f t="shared" ref="V15:V24" si="10">IFERROR(IF(D15&lt;&gt;"대표이사",ROUNDDOWN((P15-AC15)*고용보험율,-1),0),)</f>
        <v>17600</v>
      </c>
      <c r="W15" s="93">
        <f t="shared" ref="W15:W24" si="11">SUM(Q15:V15)</f>
        <v>229290</v>
      </c>
      <c r="X15" s="97">
        <f t="shared" si="7"/>
        <v>2270710</v>
      </c>
      <c r="Z15" s="98">
        <v>1</v>
      </c>
      <c r="AA15" s="99"/>
      <c r="AC15" s="100">
        <f t="shared" ref="AC15:AC24" si="12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199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2"/>
        <v>300000</v>
      </c>
    </row>
    <row r="17" spans="2:29" ht="20.100000000000001" customHeight="1" x14ac:dyDescent="0.3">
      <c r="B17" s="101">
        <v>9</v>
      </c>
      <c r="C17" s="87" t="s">
        <v>132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24" si="13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4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si="10"/>
        <v>17600</v>
      </c>
      <c r="W17" s="124">
        <f t="shared" si="11"/>
        <v>229290</v>
      </c>
      <c r="X17" s="128">
        <f t="shared" si="7"/>
        <v>2270710</v>
      </c>
      <c r="Z17" s="98">
        <v>1</v>
      </c>
      <c r="AA17" s="99"/>
      <c r="AC17" s="100">
        <f t="shared" si="12"/>
        <v>300000</v>
      </c>
    </row>
    <row r="18" spans="2:29" ht="20.100000000000001" customHeight="1" x14ac:dyDescent="0.3">
      <c r="B18" s="101">
        <v>10</v>
      </c>
      <c r="C18" s="87" t="s">
        <v>200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3"/>
        <v>2500000</v>
      </c>
      <c r="Q18" s="125">
        <f t="shared" si="1"/>
        <v>25950</v>
      </c>
      <c r="R18" s="126">
        <f t="shared" si="2"/>
        <v>2590</v>
      </c>
      <c r="S18" s="126">
        <f t="shared" si="14"/>
        <v>99000</v>
      </c>
      <c r="T18" s="95">
        <f t="shared" si="3"/>
        <v>75460</v>
      </c>
      <c r="U18" s="96">
        <f t="shared" si="4"/>
        <v>8690</v>
      </c>
      <c r="V18" s="127">
        <f t="shared" si="10"/>
        <v>17600</v>
      </c>
      <c r="W18" s="124">
        <f t="shared" si="11"/>
        <v>229290</v>
      </c>
      <c r="X18" s="128">
        <f t="shared" si="7"/>
        <v>2270710</v>
      </c>
      <c r="Z18" s="98">
        <v>1</v>
      </c>
      <c r="AA18" s="99"/>
      <c r="AC18" s="100">
        <f t="shared" si="12"/>
        <v>300000</v>
      </c>
    </row>
    <row r="19" spans="2:29" ht="20.100000000000001" customHeight="1" x14ac:dyDescent="0.3">
      <c r="B19" s="101">
        <v>11</v>
      </c>
      <c r="C19" s="87" t="s">
        <v>213</v>
      </c>
      <c r="D19" s="88" t="s">
        <v>214</v>
      </c>
      <c r="E19" s="89">
        <v>4300000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3"/>
        <v>4700000</v>
      </c>
      <c r="Q19" s="125">
        <v>268770</v>
      </c>
      <c r="R19" s="126">
        <v>26870</v>
      </c>
      <c r="S19" s="126">
        <v>193500</v>
      </c>
      <c r="T19" s="95">
        <v>152430</v>
      </c>
      <c r="U19" s="96">
        <v>19730</v>
      </c>
      <c r="V19" s="127">
        <v>38700</v>
      </c>
      <c r="W19" s="124">
        <v>700000</v>
      </c>
      <c r="X19" s="128">
        <f t="shared" si="7"/>
        <v>4000000</v>
      </c>
      <c r="Z19" s="98">
        <v>1</v>
      </c>
      <c r="AA19" s="99"/>
      <c r="AC19" s="100">
        <f t="shared" si="12"/>
        <v>300000</v>
      </c>
    </row>
    <row r="20" spans="2:29" ht="20.100000000000001" customHeight="1" x14ac:dyDescent="0.3">
      <c r="B20" s="101">
        <v>12</v>
      </c>
      <c r="C20" s="87" t="s">
        <v>203</v>
      </c>
      <c r="D20" s="88" t="s">
        <v>45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ref="P20:P21" si="15">SUM(E20:O20)</f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166</v>
      </c>
      <c r="D21" s="88" t="s">
        <v>45</v>
      </c>
      <c r="E21" s="89">
        <v>700000</v>
      </c>
      <c r="F21" s="102"/>
      <c r="G21" s="102"/>
      <c r="H21" s="102"/>
      <c r="I21" s="102"/>
      <c r="J21" s="103"/>
      <c r="K21" s="103"/>
      <c r="L21" s="103"/>
      <c r="M21" s="103"/>
      <c r="N21" s="89">
        <v>70000</v>
      </c>
      <c r="O21" s="104">
        <v>70000</v>
      </c>
      <c r="P21" s="93">
        <f t="shared" si="15"/>
        <v>840000</v>
      </c>
      <c r="Q21" s="94"/>
      <c r="R21" s="126"/>
      <c r="S21" s="126"/>
      <c r="T21" s="95"/>
      <c r="U21" s="96"/>
      <c r="V21" s="127"/>
      <c r="W21" s="124">
        <f>SUM(Q21:V21)</f>
        <v>0</v>
      </c>
      <c r="X21" s="97">
        <f t="shared" si="7"/>
        <v>840000</v>
      </c>
      <c r="Z21" s="98">
        <v>1</v>
      </c>
      <c r="AA21" s="99"/>
      <c r="AC21" s="100"/>
    </row>
    <row r="22" spans="2:29" ht="20.100000000000001" customHeight="1" x14ac:dyDescent="0.3">
      <c r="B22" s="101">
        <v>14</v>
      </c>
      <c r="C22" s="87" t="s">
        <v>204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si="13"/>
        <v>2500000</v>
      </c>
      <c r="Q22" s="125">
        <f t="shared" si="1"/>
        <v>25950</v>
      </c>
      <c r="R22" s="126">
        <f t="shared" si="2"/>
        <v>2590</v>
      </c>
      <c r="S22" s="126"/>
      <c r="T22" s="95">
        <f t="shared" si="3"/>
        <v>75460</v>
      </c>
      <c r="U22" s="96">
        <f t="shared" si="4"/>
        <v>8690</v>
      </c>
      <c r="V22" s="127">
        <f t="shared" si="10"/>
        <v>17600</v>
      </c>
      <c r="W22" s="124">
        <f t="shared" si="11"/>
        <v>130290</v>
      </c>
      <c r="X22" s="128">
        <f t="shared" si="7"/>
        <v>2369710</v>
      </c>
      <c r="Z22" s="98">
        <v>1</v>
      </c>
      <c r="AA22" s="99"/>
      <c r="AC22" s="100">
        <f t="shared" si="12"/>
        <v>300000</v>
      </c>
    </row>
    <row r="23" spans="2:29" ht="20.100000000000001" customHeight="1" x14ac:dyDescent="0.3">
      <c r="B23" s="101">
        <v>15</v>
      </c>
      <c r="C23" s="87" t="s">
        <v>205</v>
      </c>
      <c r="D23" s="88" t="s">
        <v>194</v>
      </c>
      <c r="E23" s="89">
        <v>2100000</v>
      </c>
      <c r="F23" s="106"/>
      <c r="G23" s="106"/>
      <c r="H23" s="106"/>
      <c r="I23" s="106"/>
      <c r="J23" s="107"/>
      <c r="K23" s="107"/>
      <c r="L23" s="107"/>
      <c r="M23" s="107"/>
      <c r="N23" s="89">
        <v>200000</v>
      </c>
      <c r="O23" s="130">
        <v>200000</v>
      </c>
      <c r="P23" s="124">
        <f t="shared" si="13"/>
        <v>2500000</v>
      </c>
      <c r="Q23" s="94">
        <v>25950</v>
      </c>
      <c r="R23" s="126">
        <f t="shared" si="2"/>
        <v>2590</v>
      </c>
      <c r="S23" s="126">
        <v>99000</v>
      </c>
      <c r="T23" s="95">
        <v>75460</v>
      </c>
      <c r="U23" s="96">
        <f t="shared" si="4"/>
        <v>8690</v>
      </c>
      <c r="V23" s="127">
        <v>17600</v>
      </c>
      <c r="W23" s="124">
        <f>SUM(Q23:V23)</f>
        <v>229290</v>
      </c>
      <c r="X23" s="97">
        <f t="shared" si="7"/>
        <v>2270710</v>
      </c>
      <c r="Z23" s="98">
        <v>1</v>
      </c>
      <c r="AA23" s="99"/>
      <c r="AC23" s="100"/>
    </row>
    <row r="24" spans="2:29" ht="20.100000000000001" customHeight="1" x14ac:dyDescent="0.3">
      <c r="B24" s="101">
        <v>16</v>
      </c>
      <c r="C24" s="87" t="s">
        <v>219</v>
      </c>
      <c r="D24" s="88" t="s">
        <v>222</v>
      </c>
      <c r="E24" s="89">
        <v>1050000</v>
      </c>
      <c r="F24" s="106"/>
      <c r="G24" s="106"/>
      <c r="H24" s="106"/>
      <c r="I24" s="106"/>
      <c r="J24" s="107"/>
      <c r="K24" s="107"/>
      <c r="L24" s="107"/>
      <c r="M24" s="107"/>
      <c r="N24" s="89">
        <v>100000</v>
      </c>
      <c r="O24" s="130">
        <v>100000</v>
      </c>
      <c r="P24" s="124">
        <f t="shared" si="13"/>
        <v>1250000</v>
      </c>
      <c r="Q24" s="125">
        <f t="shared" si="1"/>
        <v>0</v>
      </c>
      <c r="R24" s="126">
        <f t="shared" si="2"/>
        <v>0</v>
      </c>
      <c r="S24" s="126">
        <f t="shared" si="14"/>
        <v>47250</v>
      </c>
      <c r="T24" s="95">
        <f t="shared" si="3"/>
        <v>36010</v>
      </c>
      <c r="U24" s="96">
        <f t="shared" si="4"/>
        <v>4140</v>
      </c>
      <c r="V24" s="127">
        <f t="shared" si="10"/>
        <v>8400</v>
      </c>
      <c r="W24" s="124">
        <f t="shared" si="11"/>
        <v>95800</v>
      </c>
      <c r="X24" s="128">
        <f t="shared" si="7"/>
        <v>1154200</v>
      </c>
      <c r="Z24" s="98">
        <v>1</v>
      </c>
      <c r="AA24" s="99"/>
      <c r="AC24" s="100">
        <f t="shared" si="12"/>
        <v>200000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16">SUM(E9:E24)</f>
        <v>33350000</v>
      </c>
      <c r="F25" s="132">
        <f t="shared" si="16"/>
        <v>0</v>
      </c>
      <c r="G25" s="132">
        <f t="shared" si="16"/>
        <v>0</v>
      </c>
      <c r="H25" s="132">
        <f t="shared" si="16"/>
        <v>0</v>
      </c>
      <c r="I25" s="132">
        <f t="shared" si="16"/>
        <v>0</v>
      </c>
      <c r="J25" s="132">
        <f t="shared" si="16"/>
        <v>0</v>
      </c>
      <c r="K25" s="132">
        <f t="shared" si="16"/>
        <v>0</v>
      </c>
      <c r="L25" s="132">
        <f t="shared" si="16"/>
        <v>0</v>
      </c>
      <c r="M25" s="133">
        <f t="shared" si="16"/>
        <v>0</v>
      </c>
      <c r="N25" s="131">
        <f t="shared" si="16"/>
        <v>2970000</v>
      </c>
      <c r="O25" s="134">
        <f t="shared" si="16"/>
        <v>2970000</v>
      </c>
      <c r="P25" s="135">
        <f t="shared" si="16"/>
        <v>39290000</v>
      </c>
      <c r="Q25" s="131">
        <f t="shared" si="16"/>
        <v>606120</v>
      </c>
      <c r="R25" s="132">
        <f t="shared" si="16"/>
        <v>60540</v>
      </c>
      <c r="S25" s="132">
        <f t="shared" si="16"/>
        <v>1032750</v>
      </c>
      <c r="T25" s="132">
        <f t="shared" si="16"/>
        <v>1169420</v>
      </c>
      <c r="U25" s="133">
        <f t="shared" si="16"/>
        <v>136840</v>
      </c>
      <c r="V25" s="133">
        <f t="shared" si="16"/>
        <v>275900</v>
      </c>
      <c r="W25" s="135">
        <f t="shared" si="16"/>
        <v>3281570</v>
      </c>
      <c r="X25" s="136">
        <f t="shared" si="16"/>
        <v>36008430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215</v>
      </c>
      <c r="D28" s="197" t="s">
        <v>216</v>
      </c>
      <c r="E28" s="198"/>
      <c r="F28" s="204" t="s">
        <v>217</v>
      </c>
      <c r="G28" s="205"/>
      <c r="H28" s="206" t="s">
        <v>218</v>
      </c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 t="s">
        <v>219</v>
      </c>
      <c r="D29" s="197" t="s">
        <v>220</v>
      </c>
      <c r="E29" s="198"/>
      <c r="F29" s="204" t="s">
        <v>221</v>
      </c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 t="s">
        <v>210</v>
      </c>
      <c r="D32" s="227" t="s">
        <v>211</v>
      </c>
      <c r="E32" s="228"/>
      <c r="F32" s="199" t="s">
        <v>212</v>
      </c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6"/>
      <c r="C34" s="122"/>
      <c r="D34" s="209"/>
      <c r="E34" s="210"/>
      <c r="F34" s="211"/>
      <c r="G34" s="212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20.100000000000001" customHeight="1" x14ac:dyDescent="0.3">
      <c r="Q35" s="64"/>
      <c r="R35" s="64"/>
      <c r="S35" s="64"/>
      <c r="T35" s="64"/>
      <c r="U35" s="64"/>
      <c r="V35" s="64"/>
    </row>
    <row r="36" spans="2:22" s="64" customFormat="1" ht="20.100000000000001" customHeight="1" x14ac:dyDescent="0.3">
      <c r="B36" s="148"/>
      <c r="C36" s="148"/>
      <c r="D36" s="148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22" s="64" customFormat="1" ht="20.100000000000001" customHeight="1" x14ac:dyDescent="0.3">
      <c r="B37" s="148"/>
      <c r="C37" s="148"/>
      <c r="D37" s="148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48"/>
      <c r="C38" s="148"/>
      <c r="D38" s="148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48"/>
      <c r="C39" s="148"/>
      <c r="D39" s="148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48"/>
      <c r="C40" s="148"/>
      <c r="D40" s="148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48"/>
      <c r="C41" s="148"/>
      <c r="D41" s="148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48"/>
      <c r="C42" s="148"/>
      <c r="D42" s="148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48"/>
      <c r="C43" s="148"/>
      <c r="D43" s="148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48"/>
      <c r="C44" s="148"/>
      <c r="D44" s="148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48"/>
      <c r="C45" s="148"/>
      <c r="D45" s="148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48"/>
      <c r="C46" s="148"/>
      <c r="D46" s="148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48"/>
      <c r="C47" s="148"/>
      <c r="D47" s="148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48"/>
      <c r="C48" s="148"/>
      <c r="D48" s="148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48"/>
      <c r="C49" s="148"/>
      <c r="D49" s="148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48"/>
      <c r="C50" s="148"/>
      <c r="D50" s="148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48"/>
      <c r="C51" s="148"/>
      <c r="D51" s="148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48"/>
      <c r="C52" s="148"/>
      <c r="D52" s="148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48"/>
      <c r="C53" s="148"/>
      <c r="D53" s="148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48"/>
      <c r="C54" s="148"/>
      <c r="D54" s="148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48"/>
      <c r="C55" s="148"/>
      <c r="D55" s="148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48"/>
      <c r="C56" s="148"/>
      <c r="D56" s="148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48"/>
      <c r="C57" s="148"/>
      <c r="D57" s="148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48"/>
      <c r="C58" s="148"/>
      <c r="D58" s="148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48"/>
      <c r="C59" s="148"/>
      <c r="D59" s="148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48"/>
      <c r="C60" s="148"/>
      <c r="D60" s="148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48"/>
      <c r="C61" s="148"/>
      <c r="D61" s="148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48"/>
      <c r="C62" s="148"/>
      <c r="D62" s="148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48"/>
      <c r="C63" s="148"/>
      <c r="D63" s="148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48"/>
      <c r="C64" s="148"/>
      <c r="D64" s="148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48"/>
      <c r="C65" s="148"/>
      <c r="D65" s="148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48"/>
      <c r="C66" s="148"/>
      <c r="D66" s="148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48"/>
      <c r="C67" s="148"/>
      <c r="D67" s="148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48"/>
      <c r="C68" s="148"/>
      <c r="D68" s="148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48"/>
      <c r="C69" s="148"/>
      <c r="D69" s="148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48"/>
      <c r="C70" s="148"/>
      <c r="D70" s="148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48"/>
      <c r="C71" s="148"/>
      <c r="D71" s="148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48"/>
      <c r="C72" s="148"/>
      <c r="D72" s="148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48"/>
      <c r="C73" s="148"/>
      <c r="D73" s="148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48"/>
      <c r="C74" s="148"/>
      <c r="D74" s="148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48"/>
      <c r="C75" s="148"/>
      <c r="D75" s="148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48"/>
      <c r="C76" s="148"/>
      <c r="D76" s="148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48"/>
      <c r="C77" s="148"/>
      <c r="D77" s="148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48"/>
      <c r="C78" s="148"/>
      <c r="D78" s="148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48"/>
      <c r="C79" s="148"/>
      <c r="D79" s="148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48"/>
      <c r="C80" s="148"/>
      <c r="D80" s="148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48"/>
      <c r="C81" s="148"/>
      <c r="D81" s="148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48"/>
      <c r="C82" s="148"/>
      <c r="D82" s="148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48"/>
      <c r="C83" s="148"/>
      <c r="D83" s="148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48"/>
      <c r="C84" s="148"/>
      <c r="D84" s="148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48"/>
      <c r="C85" s="148"/>
      <c r="D85" s="148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48"/>
      <c r="C86" s="148"/>
      <c r="D86" s="148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48"/>
      <c r="C87" s="148"/>
      <c r="D87" s="148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48"/>
      <c r="C88" s="148"/>
      <c r="D88" s="148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48"/>
      <c r="C89" s="148"/>
      <c r="D89" s="148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48"/>
      <c r="C90" s="148"/>
      <c r="D90" s="148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48"/>
      <c r="C91" s="148"/>
      <c r="D91" s="148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48"/>
      <c r="C92" s="148"/>
      <c r="D92" s="148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48"/>
      <c r="C93" s="148"/>
      <c r="D93" s="148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48"/>
      <c r="C94" s="148"/>
      <c r="D94" s="148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48"/>
      <c r="C95" s="148"/>
      <c r="D95" s="148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48"/>
      <c r="C96" s="148"/>
      <c r="D96" s="148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48"/>
      <c r="C97" s="148"/>
      <c r="D97" s="148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48"/>
      <c r="C98" s="148"/>
      <c r="D98" s="148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48"/>
      <c r="C99" s="148"/>
      <c r="D99" s="148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48"/>
      <c r="C100" s="148"/>
      <c r="D100" s="148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48"/>
      <c r="C101" s="148"/>
      <c r="D101" s="148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48"/>
      <c r="C102" s="148"/>
      <c r="D102" s="148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48"/>
      <c r="C103" s="148"/>
      <c r="D103" s="148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48"/>
      <c r="C104" s="148"/>
      <c r="D104" s="148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48"/>
      <c r="C105" s="148"/>
      <c r="D105" s="148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48"/>
      <c r="C106" s="148"/>
      <c r="D106" s="148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48"/>
      <c r="C107" s="148"/>
      <c r="D107" s="148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48"/>
      <c r="C108" s="148"/>
      <c r="D108" s="148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48"/>
      <c r="C109" s="148"/>
      <c r="D109" s="148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48"/>
      <c r="C110" s="148"/>
      <c r="D110" s="148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48"/>
      <c r="C111" s="148"/>
      <c r="D111" s="148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48"/>
      <c r="C112" s="148"/>
      <c r="D112" s="148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48"/>
      <c r="C113" s="148"/>
      <c r="D113" s="148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48"/>
      <c r="C114" s="148"/>
      <c r="D114" s="148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48"/>
      <c r="C115" s="148"/>
      <c r="D115" s="148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48"/>
      <c r="C116" s="148"/>
      <c r="D116" s="148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48"/>
      <c r="C117" s="148"/>
      <c r="D117" s="148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48"/>
      <c r="C118" s="148"/>
      <c r="D118" s="148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48"/>
      <c r="C119" s="148"/>
      <c r="D119" s="148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48"/>
      <c r="C120" s="148"/>
      <c r="D120" s="148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48"/>
      <c r="C121" s="148"/>
      <c r="D121" s="148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48"/>
      <c r="C122" s="148"/>
      <c r="D122" s="148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48"/>
      <c r="C123" s="148"/>
      <c r="D123" s="148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48"/>
      <c r="C124" s="148"/>
      <c r="D124" s="148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48"/>
      <c r="C125" s="148"/>
      <c r="D125" s="148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48"/>
      <c r="C126" s="148"/>
      <c r="D126" s="148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48"/>
      <c r="C127" s="148"/>
      <c r="D127" s="148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48"/>
      <c r="C128" s="148"/>
      <c r="D128" s="148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48"/>
      <c r="C129" s="148"/>
      <c r="D129" s="148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48"/>
      <c r="C130" s="148"/>
      <c r="D130" s="148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48"/>
      <c r="C131" s="148"/>
      <c r="D131" s="148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48"/>
      <c r="C132" s="148"/>
      <c r="D132" s="148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48"/>
      <c r="C133" s="148"/>
      <c r="D133" s="148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48"/>
      <c r="C134" s="148"/>
      <c r="D134" s="148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48"/>
      <c r="C135" s="148"/>
      <c r="D135" s="148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48"/>
      <c r="C136" s="148"/>
      <c r="D136" s="148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48"/>
      <c r="C137" s="148"/>
      <c r="D137" s="148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48"/>
      <c r="C138" s="148"/>
      <c r="D138" s="148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48"/>
      <c r="C139" s="148"/>
      <c r="D139" s="148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48"/>
      <c r="C140" s="148"/>
      <c r="D140" s="148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48"/>
      <c r="C141" s="148"/>
      <c r="D141" s="148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48"/>
      <c r="C142" s="148"/>
      <c r="D142" s="148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48"/>
      <c r="C143" s="148"/>
      <c r="D143" s="148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48"/>
      <c r="C144" s="148"/>
      <c r="D144" s="148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48"/>
      <c r="C145" s="148"/>
      <c r="D145" s="148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48"/>
      <c r="C146" s="148"/>
      <c r="D146" s="148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48"/>
      <c r="C147" s="148"/>
      <c r="D147" s="148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48"/>
      <c r="C148" s="148"/>
      <c r="D148" s="148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48"/>
      <c r="C149" s="148"/>
      <c r="D149" s="148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48"/>
      <c r="C150" s="148"/>
      <c r="D150" s="148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48"/>
      <c r="C151" s="148"/>
      <c r="D151" s="148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48"/>
      <c r="C152" s="148"/>
      <c r="D152" s="148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48"/>
      <c r="C153" s="148"/>
      <c r="D153" s="148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48"/>
      <c r="C154" s="148"/>
      <c r="D154" s="148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48"/>
      <c r="C155" s="148"/>
      <c r="D155" s="148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48"/>
      <c r="C156" s="148"/>
      <c r="D156" s="148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48"/>
      <c r="C157" s="148"/>
      <c r="D157" s="148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48"/>
      <c r="C158" s="148"/>
      <c r="D158" s="148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48"/>
      <c r="C159" s="148"/>
      <c r="D159" s="148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48"/>
      <c r="C160" s="148"/>
      <c r="D160" s="148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48"/>
      <c r="C161" s="148"/>
      <c r="D161" s="148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48"/>
      <c r="C162" s="148"/>
      <c r="D162" s="148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48"/>
      <c r="C163" s="148"/>
      <c r="D163" s="148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48"/>
      <c r="C164" s="148"/>
      <c r="D164" s="148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48"/>
      <c r="C165" s="148"/>
      <c r="D165" s="148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48"/>
      <c r="C166" s="148"/>
      <c r="D166" s="148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48"/>
      <c r="C167" s="148"/>
      <c r="D167" s="148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48"/>
      <c r="C168" s="148"/>
      <c r="D168" s="148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48"/>
      <c r="C169" s="148"/>
      <c r="D169" s="148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48"/>
      <c r="C170" s="148"/>
      <c r="D170" s="148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48"/>
      <c r="C171" s="148"/>
      <c r="D171" s="148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48"/>
      <c r="C172" s="148"/>
      <c r="D172" s="148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48"/>
      <c r="C173" s="148"/>
      <c r="D173" s="148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48"/>
      <c r="C174" s="148"/>
      <c r="D174" s="148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48"/>
      <c r="C175" s="148"/>
      <c r="D175" s="148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48"/>
      <c r="C176" s="148"/>
      <c r="D176" s="148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48"/>
      <c r="C177" s="148"/>
      <c r="D177" s="148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48"/>
      <c r="C178" s="148"/>
      <c r="D178" s="148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48"/>
      <c r="C179" s="148"/>
      <c r="D179" s="148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48"/>
      <c r="C180" s="148"/>
      <c r="D180" s="148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48"/>
      <c r="C181" s="148"/>
      <c r="D181" s="148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48"/>
      <c r="C182" s="148"/>
      <c r="D182" s="148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48"/>
      <c r="C183" s="148"/>
      <c r="D183" s="148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48"/>
      <c r="C184" s="148"/>
      <c r="D184" s="148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48"/>
      <c r="C185" s="148"/>
      <c r="D185" s="148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48"/>
      <c r="C186" s="148"/>
      <c r="D186" s="148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48"/>
      <c r="C187" s="148"/>
      <c r="D187" s="148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48"/>
      <c r="C188" s="148"/>
      <c r="D188" s="148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48"/>
      <c r="C189" s="148"/>
      <c r="D189" s="148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48"/>
      <c r="C190" s="148"/>
      <c r="D190" s="148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48"/>
      <c r="C191" s="148"/>
      <c r="D191" s="148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48"/>
      <c r="C192" s="148"/>
      <c r="D192" s="148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48"/>
      <c r="C193" s="148"/>
      <c r="D193" s="148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48"/>
      <c r="C194" s="148"/>
      <c r="D194" s="148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48"/>
      <c r="C195" s="148"/>
      <c r="D195" s="148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48"/>
      <c r="C196" s="148"/>
      <c r="D196" s="148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48"/>
      <c r="C197" s="148"/>
      <c r="D197" s="148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48"/>
      <c r="C198" s="148"/>
      <c r="D198" s="148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48"/>
      <c r="C199" s="148"/>
      <c r="D199" s="148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48"/>
      <c r="C200" s="148"/>
      <c r="D200" s="148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48"/>
      <c r="C201" s="148"/>
      <c r="D201" s="148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48"/>
      <c r="C202" s="148"/>
      <c r="D202" s="148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48"/>
      <c r="C203" s="148"/>
      <c r="D203" s="148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48"/>
      <c r="C204" s="148"/>
      <c r="D204" s="148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48"/>
      <c r="C205" s="148"/>
      <c r="D205" s="148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48"/>
      <c r="C206" s="148"/>
      <c r="D206" s="148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48"/>
      <c r="C207" s="148"/>
      <c r="D207" s="148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48"/>
      <c r="C208" s="148"/>
      <c r="D208" s="148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48"/>
      <c r="C209" s="148"/>
      <c r="D209" s="148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48"/>
      <c r="C210" s="148"/>
      <c r="D210" s="148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48"/>
      <c r="C211" s="148"/>
      <c r="D211" s="148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48"/>
      <c r="C212" s="148"/>
      <c r="D212" s="148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48"/>
      <c r="C213" s="148"/>
      <c r="D213" s="148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48"/>
      <c r="C214" s="148"/>
      <c r="D214" s="148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48"/>
      <c r="C215" s="148"/>
      <c r="D215" s="148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48"/>
      <c r="C216" s="148"/>
      <c r="D216" s="148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48"/>
      <c r="C217" s="148"/>
      <c r="D217" s="148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48"/>
      <c r="C218" s="148"/>
      <c r="D218" s="148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48"/>
      <c r="C219" s="148"/>
      <c r="D219" s="148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48"/>
      <c r="C220" s="148"/>
      <c r="D220" s="148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48"/>
      <c r="C221" s="148"/>
      <c r="D221" s="148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48"/>
      <c r="C222" s="148"/>
      <c r="D222" s="148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48"/>
      <c r="C223" s="148"/>
      <c r="D223" s="148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48"/>
      <c r="C224" s="148"/>
      <c r="D224" s="148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48"/>
      <c r="C225" s="148"/>
      <c r="D225" s="148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48"/>
      <c r="C226" s="148"/>
      <c r="D226" s="148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48"/>
      <c r="C227" s="148"/>
      <c r="D227" s="148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48"/>
      <c r="C228" s="148"/>
      <c r="D228" s="148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48"/>
      <c r="C229" s="148"/>
      <c r="D229" s="148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48"/>
      <c r="C230" s="148"/>
      <c r="D230" s="148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48"/>
      <c r="C231" s="148"/>
      <c r="D231" s="148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48"/>
      <c r="C232" s="148"/>
      <c r="D232" s="148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48"/>
      <c r="C233" s="148"/>
      <c r="D233" s="148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48"/>
      <c r="C234" s="148"/>
      <c r="D234" s="148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48"/>
      <c r="C235" s="148"/>
      <c r="D235" s="148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48"/>
      <c r="C236" s="148"/>
      <c r="D236" s="148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48"/>
      <c r="C237" s="148"/>
      <c r="D237" s="148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48"/>
      <c r="C238" s="148"/>
      <c r="D238" s="148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48"/>
      <c r="C239" s="148"/>
      <c r="D239" s="148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48"/>
      <c r="C240" s="148"/>
      <c r="D240" s="148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48"/>
      <c r="C241" s="148"/>
      <c r="D241" s="148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48"/>
      <c r="C242" s="148"/>
      <c r="D242" s="148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48"/>
      <c r="C243" s="148"/>
      <c r="D243" s="148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48"/>
      <c r="C244" s="148"/>
      <c r="D244" s="148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48"/>
      <c r="C245" s="148"/>
      <c r="D245" s="148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48"/>
      <c r="C246" s="148"/>
      <c r="D246" s="148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48"/>
      <c r="C247" s="148"/>
      <c r="D247" s="148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48"/>
      <c r="C248" s="148"/>
      <c r="D248" s="148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48"/>
      <c r="C249" s="148"/>
      <c r="D249" s="148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48"/>
      <c r="C250" s="148"/>
      <c r="D250" s="148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48"/>
      <c r="C251" s="148"/>
      <c r="D251" s="148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48"/>
      <c r="C252" s="148"/>
      <c r="D252" s="148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48"/>
      <c r="C253" s="148"/>
      <c r="D253" s="148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48"/>
      <c r="C254" s="148"/>
      <c r="D254" s="148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48"/>
      <c r="C255" s="148"/>
      <c r="D255" s="148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48"/>
      <c r="C256" s="148"/>
      <c r="D256" s="148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48"/>
      <c r="C257" s="148"/>
      <c r="D257" s="148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48"/>
      <c r="C258" s="148"/>
      <c r="D258" s="148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48"/>
      <c r="C259" s="148"/>
      <c r="D259" s="148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48"/>
      <c r="C260" s="148"/>
      <c r="D260" s="148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48"/>
      <c r="C261" s="148"/>
      <c r="D261" s="148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48"/>
      <c r="C262" s="148"/>
      <c r="D262" s="148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48"/>
      <c r="C263" s="148"/>
      <c r="D263" s="148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48"/>
      <c r="C264" s="148"/>
      <c r="D264" s="148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48"/>
      <c r="C265" s="148"/>
      <c r="D265" s="148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48"/>
      <c r="C266" s="148"/>
      <c r="D266" s="148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48"/>
      <c r="C267" s="148"/>
      <c r="D267" s="148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48"/>
      <c r="C268" s="148"/>
      <c r="D268" s="148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48"/>
      <c r="C269" s="148"/>
      <c r="D269" s="148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48"/>
      <c r="C270" s="148"/>
      <c r="D270" s="148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48"/>
      <c r="C271" s="148"/>
      <c r="D271" s="148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48"/>
      <c r="C272" s="148"/>
      <c r="D272" s="148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48"/>
      <c r="C273" s="148"/>
      <c r="D273" s="148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48"/>
      <c r="C274" s="148"/>
      <c r="D274" s="148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48"/>
      <c r="C275" s="148"/>
      <c r="D275" s="148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48"/>
      <c r="C276" s="148"/>
      <c r="D276" s="148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48"/>
      <c r="C277" s="148"/>
      <c r="D277" s="148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48"/>
      <c r="C278" s="148"/>
      <c r="D278" s="148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48"/>
      <c r="C279" s="148"/>
      <c r="D279" s="148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48"/>
      <c r="C280" s="148"/>
      <c r="D280" s="148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48"/>
      <c r="C281" s="148"/>
      <c r="D281" s="148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48"/>
      <c r="C282" s="148"/>
      <c r="D282" s="148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</sheetData>
  <mergeCells count="48">
    <mergeCell ref="X4:X5"/>
    <mergeCell ref="B5:E5"/>
    <mergeCell ref="F5:G5"/>
    <mergeCell ref="B3:E4"/>
    <mergeCell ref="L3:P3"/>
    <mergeCell ref="T4:T5"/>
    <mergeCell ref="V4:V5"/>
    <mergeCell ref="W4:W5"/>
    <mergeCell ref="D30:E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D28:E28"/>
    <mergeCell ref="F28:G28"/>
    <mergeCell ref="H28:P28"/>
    <mergeCell ref="D29:E29"/>
    <mergeCell ref="F29:G29"/>
    <mergeCell ref="H29:P29"/>
    <mergeCell ref="B25:D25"/>
    <mergeCell ref="B26:X26"/>
    <mergeCell ref="D27:E27"/>
    <mergeCell ref="F27:G27"/>
    <mergeCell ref="H27:P27"/>
    <mergeCell ref="F30:G30"/>
    <mergeCell ref="H30:P30"/>
    <mergeCell ref="B32:B34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1:E31"/>
    <mergeCell ref="F31:G31"/>
    <mergeCell ref="H31:P31"/>
    <mergeCell ref="B28:B3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2"/>
  <sheetViews>
    <sheetView topLeftCell="A7" workbookViewId="0">
      <selection activeCell="R33" sqref="R33"/>
    </sheetView>
  </sheetViews>
  <sheetFormatPr defaultRowHeight="13.5" x14ac:dyDescent="0.3"/>
  <cols>
    <col min="1" max="1" width="1.625" style="151" customWidth="1"/>
    <col min="2" max="2" width="4.625" style="151" bestFit="1" customWidth="1"/>
    <col min="3" max="3" width="7.625" style="151" bestFit="1" customWidth="1"/>
    <col min="4" max="4" width="8" style="151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51" customWidth="1"/>
    <col min="26" max="26" width="8.375" style="151" customWidth="1"/>
    <col min="27" max="27" width="7.25" style="151" customWidth="1"/>
    <col min="28" max="28" width="3.875" style="151" customWidth="1"/>
    <col min="29" max="29" width="0.5" style="151" customWidth="1"/>
    <col min="30" max="257" width="9" style="151"/>
    <col min="258" max="258" width="4.625" style="151" bestFit="1" customWidth="1"/>
    <col min="259" max="259" width="7.5" style="151" bestFit="1" customWidth="1"/>
    <col min="260" max="260" width="6.25" style="151" customWidth="1"/>
    <col min="261" max="261" width="11" style="151" bestFit="1" customWidth="1"/>
    <col min="262" max="263" width="9.625" style="151" bestFit="1" customWidth="1"/>
    <col min="264" max="264" width="8.25" style="151" bestFit="1" customWidth="1"/>
    <col min="265" max="266" width="9.625" style="151" bestFit="1" customWidth="1"/>
    <col min="267" max="267" width="8.25" style="151" bestFit="1" customWidth="1"/>
    <col min="268" max="269" width="9.625" style="151" bestFit="1" customWidth="1"/>
    <col min="270" max="271" width="8.25" style="151" bestFit="1" customWidth="1"/>
    <col min="272" max="272" width="11" style="151" bestFit="1" customWidth="1"/>
    <col min="273" max="273" width="8" style="151" bestFit="1" customWidth="1"/>
    <col min="274" max="274" width="7.75" style="151" bestFit="1" customWidth="1"/>
    <col min="275" max="276" width="9.625" style="151" bestFit="1" customWidth="1"/>
    <col min="277" max="278" width="9.625" style="151" customWidth="1"/>
    <col min="279" max="279" width="9.25" style="151" bestFit="1" customWidth="1"/>
    <col min="280" max="280" width="11" style="151" bestFit="1" customWidth="1"/>
    <col min="281" max="513" width="9" style="151"/>
    <col min="514" max="514" width="4.625" style="151" bestFit="1" customWidth="1"/>
    <col min="515" max="515" width="7.5" style="151" bestFit="1" customWidth="1"/>
    <col min="516" max="516" width="6.25" style="151" customWidth="1"/>
    <col min="517" max="517" width="11" style="151" bestFit="1" customWidth="1"/>
    <col min="518" max="519" width="9.625" style="151" bestFit="1" customWidth="1"/>
    <col min="520" max="520" width="8.25" style="151" bestFit="1" customWidth="1"/>
    <col min="521" max="522" width="9.625" style="151" bestFit="1" customWidth="1"/>
    <col min="523" max="523" width="8.25" style="151" bestFit="1" customWidth="1"/>
    <col min="524" max="525" width="9.625" style="151" bestFit="1" customWidth="1"/>
    <col min="526" max="527" width="8.25" style="151" bestFit="1" customWidth="1"/>
    <col min="528" max="528" width="11" style="151" bestFit="1" customWidth="1"/>
    <col min="529" max="529" width="8" style="151" bestFit="1" customWidth="1"/>
    <col min="530" max="530" width="7.75" style="151" bestFit="1" customWidth="1"/>
    <col min="531" max="532" width="9.625" style="151" bestFit="1" customWidth="1"/>
    <col min="533" max="534" width="9.625" style="151" customWidth="1"/>
    <col min="535" max="535" width="9.25" style="151" bestFit="1" customWidth="1"/>
    <col min="536" max="536" width="11" style="151" bestFit="1" customWidth="1"/>
    <col min="537" max="769" width="9" style="151"/>
    <col min="770" max="770" width="4.625" style="151" bestFit="1" customWidth="1"/>
    <col min="771" max="771" width="7.5" style="151" bestFit="1" customWidth="1"/>
    <col min="772" max="772" width="6.25" style="151" customWidth="1"/>
    <col min="773" max="773" width="11" style="151" bestFit="1" customWidth="1"/>
    <col min="774" max="775" width="9.625" style="151" bestFit="1" customWidth="1"/>
    <col min="776" max="776" width="8.25" style="151" bestFit="1" customWidth="1"/>
    <col min="777" max="778" width="9.625" style="151" bestFit="1" customWidth="1"/>
    <col min="779" max="779" width="8.25" style="151" bestFit="1" customWidth="1"/>
    <col min="780" max="781" width="9.625" style="151" bestFit="1" customWidth="1"/>
    <col min="782" max="783" width="8.25" style="151" bestFit="1" customWidth="1"/>
    <col min="784" max="784" width="11" style="151" bestFit="1" customWidth="1"/>
    <col min="785" max="785" width="8" style="151" bestFit="1" customWidth="1"/>
    <col min="786" max="786" width="7.75" style="151" bestFit="1" customWidth="1"/>
    <col min="787" max="788" width="9.625" style="151" bestFit="1" customWidth="1"/>
    <col min="789" max="790" width="9.625" style="151" customWidth="1"/>
    <col min="791" max="791" width="9.25" style="151" bestFit="1" customWidth="1"/>
    <col min="792" max="792" width="11" style="151" bestFit="1" customWidth="1"/>
    <col min="793" max="1025" width="9" style="151"/>
    <col min="1026" max="1026" width="4.625" style="151" bestFit="1" customWidth="1"/>
    <col min="1027" max="1027" width="7.5" style="151" bestFit="1" customWidth="1"/>
    <col min="1028" max="1028" width="6.25" style="151" customWidth="1"/>
    <col min="1029" max="1029" width="11" style="151" bestFit="1" customWidth="1"/>
    <col min="1030" max="1031" width="9.625" style="151" bestFit="1" customWidth="1"/>
    <col min="1032" max="1032" width="8.25" style="151" bestFit="1" customWidth="1"/>
    <col min="1033" max="1034" width="9.625" style="151" bestFit="1" customWidth="1"/>
    <col min="1035" max="1035" width="8.25" style="151" bestFit="1" customWidth="1"/>
    <col min="1036" max="1037" width="9.625" style="151" bestFit="1" customWidth="1"/>
    <col min="1038" max="1039" width="8.25" style="151" bestFit="1" customWidth="1"/>
    <col min="1040" max="1040" width="11" style="151" bestFit="1" customWidth="1"/>
    <col min="1041" max="1041" width="8" style="151" bestFit="1" customWidth="1"/>
    <col min="1042" max="1042" width="7.75" style="151" bestFit="1" customWidth="1"/>
    <col min="1043" max="1044" width="9.625" style="151" bestFit="1" customWidth="1"/>
    <col min="1045" max="1046" width="9.625" style="151" customWidth="1"/>
    <col min="1047" max="1047" width="9.25" style="151" bestFit="1" customWidth="1"/>
    <col min="1048" max="1048" width="11" style="151" bestFit="1" customWidth="1"/>
    <col min="1049" max="1281" width="9" style="151"/>
    <col min="1282" max="1282" width="4.625" style="151" bestFit="1" customWidth="1"/>
    <col min="1283" max="1283" width="7.5" style="151" bestFit="1" customWidth="1"/>
    <col min="1284" max="1284" width="6.25" style="151" customWidth="1"/>
    <col min="1285" max="1285" width="11" style="151" bestFit="1" customWidth="1"/>
    <col min="1286" max="1287" width="9.625" style="151" bestFit="1" customWidth="1"/>
    <col min="1288" max="1288" width="8.25" style="151" bestFit="1" customWidth="1"/>
    <col min="1289" max="1290" width="9.625" style="151" bestFit="1" customWidth="1"/>
    <col min="1291" max="1291" width="8.25" style="151" bestFit="1" customWidth="1"/>
    <col min="1292" max="1293" width="9.625" style="151" bestFit="1" customWidth="1"/>
    <col min="1294" max="1295" width="8.25" style="151" bestFit="1" customWidth="1"/>
    <col min="1296" max="1296" width="11" style="151" bestFit="1" customWidth="1"/>
    <col min="1297" max="1297" width="8" style="151" bestFit="1" customWidth="1"/>
    <col min="1298" max="1298" width="7.75" style="151" bestFit="1" customWidth="1"/>
    <col min="1299" max="1300" width="9.625" style="151" bestFit="1" customWidth="1"/>
    <col min="1301" max="1302" width="9.625" style="151" customWidth="1"/>
    <col min="1303" max="1303" width="9.25" style="151" bestFit="1" customWidth="1"/>
    <col min="1304" max="1304" width="11" style="151" bestFit="1" customWidth="1"/>
    <col min="1305" max="1537" width="9" style="151"/>
    <col min="1538" max="1538" width="4.625" style="151" bestFit="1" customWidth="1"/>
    <col min="1539" max="1539" width="7.5" style="151" bestFit="1" customWidth="1"/>
    <col min="1540" max="1540" width="6.25" style="151" customWidth="1"/>
    <col min="1541" max="1541" width="11" style="151" bestFit="1" customWidth="1"/>
    <col min="1542" max="1543" width="9.625" style="151" bestFit="1" customWidth="1"/>
    <col min="1544" max="1544" width="8.25" style="151" bestFit="1" customWidth="1"/>
    <col min="1545" max="1546" width="9.625" style="151" bestFit="1" customWidth="1"/>
    <col min="1547" max="1547" width="8.25" style="151" bestFit="1" customWidth="1"/>
    <col min="1548" max="1549" width="9.625" style="151" bestFit="1" customWidth="1"/>
    <col min="1550" max="1551" width="8.25" style="151" bestFit="1" customWidth="1"/>
    <col min="1552" max="1552" width="11" style="151" bestFit="1" customWidth="1"/>
    <col min="1553" max="1553" width="8" style="151" bestFit="1" customWidth="1"/>
    <col min="1554" max="1554" width="7.75" style="151" bestFit="1" customWidth="1"/>
    <col min="1555" max="1556" width="9.625" style="151" bestFit="1" customWidth="1"/>
    <col min="1557" max="1558" width="9.625" style="151" customWidth="1"/>
    <col min="1559" max="1559" width="9.25" style="151" bestFit="1" customWidth="1"/>
    <col min="1560" max="1560" width="11" style="151" bestFit="1" customWidth="1"/>
    <col min="1561" max="1793" width="9" style="151"/>
    <col min="1794" max="1794" width="4.625" style="151" bestFit="1" customWidth="1"/>
    <col min="1795" max="1795" width="7.5" style="151" bestFit="1" customWidth="1"/>
    <col min="1796" max="1796" width="6.25" style="151" customWidth="1"/>
    <col min="1797" max="1797" width="11" style="151" bestFit="1" customWidth="1"/>
    <col min="1798" max="1799" width="9.625" style="151" bestFit="1" customWidth="1"/>
    <col min="1800" max="1800" width="8.25" style="151" bestFit="1" customWidth="1"/>
    <col min="1801" max="1802" width="9.625" style="151" bestFit="1" customWidth="1"/>
    <col min="1803" max="1803" width="8.25" style="151" bestFit="1" customWidth="1"/>
    <col min="1804" max="1805" width="9.625" style="151" bestFit="1" customWidth="1"/>
    <col min="1806" max="1807" width="8.25" style="151" bestFit="1" customWidth="1"/>
    <col min="1808" max="1808" width="11" style="151" bestFit="1" customWidth="1"/>
    <col min="1809" max="1809" width="8" style="151" bestFit="1" customWidth="1"/>
    <col min="1810" max="1810" width="7.75" style="151" bestFit="1" customWidth="1"/>
    <col min="1811" max="1812" width="9.625" style="151" bestFit="1" customWidth="1"/>
    <col min="1813" max="1814" width="9.625" style="151" customWidth="1"/>
    <col min="1815" max="1815" width="9.25" style="151" bestFit="1" customWidth="1"/>
    <col min="1816" max="1816" width="11" style="151" bestFit="1" customWidth="1"/>
    <col min="1817" max="2049" width="9" style="151"/>
    <col min="2050" max="2050" width="4.625" style="151" bestFit="1" customWidth="1"/>
    <col min="2051" max="2051" width="7.5" style="151" bestFit="1" customWidth="1"/>
    <col min="2052" max="2052" width="6.25" style="151" customWidth="1"/>
    <col min="2053" max="2053" width="11" style="151" bestFit="1" customWidth="1"/>
    <col min="2054" max="2055" width="9.625" style="151" bestFit="1" customWidth="1"/>
    <col min="2056" max="2056" width="8.25" style="151" bestFit="1" customWidth="1"/>
    <col min="2057" max="2058" width="9.625" style="151" bestFit="1" customWidth="1"/>
    <col min="2059" max="2059" width="8.25" style="151" bestFit="1" customWidth="1"/>
    <col min="2060" max="2061" width="9.625" style="151" bestFit="1" customWidth="1"/>
    <col min="2062" max="2063" width="8.25" style="151" bestFit="1" customWidth="1"/>
    <col min="2064" max="2064" width="11" style="151" bestFit="1" customWidth="1"/>
    <col min="2065" max="2065" width="8" style="151" bestFit="1" customWidth="1"/>
    <col min="2066" max="2066" width="7.75" style="151" bestFit="1" customWidth="1"/>
    <col min="2067" max="2068" width="9.625" style="151" bestFit="1" customWidth="1"/>
    <col min="2069" max="2070" width="9.625" style="151" customWidth="1"/>
    <col min="2071" max="2071" width="9.25" style="151" bestFit="1" customWidth="1"/>
    <col min="2072" max="2072" width="11" style="151" bestFit="1" customWidth="1"/>
    <col min="2073" max="2305" width="9" style="151"/>
    <col min="2306" max="2306" width="4.625" style="151" bestFit="1" customWidth="1"/>
    <col min="2307" max="2307" width="7.5" style="151" bestFit="1" customWidth="1"/>
    <col min="2308" max="2308" width="6.25" style="151" customWidth="1"/>
    <col min="2309" max="2309" width="11" style="151" bestFit="1" customWidth="1"/>
    <col min="2310" max="2311" width="9.625" style="151" bestFit="1" customWidth="1"/>
    <col min="2312" max="2312" width="8.25" style="151" bestFit="1" customWidth="1"/>
    <col min="2313" max="2314" width="9.625" style="151" bestFit="1" customWidth="1"/>
    <col min="2315" max="2315" width="8.25" style="151" bestFit="1" customWidth="1"/>
    <col min="2316" max="2317" width="9.625" style="151" bestFit="1" customWidth="1"/>
    <col min="2318" max="2319" width="8.25" style="151" bestFit="1" customWidth="1"/>
    <col min="2320" max="2320" width="11" style="151" bestFit="1" customWidth="1"/>
    <col min="2321" max="2321" width="8" style="151" bestFit="1" customWidth="1"/>
    <col min="2322" max="2322" width="7.75" style="151" bestFit="1" customWidth="1"/>
    <col min="2323" max="2324" width="9.625" style="151" bestFit="1" customWidth="1"/>
    <col min="2325" max="2326" width="9.625" style="151" customWidth="1"/>
    <col min="2327" max="2327" width="9.25" style="151" bestFit="1" customWidth="1"/>
    <col min="2328" max="2328" width="11" style="151" bestFit="1" customWidth="1"/>
    <col min="2329" max="2561" width="9" style="151"/>
    <col min="2562" max="2562" width="4.625" style="151" bestFit="1" customWidth="1"/>
    <col min="2563" max="2563" width="7.5" style="151" bestFit="1" customWidth="1"/>
    <col min="2564" max="2564" width="6.25" style="151" customWidth="1"/>
    <col min="2565" max="2565" width="11" style="151" bestFit="1" customWidth="1"/>
    <col min="2566" max="2567" width="9.625" style="151" bestFit="1" customWidth="1"/>
    <col min="2568" max="2568" width="8.25" style="151" bestFit="1" customWidth="1"/>
    <col min="2569" max="2570" width="9.625" style="151" bestFit="1" customWidth="1"/>
    <col min="2571" max="2571" width="8.25" style="151" bestFit="1" customWidth="1"/>
    <col min="2572" max="2573" width="9.625" style="151" bestFit="1" customWidth="1"/>
    <col min="2574" max="2575" width="8.25" style="151" bestFit="1" customWidth="1"/>
    <col min="2576" max="2576" width="11" style="151" bestFit="1" customWidth="1"/>
    <col min="2577" max="2577" width="8" style="151" bestFit="1" customWidth="1"/>
    <col min="2578" max="2578" width="7.75" style="151" bestFit="1" customWidth="1"/>
    <col min="2579" max="2580" width="9.625" style="151" bestFit="1" customWidth="1"/>
    <col min="2581" max="2582" width="9.625" style="151" customWidth="1"/>
    <col min="2583" max="2583" width="9.25" style="151" bestFit="1" customWidth="1"/>
    <col min="2584" max="2584" width="11" style="151" bestFit="1" customWidth="1"/>
    <col min="2585" max="2817" width="9" style="151"/>
    <col min="2818" max="2818" width="4.625" style="151" bestFit="1" customWidth="1"/>
    <col min="2819" max="2819" width="7.5" style="151" bestFit="1" customWidth="1"/>
    <col min="2820" max="2820" width="6.25" style="151" customWidth="1"/>
    <col min="2821" max="2821" width="11" style="151" bestFit="1" customWidth="1"/>
    <col min="2822" max="2823" width="9.625" style="151" bestFit="1" customWidth="1"/>
    <col min="2824" max="2824" width="8.25" style="151" bestFit="1" customWidth="1"/>
    <col min="2825" max="2826" width="9.625" style="151" bestFit="1" customWidth="1"/>
    <col min="2827" max="2827" width="8.25" style="151" bestFit="1" customWidth="1"/>
    <col min="2828" max="2829" width="9.625" style="151" bestFit="1" customWidth="1"/>
    <col min="2830" max="2831" width="8.25" style="151" bestFit="1" customWidth="1"/>
    <col min="2832" max="2832" width="11" style="151" bestFit="1" customWidth="1"/>
    <col min="2833" max="2833" width="8" style="151" bestFit="1" customWidth="1"/>
    <col min="2834" max="2834" width="7.75" style="151" bestFit="1" customWidth="1"/>
    <col min="2835" max="2836" width="9.625" style="151" bestFit="1" customWidth="1"/>
    <col min="2837" max="2838" width="9.625" style="151" customWidth="1"/>
    <col min="2839" max="2839" width="9.25" style="151" bestFit="1" customWidth="1"/>
    <col min="2840" max="2840" width="11" style="151" bestFit="1" customWidth="1"/>
    <col min="2841" max="3073" width="9" style="151"/>
    <col min="3074" max="3074" width="4.625" style="151" bestFit="1" customWidth="1"/>
    <col min="3075" max="3075" width="7.5" style="151" bestFit="1" customWidth="1"/>
    <col min="3076" max="3076" width="6.25" style="151" customWidth="1"/>
    <col min="3077" max="3077" width="11" style="151" bestFit="1" customWidth="1"/>
    <col min="3078" max="3079" width="9.625" style="151" bestFit="1" customWidth="1"/>
    <col min="3080" max="3080" width="8.25" style="151" bestFit="1" customWidth="1"/>
    <col min="3081" max="3082" width="9.625" style="151" bestFit="1" customWidth="1"/>
    <col min="3083" max="3083" width="8.25" style="151" bestFit="1" customWidth="1"/>
    <col min="3084" max="3085" width="9.625" style="151" bestFit="1" customWidth="1"/>
    <col min="3086" max="3087" width="8.25" style="151" bestFit="1" customWidth="1"/>
    <col min="3088" max="3088" width="11" style="151" bestFit="1" customWidth="1"/>
    <col min="3089" max="3089" width="8" style="151" bestFit="1" customWidth="1"/>
    <col min="3090" max="3090" width="7.75" style="151" bestFit="1" customWidth="1"/>
    <col min="3091" max="3092" width="9.625" style="151" bestFit="1" customWidth="1"/>
    <col min="3093" max="3094" width="9.625" style="151" customWidth="1"/>
    <col min="3095" max="3095" width="9.25" style="151" bestFit="1" customWidth="1"/>
    <col min="3096" max="3096" width="11" style="151" bestFit="1" customWidth="1"/>
    <col min="3097" max="3329" width="9" style="151"/>
    <col min="3330" max="3330" width="4.625" style="151" bestFit="1" customWidth="1"/>
    <col min="3331" max="3331" width="7.5" style="151" bestFit="1" customWidth="1"/>
    <col min="3332" max="3332" width="6.25" style="151" customWidth="1"/>
    <col min="3333" max="3333" width="11" style="151" bestFit="1" customWidth="1"/>
    <col min="3334" max="3335" width="9.625" style="151" bestFit="1" customWidth="1"/>
    <col min="3336" max="3336" width="8.25" style="151" bestFit="1" customWidth="1"/>
    <col min="3337" max="3338" width="9.625" style="151" bestFit="1" customWidth="1"/>
    <col min="3339" max="3339" width="8.25" style="151" bestFit="1" customWidth="1"/>
    <col min="3340" max="3341" width="9.625" style="151" bestFit="1" customWidth="1"/>
    <col min="3342" max="3343" width="8.25" style="151" bestFit="1" customWidth="1"/>
    <col min="3344" max="3344" width="11" style="151" bestFit="1" customWidth="1"/>
    <col min="3345" max="3345" width="8" style="151" bestFit="1" customWidth="1"/>
    <col min="3346" max="3346" width="7.75" style="151" bestFit="1" customWidth="1"/>
    <col min="3347" max="3348" width="9.625" style="151" bestFit="1" customWidth="1"/>
    <col min="3349" max="3350" width="9.625" style="151" customWidth="1"/>
    <col min="3351" max="3351" width="9.25" style="151" bestFit="1" customWidth="1"/>
    <col min="3352" max="3352" width="11" style="151" bestFit="1" customWidth="1"/>
    <col min="3353" max="3585" width="9" style="151"/>
    <col min="3586" max="3586" width="4.625" style="151" bestFit="1" customWidth="1"/>
    <col min="3587" max="3587" width="7.5" style="151" bestFit="1" customWidth="1"/>
    <col min="3588" max="3588" width="6.25" style="151" customWidth="1"/>
    <col min="3589" max="3589" width="11" style="151" bestFit="1" customWidth="1"/>
    <col min="3590" max="3591" width="9.625" style="151" bestFit="1" customWidth="1"/>
    <col min="3592" max="3592" width="8.25" style="151" bestFit="1" customWidth="1"/>
    <col min="3593" max="3594" width="9.625" style="151" bestFit="1" customWidth="1"/>
    <col min="3595" max="3595" width="8.25" style="151" bestFit="1" customWidth="1"/>
    <col min="3596" max="3597" width="9.625" style="151" bestFit="1" customWidth="1"/>
    <col min="3598" max="3599" width="8.25" style="151" bestFit="1" customWidth="1"/>
    <col min="3600" max="3600" width="11" style="151" bestFit="1" customWidth="1"/>
    <col min="3601" max="3601" width="8" style="151" bestFit="1" customWidth="1"/>
    <col min="3602" max="3602" width="7.75" style="151" bestFit="1" customWidth="1"/>
    <col min="3603" max="3604" width="9.625" style="151" bestFit="1" customWidth="1"/>
    <col min="3605" max="3606" width="9.625" style="151" customWidth="1"/>
    <col min="3607" max="3607" width="9.25" style="151" bestFit="1" customWidth="1"/>
    <col min="3608" max="3608" width="11" style="151" bestFit="1" customWidth="1"/>
    <col min="3609" max="3841" width="9" style="151"/>
    <col min="3842" max="3842" width="4.625" style="151" bestFit="1" customWidth="1"/>
    <col min="3843" max="3843" width="7.5" style="151" bestFit="1" customWidth="1"/>
    <col min="3844" max="3844" width="6.25" style="151" customWidth="1"/>
    <col min="3845" max="3845" width="11" style="151" bestFit="1" customWidth="1"/>
    <col min="3846" max="3847" width="9.625" style="151" bestFit="1" customWidth="1"/>
    <col min="3848" max="3848" width="8.25" style="151" bestFit="1" customWidth="1"/>
    <col min="3849" max="3850" width="9.625" style="151" bestFit="1" customWidth="1"/>
    <col min="3851" max="3851" width="8.25" style="151" bestFit="1" customWidth="1"/>
    <col min="3852" max="3853" width="9.625" style="151" bestFit="1" customWidth="1"/>
    <col min="3854" max="3855" width="8.25" style="151" bestFit="1" customWidth="1"/>
    <col min="3856" max="3856" width="11" style="151" bestFit="1" customWidth="1"/>
    <col min="3857" max="3857" width="8" style="151" bestFit="1" customWidth="1"/>
    <col min="3858" max="3858" width="7.75" style="151" bestFit="1" customWidth="1"/>
    <col min="3859" max="3860" width="9.625" style="151" bestFit="1" customWidth="1"/>
    <col min="3861" max="3862" width="9.625" style="151" customWidth="1"/>
    <col min="3863" max="3863" width="9.25" style="151" bestFit="1" customWidth="1"/>
    <col min="3864" max="3864" width="11" style="151" bestFit="1" customWidth="1"/>
    <col min="3865" max="4097" width="9" style="151"/>
    <col min="4098" max="4098" width="4.625" style="151" bestFit="1" customWidth="1"/>
    <col min="4099" max="4099" width="7.5" style="151" bestFit="1" customWidth="1"/>
    <col min="4100" max="4100" width="6.25" style="151" customWidth="1"/>
    <col min="4101" max="4101" width="11" style="151" bestFit="1" customWidth="1"/>
    <col min="4102" max="4103" width="9.625" style="151" bestFit="1" customWidth="1"/>
    <col min="4104" max="4104" width="8.25" style="151" bestFit="1" customWidth="1"/>
    <col min="4105" max="4106" width="9.625" style="151" bestFit="1" customWidth="1"/>
    <col min="4107" max="4107" width="8.25" style="151" bestFit="1" customWidth="1"/>
    <col min="4108" max="4109" width="9.625" style="151" bestFit="1" customWidth="1"/>
    <col min="4110" max="4111" width="8.25" style="151" bestFit="1" customWidth="1"/>
    <col min="4112" max="4112" width="11" style="151" bestFit="1" customWidth="1"/>
    <col min="4113" max="4113" width="8" style="151" bestFit="1" customWidth="1"/>
    <col min="4114" max="4114" width="7.75" style="151" bestFit="1" customWidth="1"/>
    <col min="4115" max="4116" width="9.625" style="151" bestFit="1" customWidth="1"/>
    <col min="4117" max="4118" width="9.625" style="151" customWidth="1"/>
    <col min="4119" max="4119" width="9.25" style="151" bestFit="1" customWidth="1"/>
    <col min="4120" max="4120" width="11" style="151" bestFit="1" customWidth="1"/>
    <col min="4121" max="4353" width="9" style="151"/>
    <col min="4354" max="4354" width="4.625" style="151" bestFit="1" customWidth="1"/>
    <col min="4355" max="4355" width="7.5" style="151" bestFit="1" customWidth="1"/>
    <col min="4356" max="4356" width="6.25" style="151" customWidth="1"/>
    <col min="4357" max="4357" width="11" style="151" bestFit="1" customWidth="1"/>
    <col min="4358" max="4359" width="9.625" style="151" bestFit="1" customWidth="1"/>
    <col min="4360" max="4360" width="8.25" style="151" bestFit="1" customWidth="1"/>
    <col min="4361" max="4362" width="9.625" style="151" bestFit="1" customWidth="1"/>
    <col min="4363" max="4363" width="8.25" style="151" bestFit="1" customWidth="1"/>
    <col min="4364" max="4365" width="9.625" style="151" bestFit="1" customWidth="1"/>
    <col min="4366" max="4367" width="8.25" style="151" bestFit="1" customWidth="1"/>
    <col min="4368" max="4368" width="11" style="151" bestFit="1" customWidth="1"/>
    <col min="4369" max="4369" width="8" style="151" bestFit="1" customWidth="1"/>
    <col min="4370" max="4370" width="7.75" style="151" bestFit="1" customWidth="1"/>
    <col min="4371" max="4372" width="9.625" style="151" bestFit="1" customWidth="1"/>
    <col min="4373" max="4374" width="9.625" style="151" customWidth="1"/>
    <col min="4375" max="4375" width="9.25" style="151" bestFit="1" customWidth="1"/>
    <col min="4376" max="4376" width="11" style="151" bestFit="1" customWidth="1"/>
    <col min="4377" max="4609" width="9" style="151"/>
    <col min="4610" max="4610" width="4.625" style="151" bestFit="1" customWidth="1"/>
    <col min="4611" max="4611" width="7.5" style="151" bestFit="1" customWidth="1"/>
    <col min="4612" max="4612" width="6.25" style="151" customWidth="1"/>
    <col min="4613" max="4613" width="11" style="151" bestFit="1" customWidth="1"/>
    <col min="4614" max="4615" width="9.625" style="151" bestFit="1" customWidth="1"/>
    <col min="4616" max="4616" width="8.25" style="151" bestFit="1" customWidth="1"/>
    <col min="4617" max="4618" width="9.625" style="151" bestFit="1" customWidth="1"/>
    <col min="4619" max="4619" width="8.25" style="151" bestFit="1" customWidth="1"/>
    <col min="4620" max="4621" width="9.625" style="151" bestFit="1" customWidth="1"/>
    <col min="4622" max="4623" width="8.25" style="151" bestFit="1" customWidth="1"/>
    <col min="4624" max="4624" width="11" style="151" bestFit="1" customWidth="1"/>
    <col min="4625" max="4625" width="8" style="151" bestFit="1" customWidth="1"/>
    <col min="4626" max="4626" width="7.75" style="151" bestFit="1" customWidth="1"/>
    <col min="4627" max="4628" width="9.625" style="151" bestFit="1" customWidth="1"/>
    <col min="4629" max="4630" width="9.625" style="151" customWidth="1"/>
    <col min="4631" max="4631" width="9.25" style="151" bestFit="1" customWidth="1"/>
    <col min="4632" max="4632" width="11" style="151" bestFit="1" customWidth="1"/>
    <col min="4633" max="4865" width="9" style="151"/>
    <col min="4866" max="4866" width="4.625" style="151" bestFit="1" customWidth="1"/>
    <col min="4867" max="4867" width="7.5" style="151" bestFit="1" customWidth="1"/>
    <col min="4868" max="4868" width="6.25" style="151" customWidth="1"/>
    <col min="4869" max="4869" width="11" style="151" bestFit="1" customWidth="1"/>
    <col min="4870" max="4871" width="9.625" style="151" bestFit="1" customWidth="1"/>
    <col min="4872" max="4872" width="8.25" style="151" bestFit="1" customWidth="1"/>
    <col min="4873" max="4874" width="9.625" style="151" bestFit="1" customWidth="1"/>
    <col min="4875" max="4875" width="8.25" style="151" bestFit="1" customWidth="1"/>
    <col min="4876" max="4877" width="9.625" style="151" bestFit="1" customWidth="1"/>
    <col min="4878" max="4879" width="8.25" style="151" bestFit="1" customWidth="1"/>
    <col min="4880" max="4880" width="11" style="151" bestFit="1" customWidth="1"/>
    <col min="4881" max="4881" width="8" style="151" bestFit="1" customWidth="1"/>
    <col min="4882" max="4882" width="7.75" style="151" bestFit="1" customWidth="1"/>
    <col min="4883" max="4884" width="9.625" style="151" bestFit="1" customWidth="1"/>
    <col min="4885" max="4886" width="9.625" style="151" customWidth="1"/>
    <col min="4887" max="4887" width="9.25" style="151" bestFit="1" customWidth="1"/>
    <col min="4888" max="4888" width="11" style="151" bestFit="1" customWidth="1"/>
    <col min="4889" max="5121" width="9" style="151"/>
    <col min="5122" max="5122" width="4.625" style="151" bestFit="1" customWidth="1"/>
    <col min="5123" max="5123" width="7.5" style="151" bestFit="1" customWidth="1"/>
    <col min="5124" max="5124" width="6.25" style="151" customWidth="1"/>
    <col min="5125" max="5125" width="11" style="151" bestFit="1" customWidth="1"/>
    <col min="5126" max="5127" width="9.625" style="151" bestFit="1" customWidth="1"/>
    <col min="5128" max="5128" width="8.25" style="151" bestFit="1" customWidth="1"/>
    <col min="5129" max="5130" width="9.625" style="151" bestFit="1" customWidth="1"/>
    <col min="5131" max="5131" width="8.25" style="151" bestFit="1" customWidth="1"/>
    <col min="5132" max="5133" width="9.625" style="151" bestFit="1" customWidth="1"/>
    <col min="5134" max="5135" width="8.25" style="151" bestFit="1" customWidth="1"/>
    <col min="5136" max="5136" width="11" style="151" bestFit="1" customWidth="1"/>
    <col min="5137" max="5137" width="8" style="151" bestFit="1" customWidth="1"/>
    <col min="5138" max="5138" width="7.75" style="151" bestFit="1" customWidth="1"/>
    <col min="5139" max="5140" width="9.625" style="151" bestFit="1" customWidth="1"/>
    <col min="5141" max="5142" width="9.625" style="151" customWidth="1"/>
    <col min="5143" max="5143" width="9.25" style="151" bestFit="1" customWidth="1"/>
    <col min="5144" max="5144" width="11" style="151" bestFit="1" customWidth="1"/>
    <col min="5145" max="5377" width="9" style="151"/>
    <col min="5378" max="5378" width="4.625" style="151" bestFit="1" customWidth="1"/>
    <col min="5379" max="5379" width="7.5" style="151" bestFit="1" customWidth="1"/>
    <col min="5380" max="5380" width="6.25" style="151" customWidth="1"/>
    <col min="5381" max="5381" width="11" style="151" bestFit="1" customWidth="1"/>
    <col min="5382" max="5383" width="9.625" style="151" bestFit="1" customWidth="1"/>
    <col min="5384" max="5384" width="8.25" style="151" bestFit="1" customWidth="1"/>
    <col min="5385" max="5386" width="9.625" style="151" bestFit="1" customWidth="1"/>
    <col min="5387" max="5387" width="8.25" style="151" bestFit="1" customWidth="1"/>
    <col min="5388" max="5389" width="9.625" style="151" bestFit="1" customWidth="1"/>
    <col min="5390" max="5391" width="8.25" style="151" bestFit="1" customWidth="1"/>
    <col min="5392" max="5392" width="11" style="151" bestFit="1" customWidth="1"/>
    <col min="5393" max="5393" width="8" style="151" bestFit="1" customWidth="1"/>
    <col min="5394" max="5394" width="7.75" style="151" bestFit="1" customWidth="1"/>
    <col min="5395" max="5396" width="9.625" style="151" bestFit="1" customWidth="1"/>
    <col min="5397" max="5398" width="9.625" style="151" customWidth="1"/>
    <col min="5399" max="5399" width="9.25" style="151" bestFit="1" customWidth="1"/>
    <col min="5400" max="5400" width="11" style="151" bestFit="1" customWidth="1"/>
    <col min="5401" max="5633" width="9" style="151"/>
    <col min="5634" max="5634" width="4.625" style="151" bestFit="1" customWidth="1"/>
    <col min="5635" max="5635" width="7.5" style="151" bestFit="1" customWidth="1"/>
    <col min="5636" max="5636" width="6.25" style="151" customWidth="1"/>
    <col min="5637" max="5637" width="11" style="151" bestFit="1" customWidth="1"/>
    <col min="5638" max="5639" width="9.625" style="151" bestFit="1" customWidth="1"/>
    <col min="5640" max="5640" width="8.25" style="151" bestFit="1" customWidth="1"/>
    <col min="5641" max="5642" width="9.625" style="151" bestFit="1" customWidth="1"/>
    <col min="5643" max="5643" width="8.25" style="151" bestFit="1" customWidth="1"/>
    <col min="5644" max="5645" width="9.625" style="151" bestFit="1" customWidth="1"/>
    <col min="5646" max="5647" width="8.25" style="151" bestFit="1" customWidth="1"/>
    <col min="5648" max="5648" width="11" style="151" bestFit="1" customWidth="1"/>
    <col min="5649" max="5649" width="8" style="151" bestFit="1" customWidth="1"/>
    <col min="5650" max="5650" width="7.75" style="151" bestFit="1" customWidth="1"/>
    <col min="5651" max="5652" width="9.625" style="151" bestFit="1" customWidth="1"/>
    <col min="5653" max="5654" width="9.625" style="151" customWidth="1"/>
    <col min="5655" max="5655" width="9.25" style="151" bestFit="1" customWidth="1"/>
    <col min="5656" max="5656" width="11" style="151" bestFit="1" customWidth="1"/>
    <col min="5657" max="5889" width="9" style="151"/>
    <col min="5890" max="5890" width="4.625" style="151" bestFit="1" customWidth="1"/>
    <col min="5891" max="5891" width="7.5" style="151" bestFit="1" customWidth="1"/>
    <col min="5892" max="5892" width="6.25" style="151" customWidth="1"/>
    <col min="5893" max="5893" width="11" style="151" bestFit="1" customWidth="1"/>
    <col min="5894" max="5895" width="9.625" style="151" bestFit="1" customWidth="1"/>
    <col min="5896" max="5896" width="8.25" style="151" bestFit="1" customWidth="1"/>
    <col min="5897" max="5898" width="9.625" style="151" bestFit="1" customWidth="1"/>
    <col min="5899" max="5899" width="8.25" style="151" bestFit="1" customWidth="1"/>
    <col min="5900" max="5901" width="9.625" style="151" bestFit="1" customWidth="1"/>
    <col min="5902" max="5903" width="8.25" style="151" bestFit="1" customWidth="1"/>
    <col min="5904" max="5904" width="11" style="151" bestFit="1" customWidth="1"/>
    <col min="5905" max="5905" width="8" style="151" bestFit="1" customWidth="1"/>
    <col min="5906" max="5906" width="7.75" style="151" bestFit="1" customWidth="1"/>
    <col min="5907" max="5908" width="9.625" style="151" bestFit="1" customWidth="1"/>
    <col min="5909" max="5910" width="9.625" style="151" customWidth="1"/>
    <col min="5911" max="5911" width="9.25" style="151" bestFit="1" customWidth="1"/>
    <col min="5912" max="5912" width="11" style="151" bestFit="1" customWidth="1"/>
    <col min="5913" max="6145" width="9" style="151"/>
    <col min="6146" max="6146" width="4.625" style="151" bestFit="1" customWidth="1"/>
    <col min="6147" max="6147" width="7.5" style="151" bestFit="1" customWidth="1"/>
    <col min="6148" max="6148" width="6.25" style="151" customWidth="1"/>
    <col min="6149" max="6149" width="11" style="151" bestFit="1" customWidth="1"/>
    <col min="6150" max="6151" width="9.625" style="151" bestFit="1" customWidth="1"/>
    <col min="6152" max="6152" width="8.25" style="151" bestFit="1" customWidth="1"/>
    <col min="6153" max="6154" width="9.625" style="151" bestFit="1" customWidth="1"/>
    <col min="6155" max="6155" width="8.25" style="151" bestFit="1" customWidth="1"/>
    <col min="6156" max="6157" width="9.625" style="151" bestFit="1" customWidth="1"/>
    <col min="6158" max="6159" width="8.25" style="151" bestFit="1" customWidth="1"/>
    <col min="6160" max="6160" width="11" style="151" bestFit="1" customWidth="1"/>
    <col min="6161" max="6161" width="8" style="151" bestFit="1" customWidth="1"/>
    <col min="6162" max="6162" width="7.75" style="151" bestFit="1" customWidth="1"/>
    <col min="6163" max="6164" width="9.625" style="151" bestFit="1" customWidth="1"/>
    <col min="6165" max="6166" width="9.625" style="151" customWidth="1"/>
    <col min="6167" max="6167" width="9.25" style="151" bestFit="1" customWidth="1"/>
    <col min="6168" max="6168" width="11" style="151" bestFit="1" customWidth="1"/>
    <col min="6169" max="6401" width="9" style="151"/>
    <col min="6402" max="6402" width="4.625" style="151" bestFit="1" customWidth="1"/>
    <col min="6403" max="6403" width="7.5" style="151" bestFit="1" customWidth="1"/>
    <col min="6404" max="6404" width="6.25" style="151" customWidth="1"/>
    <col min="6405" max="6405" width="11" style="151" bestFit="1" customWidth="1"/>
    <col min="6406" max="6407" width="9.625" style="151" bestFit="1" customWidth="1"/>
    <col min="6408" max="6408" width="8.25" style="151" bestFit="1" customWidth="1"/>
    <col min="6409" max="6410" width="9.625" style="151" bestFit="1" customWidth="1"/>
    <col min="6411" max="6411" width="8.25" style="151" bestFit="1" customWidth="1"/>
    <col min="6412" max="6413" width="9.625" style="151" bestFit="1" customWidth="1"/>
    <col min="6414" max="6415" width="8.25" style="151" bestFit="1" customWidth="1"/>
    <col min="6416" max="6416" width="11" style="151" bestFit="1" customWidth="1"/>
    <col min="6417" max="6417" width="8" style="151" bestFit="1" customWidth="1"/>
    <col min="6418" max="6418" width="7.75" style="151" bestFit="1" customWidth="1"/>
    <col min="6419" max="6420" width="9.625" style="151" bestFit="1" customWidth="1"/>
    <col min="6421" max="6422" width="9.625" style="151" customWidth="1"/>
    <col min="6423" max="6423" width="9.25" style="151" bestFit="1" customWidth="1"/>
    <col min="6424" max="6424" width="11" style="151" bestFit="1" customWidth="1"/>
    <col min="6425" max="6657" width="9" style="151"/>
    <col min="6658" max="6658" width="4.625" style="151" bestFit="1" customWidth="1"/>
    <col min="6659" max="6659" width="7.5" style="151" bestFit="1" customWidth="1"/>
    <col min="6660" max="6660" width="6.25" style="151" customWidth="1"/>
    <col min="6661" max="6661" width="11" style="151" bestFit="1" customWidth="1"/>
    <col min="6662" max="6663" width="9.625" style="151" bestFit="1" customWidth="1"/>
    <col min="6664" max="6664" width="8.25" style="151" bestFit="1" customWidth="1"/>
    <col min="6665" max="6666" width="9.625" style="151" bestFit="1" customWidth="1"/>
    <col min="6667" max="6667" width="8.25" style="151" bestFit="1" customWidth="1"/>
    <col min="6668" max="6669" width="9.625" style="151" bestFit="1" customWidth="1"/>
    <col min="6670" max="6671" width="8.25" style="151" bestFit="1" customWidth="1"/>
    <col min="6672" max="6672" width="11" style="151" bestFit="1" customWidth="1"/>
    <col min="6673" max="6673" width="8" style="151" bestFit="1" customWidth="1"/>
    <col min="6674" max="6674" width="7.75" style="151" bestFit="1" customWidth="1"/>
    <col min="6675" max="6676" width="9.625" style="151" bestFit="1" customWidth="1"/>
    <col min="6677" max="6678" width="9.625" style="151" customWidth="1"/>
    <col min="6679" max="6679" width="9.25" style="151" bestFit="1" customWidth="1"/>
    <col min="6680" max="6680" width="11" style="151" bestFit="1" customWidth="1"/>
    <col min="6681" max="6913" width="9" style="151"/>
    <col min="6914" max="6914" width="4.625" style="151" bestFit="1" customWidth="1"/>
    <col min="6915" max="6915" width="7.5" style="151" bestFit="1" customWidth="1"/>
    <col min="6916" max="6916" width="6.25" style="151" customWidth="1"/>
    <col min="6917" max="6917" width="11" style="151" bestFit="1" customWidth="1"/>
    <col min="6918" max="6919" width="9.625" style="151" bestFit="1" customWidth="1"/>
    <col min="6920" max="6920" width="8.25" style="151" bestFit="1" customWidth="1"/>
    <col min="6921" max="6922" width="9.625" style="151" bestFit="1" customWidth="1"/>
    <col min="6923" max="6923" width="8.25" style="151" bestFit="1" customWidth="1"/>
    <col min="6924" max="6925" width="9.625" style="151" bestFit="1" customWidth="1"/>
    <col min="6926" max="6927" width="8.25" style="151" bestFit="1" customWidth="1"/>
    <col min="6928" max="6928" width="11" style="151" bestFit="1" customWidth="1"/>
    <col min="6929" max="6929" width="8" style="151" bestFit="1" customWidth="1"/>
    <col min="6930" max="6930" width="7.75" style="151" bestFit="1" customWidth="1"/>
    <col min="6931" max="6932" width="9.625" style="151" bestFit="1" customWidth="1"/>
    <col min="6933" max="6934" width="9.625" style="151" customWidth="1"/>
    <col min="6935" max="6935" width="9.25" style="151" bestFit="1" customWidth="1"/>
    <col min="6936" max="6936" width="11" style="151" bestFit="1" customWidth="1"/>
    <col min="6937" max="7169" width="9" style="151"/>
    <col min="7170" max="7170" width="4.625" style="151" bestFit="1" customWidth="1"/>
    <col min="7171" max="7171" width="7.5" style="151" bestFit="1" customWidth="1"/>
    <col min="7172" max="7172" width="6.25" style="151" customWidth="1"/>
    <col min="7173" max="7173" width="11" style="151" bestFit="1" customWidth="1"/>
    <col min="7174" max="7175" width="9.625" style="151" bestFit="1" customWidth="1"/>
    <col min="7176" max="7176" width="8.25" style="151" bestFit="1" customWidth="1"/>
    <col min="7177" max="7178" width="9.625" style="151" bestFit="1" customWidth="1"/>
    <col min="7179" max="7179" width="8.25" style="151" bestFit="1" customWidth="1"/>
    <col min="7180" max="7181" width="9.625" style="151" bestFit="1" customWidth="1"/>
    <col min="7182" max="7183" width="8.25" style="151" bestFit="1" customWidth="1"/>
    <col min="7184" max="7184" width="11" style="151" bestFit="1" customWidth="1"/>
    <col min="7185" max="7185" width="8" style="151" bestFit="1" customWidth="1"/>
    <col min="7186" max="7186" width="7.75" style="151" bestFit="1" customWidth="1"/>
    <col min="7187" max="7188" width="9.625" style="151" bestFit="1" customWidth="1"/>
    <col min="7189" max="7190" width="9.625" style="151" customWidth="1"/>
    <col min="7191" max="7191" width="9.25" style="151" bestFit="1" customWidth="1"/>
    <col min="7192" max="7192" width="11" style="151" bestFit="1" customWidth="1"/>
    <col min="7193" max="7425" width="9" style="151"/>
    <col min="7426" max="7426" width="4.625" style="151" bestFit="1" customWidth="1"/>
    <col min="7427" max="7427" width="7.5" style="151" bestFit="1" customWidth="1"/>
    <col min="7428" max="7428" width="6.25" style="151" customWidth="1"/>
    <col min="7429" max="7429" width="11" style="151" bestFit="1" customWidth="1"/>
    <col min="7430" max="7431" width="9.625" style="151" bestFit="1" customWidth="1"/>
    <col min="7432" max="7432" width="8.25" style="151" bestFit="1" customWidth="1"/>
    <col min="7433" max="7434" width="9.625" style="151" bestFit="1" customWidth="1"/>
    <col min="7435" max="7435" width="8.25" style="151" bestFit="1" customWidth="1"/>
    <col min="7436" max="7437" width="9.625" style="151" bestFit="1" customWidth="1"/>
    <col min="7438" max="7439" width="8.25" style="151" bestFit="1" customWidth="1"/>
    <col min="7440" max="7440" width="11" style="151" bestFit="1" customWidth="1"/>
    <col min="7441" max="7441" width="8" style="151" bestFit="1" customWidth="1"/>
    <col min="7442" max="7442" width="7.75" style="151" bestFit="1" customWidth="1"/>
    <col min="7443" max="7444" width="9.625" style="151" bestFit="1" customWidth="1"/>
    <col min="7445" max="7446" width="9.625" style="151" customWidth="1"/>
    <col min="7447" max="7447" width="9.25" style="151" bestFit="1" customWidth="1"/>
    <col min="7448" max="7448" width="11" style="151" bestFit="1" customWidth="1"/>
    <col min="7449" max="7681" width="9" style="151"/>
    <col min="7682" max="7682" width="4.625" style="151" bestFit="1" customWidth="1"/>
    <col min="7683" max="7683" width="7.5" style="151" bestFit="1" customWidth="1"/>
    <col min="7684" max="7684" width="6.25" style="151" customWidth="1"/>
    <col min="7685" max="7685" width="11" style="151" bestFit="1" customWidth="1"/>
    <col min="7686" max="7687" width="9.625" style="151" bestFit="1" customWidth="1"/>
    <col min="7688" max="7688" width="8.25" style="151" bestFit="1" customWidth="1"/>
    <col min="7689" max="7690" width="9.625" style="151" bestFit="1" customWidth="1"/>
    <col min="7691" max="7691" width="8.25" style="151" bestFit="1" customWidth="1"/>
    <col min="7692" max="7693" width="9.625" style="151" bestFit="1" customWidth="1"/>
    <col min="7694" max="7695" width="8.25" style="151" bestFit="1" customWidth="1"/>
    <col min="7696" max="7696" width="11" style="151" bestFit="1" customWidth="1"/>
    <col min="7697" max="7697" width="8" style="151" bestFit="1" customWidth="1"/>
    <col min="7698" max="7698" width="7.75" style="151" bestFit="1" customWidth="1"/>
    <col min="7699" max="7700" width="9.625" style="151" bestFit="1" customWidth="1"/>
    <col min="7701" max="7702" width="9.625" style="151" customWidth="1"/>
    <col min="7703" max="7703" width="9.25" style="151" bestFit="1" customWidth="1"/>
    <col min="7704" max="7704" width="11" style="151" bestFit="1" customWidth="1"/>
    <col min="7705" max="7937" width="9" style="151"/>
    <col min="7938" max="7938" width="4.625" style="151" bestFit="1" customWidth="1"/>
    <col min="7939" max="7939" width="7.5" style="151" bestFit="1" customWidth="1"/>
    <col min="7940" max="7940" width="6.25" style="151" customWidth="1"/>
    <col min="7941" max="7941" width="11" style="151" bestFit="1" customWidth="1"/>
    <col min="7942" max="7943" width="9.625" style="151" bestFit="1" customWidth="1"/>
    <col min="7944" max="7944" width="8.25" style="151" bestFit="1" customWidth="1"/>
    <col min="7945" max="7946" width="9.625" style="151" bestFit="1" customWidth="1"/>
    <col min="7947" max="7947" width="8.25" style="151" bestFit="1" customWidth="1"/>
    <col min="7948" max="7949" width="9.625" style="151" bestFit="1" customWidth="1"/>
    <col min="7950" max="7951" width="8.25" style="151" bestFit="1" customWidth="1"/>
    <col min="7952" max="7952" width="11" style="151" bestFit="1" customWidth="1"/>
    <col min="7953" max="7953" width="8" style="151" bestFit="1" customWidth="1"/>
    <col min="7954" max="7954" width="7.75" style="151" bestFit="1" customWidth="1"/>
    <col min="7955" max="7956" width="9.625" style="151" bestFit="1" customWidth="1"/>
    <col min="7957" max="7958" width="9.625" style="151" customWidth="1"/>
    <col min="7959" max="7959" width="9.25" style="151" bestFit="1" customWidth="1"/>
    <col min="7960" max="7960" width="11" style="151" bestFit="1" customWidth="1"/>
    <col min="7961" max="8193" width="9" style="151"/>
    <col min="8194" max="8194" width="4.625" style="151" bestFit="1" customWidth="1"/>
    <col min="8195" max="8195" width="7.5" style="151" bestFit="1" customWidth="1"/>
    <col min="8196" max="8196" width="6.25" style="151" customWidth="1"/>
    <col min="8197" max="8197" width="11" style="151" bestFit="1" customWidth="1"/>
    <col min="8198" max="8199" width="9.625" style="151" bestFit="1" customWidth="1"/>
    <col min="8200" max="8200" width="8.25" style="151" bestFit="1" customWidth="1"/>
    <col min="8201" max="8202" width="9.625" style="151" bestFit="1" customWidth="1"/>
    <col min="8203" max="8203" width="8.25" style="151" bestFit="1" customWidth="1"/>
    <col min="8204" max="8205" width="9.625" style="151" bestFit="1" customWidth="1"/>
    <col min="8206" max="8207" width="8.25" style="151" bestFit="1" customWidth="1"/>
    <col min="8208" max="8208" width="11" style="151" bestFit="1" customWidth="1"/>
    <col min="8209" max="8209" width="8" style="151" bestFit="1" customWidth="1"/>
    <col min="8210" max="8210" width="7.75" style="151" bestFit="1" customWidth="1"/>
    <col min="8211" max="8212" width="9.625" style="151" bestFit="1" customWidth="1"/>
    <col min="8213" max="8214" width="9.625" style="151" customWidth="1"/>
    <col min="8215" max="8215" width="9.25" style="151" bestFit="1" customWidth="1"/>
    <col min="8216" max="8216" width="11" style="151" bestFit="1" customWidth="1"/>
    <col min="8217" max="8449" width="9" style="151"/>
    <col min="8450" max="8450" width="4.625" style="151" bestFit="1" customWidth="1"/>
    <col min="8451" max="8451" width="7.5" style="151" bestFit="1" customWidth="1"/>
    <col min="8452" max="8452" width="6.25" style="151" customWidth="1"/>
    <col min="8453" max="8453" width="11" style="151" bestFit="1" customWidth="1"/>
    <col min="8454" max="8455" width="9.625" style="151" bestFit="1" customWidth="1"/>
    <col min="8456" max="8456" width="8.25" style="151" bestFit="1" customWidth="1"/>
    <col min="8457" max="8458" width="9.625" style="151" bestFit="1" customWidth="1"/>
    <col min="8459" max="8459" width="8.25" style="151" bestFit="1" customWidth="1"/>
    <col min="8460" max="8461" width="9.625" style="151" bestFit="1" customWidth="1"/>
    <col min="8462" max="8463" width="8.25" style="151" bestFit="1" customWidth="1"/>
    <col min="8464" max="8464" width="11" style="151" bestFit="1" customWidth="1"/>
    <col min="8465" max="8465" width="8" style="151" bestFit="1" customWidth="1"/>
    <col min="8466" max="8466" width="7.75" style="151" bestFit="1" customWidth="1"/>
    <col min="8467" max="8468" width="9.625" style="151" bestFit="1" customWidth="1"/>
    <col min="8469" max="8470" width="9.625" style="151" customWidth="1"/>
    <col min="8471" max="8471" width="9.25" style="151" bestFit="1" customWidth="1"/>
    <col min="8472" max="8472" width="11" style="151" bestFit="1" customWidth="1"/>
    <col min="8473" max="8705" width="9" style="151"/>
    <col min="8706" max="8706" width="4.625" style="151" bestFit="1" customWidth="1"/>
    <col min="8707" max="8707" width="7.5" style="151" bestFit="1" customWidth="1"/>
    <col min="8708" max="8708" width="6.25" style="151" customWidth="1"/>
    <col min="8709" max="8709" width="11" style="151" bestFit="1" customWidth="1"/>
    <col min="8710" max="8711" width="9.625" style="151" bestFit="1" customWidth="1"/>
    <col min="8712" max="8712" width="8.25" style="151" bestFit="1" customWidth="1"/>
    <col min="8713" max="8714" width="9.625" style="151" bestFit="1" customWidth="1"/>
    <col min="8715" max="8715" width="8.25" style="151" bestFit="1" customWidth="1"/>
    <col min="8716" max="8717" width="9.625" style="151" bestFit="1" customWidth="1"/>
    <col min="8718" max="8719" width="8.25" style="151" bestFit="1" customWidth="1"/>
    <col min="8720" max="8720" width="11" style="151" bestFit="1" customWidth="1"/>
    <col min="8721" max="8721" width="8" style="151" bestFit="1" customWidth="1"/>
    <col min="8722" max="8722" width="7.75" style="151" bestFit="1" customWidth="1"/>
    <col min="8723" max="8724" width="9.625" style="151" bestFit="1" customWidth="1"/>
    <col min="8725" max="8726" width="9.625" style="151" customWidth="1"/>
    <col min="8727" max="8727" width="9.25" style="151" bestFit="1" customWidth="1"/>
    <col min="8728" max="8728" width="11" style="151" bestFit="1" customWidth="1"/>
    <col min="8729" max="8961" width="9" style="151"/>
    <col min="8962" max="8962" width="4.625" style="151" bestFit="1" customWidth="1"/>
    <col min="8963" max="8963" width="7.5" style="151" bestFit="1" customWidth="1"/>
    <col min="8964" max="8964" width="6.25" style="151" customWidth="1"/>
    <col min="8965" max="8965" width="11" style="151" bestFit="1" customWidth="1"/>
    <col min="8966" max="8967" width="9.625" style="151" bestFit="1" customWidth="1"/>
    <col min="8968" max="8968" width="8.25" style="151" bestFit="1" customWidth="1"/>
    <col min="8969" max="8970" width="9.625" style="151" bestFit="1" customWidth="1"/>
    <col min="8971" max="8971" width="8.25" style="151" bestFit="1" customWidth="1"/>
    <col min="8972" max="8973" width="9.625" style="151" bestFit="1" customWidth="1"/>
    <col min="8974" max="8975" width="8.25" style="151" bestFit="1" customWidth="1"/>
    <col min="8976" max="8976" width="11" style="151" bestFit="1" customWidth="1"/>
    <col min="8977" max="8977" width="8" style="151" bestFit="1" customWidth="1"/>
    <col min="8978" max="8978" width="7.75" style="151" bestFit="1" customWidth="1"/>
    <col min="8979" max="8980" width="9.625" style="151" bestFit="1" customWidth="1"/>
    <col min="8981" max="8982" width="9.625" style="151" customWidth="1"/>
    <col min="8983" max="8983" width="9.25" style="151" bestFit="1" customWidth="1"/>
    <col min="8984" max="8984" width="11" style="151" bestFit="1" customWidth="1"/>
    <col min="8985" max="9217" width="9" style="151"/>
    <col min="9218" max="9218" width="4.625" style="151" bestFit="1" customWidth="1"/>
    <col min="9219" max="9219" width="7.5" style="151" bestFit="1" customWidth="1"/>
    <col min="9220" max="9220" width="6.25" style="151" customWidth="1"/>
    <col min="9221" max="9221" width="11" style="151" bestFit="1" customWidth="1"/>
    <col min="9222" max="9223" width="9.625" style="151" bestFit="1" customWidth="1"/>
    <col min="9224" max="9224" width="8.25" style="151" bestFit="1" customWidth="1"/>
    <col min="9225" max="9226" width="9.625" style="151" bestFit="1" customWidth="1"/>
    <col min="9227" max="9227" width="8.25" style="151" bestFit="1" customWidth="1"/>
    <col min="9228" max="9229" width="9.625" style="151" bestFit="1" customWidth="1"/>
    <col min="9230" max="9231" width="8.25" style="151" bestFit="1" customWidth="1"/>
    <col min="9232" max="9232" width="11" style="151" bestFit="1" customWidth="1"/>
    <col min="9233" max="9233" width="8" style="151" bestFit="1" customWidth="1"/>
    <col min="9234" max="9234" width="7.75" style="151" bestFit="1" customWidth="1"/>
    <col min="9235" max="9236" width="9.625" style="151" bestFit="1" customWidth="1"/>
    <col min="9237" max="9238" width="9.625" style="151" customWidth="1"/>
    <col min="9239" max="9239" width="9.25" style="151" bestFit="1" customWidth="1"/>
    <col min="9240" max="9240" width="11" style="151" bestFit="1" customWidth="1"/>
    <col min="9241" max="9473" width="9" style="151"/>
    <col min="9474" max="9474" width="4.625" style="151" bestFit="1" customWidth="1"/>
    <col min="9475" max="9475" width="7.5" style="151" bestFit="1" customWidth="1"/>
    <col min="9476" max="9476" width="6.25" style="151" customWidth="1"/>
    <col min="9477" max="9477" width="11" style="151" bestFit="1" customWidth="1"/>
    <col min="9478" max="9479" width="9.625" style="151" bestFit="1" customWidth="1"/>
    <col min="9480" max="9480" width="8.25" style="151" bestFit="1" customWidth="1"/>
    <col min="9481" max="9482" width="9.625" style="151" bestFit="1" customWidth="1"/>
    <col min="9483" max="9483" width="8.25" style="151" bestFit="1" customWidth="1"/>
    <col min="9484" max="9485" width="9.625" style="151" bestFit="1" customWidth="1"/>
    <col min="9486" max="9487" width="8.25" style="151" bestFit="1" customWidth="1"/>
    <col min="9488" max="9488" width="11" style="151" bestFit="1" customWidth="1"/>
    <col min="9489" max="9489" width="8" style="151" bestFit="1" customWidth="1"/>
    <col min="9490" max="9490" width="7.75" style="151" bestFit="1" customWidth="1"/>
    <col min="9491" max="9492" width="9.625" style="151" bestFit="1" customWidth="1"/>
    <col min="9493" max="9494" width="9.625" style="151" customWidth="1"/>
    <col min="9495" max="9495" width="9.25" style="151" bestFit="1" customWidth="1"/>
    <col min="9496" max="9496" width="11" style="151" bestFit="1" customWidth="1"/>
    <col min="9497" max="9729" width="9" style="151"/>
    <col min="9730" max="9730" width="4.625" style="151" bestFit="1" customWidth="1"/>
    <col min="9731" max="9731" width="7.5" style="151" bestFit="1" customWidth="1"/>
    <col min="9732" max="9732" width="6.25" style="151" customWidth="1"/>
    <col min="9733" max="9733" width="11" style="151" bestFit="1" customWidth="1"/>
    <col min="9734" max="9735" width="9.625" style="151" bestFit="1" customWidth="1"/>
    <col min="9736" max="9736" width="8.25" style="151" bestFit="1" customWidth="1"/>
    <col min="9737" max="9738" width="9.625" style="151" bestFit="1" customWidth="1"/>
    <col min="9739" max="9739" width="8.25" style="151" bestFit="1" customWidth="1"/>
    <col min="9740" max="9741" width="9.625" style="151" bestFit="1" customWidth="1"/>
    <col min="9742" max="9743" width="8.25" style="151" bestFit="1" customWidth="1"/>
    <col min="9744" max="9744" width="11" style="151" bestFit="1" customWidth="1"/>
    <col min="9745" max="9745" width="8" style="151" bestFit="1" customWidth="1"/>
    <col min="9746" max="9746" width="7.75" style="151" bestFit="1" customWidth="1"/>
    <col min="9747" max="9748" width="9.625" style="151" bestFit="1" customWidth="1"/>
    <col min="9749" max="9750" width="9.625" style="151" customWidth="1"/>
    <col min="9751" max="9751" width="9.25" style="151" bestFit="1" customWidth="1"/>
    <col min="9752" max="9752" width="11" style="151" bestFit="1" customWidth="1"/>
    <col min="9753" max="9985" width="9" style="151"/>
    <col min="9986" max="9986" width="4.625" style="151" bestFit="1" customWidth="1"/>
    <col min="9987" max="9987" width="7.5" style="151" bestFit="1" customWidth="1"/>
    <col min="9988" max="9988" width="6.25" style="151" customWidth="1"/>
    <col min="9989" max="9989" width="11" style="151" bestFit="1" customWidth="1"/>
    <col min="9990" max="9991" width="9.625" style="151" bestFit="1" customWidth="1"/>
    <col min="9992" max="9992" width="8.25" style="151" bestFit="1" customWidth="1"/>
    <col min="9993" max="9994" width="9.625" style="151" bestFit="1" customWidth="1"/>
    <col min="9995" max="9995" width="8.25" style="151" bestFit="1" customWidth="1"/>
    <col min="9996" max="9997" width="9.625" style="151" bestFit="1" customWidth="1"/>
    <col min="9998" max="9999" width="8.25" style="151" bestFit="1" customWidth="1"/>
    <col min="10000" max="10000" width="11" style="151" bestFit="1" customWidth="1"/>
    <col min="10001" max="10001" width="8" style="151" bestFit="1" customWidth="1"/>
    <col min="10002" max="10002" width="7.75" style="151" bestFit="1" customWidth="1"/>
    <col min="10003" max="10004" width="9.625" style="151" bestFit="1" customWidth="1"/>
    <col min="10005" max="10006" width="9.625" style="151" customWidth="1"/>
    <col min="10007" max="10007" width="9.25" style="151" bestFit="1" customWidth="1"/>
    <col min="10008" max="10008" width="11" style="151" bestFit="1" customWidth="1"/>
    <col min="10009" max="10241" width="9" style="151"/>
    <col min="10242" max="10242" width="4.625" style="151" bestFit="1" customWidth="1"/>
    <col min="10243" max="10243" width="7.5" style="151" bestFit="1" customWidth="1"/>
    <col min="10244" max="10244" width="6.25" style="151" customWidth="1"/>
    <col min="10245" max="10245" width="11" style="151" bestFit="1" customWidth="1"/>
    <col min="10246" max="10247" width="9.625" style="151" bestFit="1" customWidth="1"/>
    <col min="10248" max="10248" width="8.25" style="151" bestFit="1" customWidth="1"/>
    <col min="10249" max="10250" width="9.625" style="151" bestFit="1" customWidth="1"/>
    <col min="10251" max="10251" width="8.25" style="151" bestFit="1" customWidth="1"/>
    <col min="10252" max="10253" width="9.625" style="151" bestFit="1" customWidth="1"/>
    <col min="10254" max="10255" width="8.25" style="151" bestFit="1" customWidth="1"/>
    <col min="10256" max="10256" width="11" style="151" bestFit="1" customWidth="1"/>
    <col min="10257" max="10257" width="8" style="151" bestFit="1" customWidth="1"/>
    <col min="10258" max="10258" width="7.75" style="151" bestFit="1" customWidth="1"/>
    <col min="10259" max="10260" width="9.625" style="151" bestFit="1" customWidth="1"/>
    <col min="10261" max="10262" width="9.625" style="151" customWidth="1"/>
    <col min="10263" max="10263" width="9.25" style="151" bestFit="1" customWidth="1"/>
    <col min="10264" max="10264" width="11" style="151" bestFit="1" customWidth="1"/>
    <col min="10265" max="10497" width="9" style="151"/>
    <col min="10498" max="10498" width="4.625" style="151" bestFit="1" customWidth="1"/>
    <col min="10499" max="10499" width="7.5" style="151" bestFit="1" customWidth="1"/>
    <col min="10500" max="10500" width="6.25" style="151" customWidth="1"/>
    <col min="10501" max="10501" width="11" style="151" bestFit="1" customWidth="1"/>
    <col min="10502" max="10503" width="9.625" style="151" bestFit="1" customWidth="1"/>
    <col min="10504" max="10504" width="8.25" style="151" bestFit="1" customWidth="1"/>
    <col min="10505" max="10506" width="9.625" style="151" bestFit="1" customWidth="1"/>
    <col min="10507" max="10507" width="8.25" style="151" bestFit="1" customWidth="1"/>
    <col min="10508" max="10509" width="9.625" style="151" bestFit="1" customWidth="1"/>
    <col min="10510" max="10511" width="8.25" style="151" bestFit="1" customWidth="1"/>
    <col min="10512" max="10512" width="11" style="151" bestFit="1" customWidth="1"/>
    <col min="10513" max="10513" width="8" style="151" bestFit="1" customWidth="1"/>
    <col min="10514" max="10514" width="7.75" style="151" bestFit="1" customWidth="1"/>
    <col min="10515" max="10516" width="9.625" style="151" bestFit="1" customWidth="1"/>
    <col min="10517" max="10518" width="9.625" style="151" customWidth="1"/>
    <col min="10519" max="10519" width="9.25" style="151" bestFit="1" customWidth="1"/>
    <col min="10520" max="10520" width="11" style="151" bestFit="1" customWidth="1"/>
    <col min="10521" max="10753" width="9" style="151"/>
    <col min="10754" max="10754" width="4.625" style="151" bestFit="1" customWidth="1"/>
    <col min="10755" max="10755" width="7.5" style="151" bestFit="1" customWidth="1"/>
    <col min="10756" max="10756" width="6.25" style="151" customWidth="1"/>
    <col min="10757" max="10757" width="11" style="151" bestFit="1" customWidth="1"/>
    <col min="10758" max="10759" width="9.625" style="151" bestFit="1" customWidth="1"/>
    <col min="10760" max="10760" width="8.25" style="151" bestFit="1" customWidth="1"/>
    <col min="10761" max="10762" width="9.625" style="151" bestFit="1" customWidth="1"/>
    <col min="10763" max="10763" width="8.25" style="151" bestFit="1" customWidth="1"/>
    <col min="10764" max="10765" width="9.625" style="151" bestFit="1" customWidth="1"/>
    <col min="10766" max="10767" width="8.25" style="151" bestFit="1" customWidth="1"/>
    <col min="10768" max="10768" width="11" style="151" bestFit="1" customWidth="1"/>
    <col min="10769" max="10769" width="8" style="151" bestFit="1" customWidth="1"/>
    <col min="10770" max="10770" width="7.75" style="151" bestFit="1" customWidth="1"/>
    <col min="10771" max="10772" width="9.625" style="151" bestFit="1" customWidth="1"/>
    <col min="10773" max="10774" width="9.625" style="151" customWidth="1"/>
    <col min="10775" max="10775" width="9.25" style="151" bestFit="1" customWidth="1"/>
    <col min="10776" max="10776" width="11" style="151" bestFit="1" customWidth="1"/>
    <col min="10777" max="11009" width="9" style="151"/>
    <col min="11010" max="11010" width="4.625" style="151" bestFit="1" customWidth="1"/>
    <col min="11011" max="11011" width="7.5" style="151" bestFit="1" customWidth="1"/>
    <col min="11012" max="11012" width="6.25" style="151" customWidth="1"/>
    <col min="11013" max="11013" width="11" style="151" bestFit="1" customWidth="1"/>
    <col min="11014" max="11015" width="9.625" style="151" bestFit="1" customWidth="1"/>
    <col min="11016" max="11016" width="8.25" style="151" bestFit="1" customWidth="1"/>
    <col min="11017" max="11018" width="9.625" style="151" bestFit="1" customWidth="1"/>
    <col min="11019" max="11019" width="8.25" style="151" bestFit="1" customWidth="1"/>
    <col min="11020" max="11021" width="9.625" style="151" bestFit="1" customWidth="1"/>
    <col min="11022" max="11023" width="8.25" style="151" bestFit="1" customWidth="1"/>
    <col min="11024" max="11024" width="11" style="151" bestFit="1" customWidth="1"/>
    <col min="11025" max="11025" width="8" style="151" bestFit="1" customWidth="1"/>
    <col min="11026" max="11026" width="7.75" style="151" bestFit="1" customWidth="1"/>
    <col min="11027" max="11028" width="9.625" style="151" bestFit="1" customWidth="1"/>
    <col min="11029" max="11030" width="9.625" style="151" customWidth="1"/>
    <col min="11031" max="11031" width="9.25" style="151" bestFit="1" customWidth="1"/>
    <col min="11032" max="11032" width="11" style="151" bestFit="1" customWidth="1"/>
    <col min="11033" max="11265" width="9" style="151"/>
    <col min="11266" max="11266" width="4.625" style="151" bestFit="1" customWidth="1"/>
    <col min="11267" max="11267" width="7.5" style="151" bestFit="1" customWidth="1"/>
    <col min="11268" max="11268" width="6.25" style="151" customWidth="1"/>
    <col min="11269" max="11269" width="11" style="151" bestFit="1" customWidth="1"/>
    <col min="11270" max="11271" width="9.625" style="151" bestFit="1" customWidth="1"/>
    <col min="11272" max="11272" width="8.25" style="151" bestFit="1" customWidth="1"/>
    <col min="11273" max="11274" width="9.625" style="151" bestFit="1" customWidth="1"/>
    <col min="11275" max="11275" width="8.25" style="151" bestFit="1" customWidth="1"/>
    <col min="11276" max="11277" width="9.625" style="151" bestFit="1" customWidth="1"/>
    <col min="11278" max="11279" width="8.25" style="151" bestFit="1" customWidth="1"/>
    <col min="11280" max="11280" width="11" style="151" bestFit="1" customWidth="1"/>
    <col min="11281" max="11281" width="8" style="151" bestFit="1" customWidth="1"/>
    <col min="11282" max="11282" width="7.75" style="151" bestFit="1" customWidth="1"/>
    <col min="11283" max="11284" width="9.625" style="151" bestFit="1" customWidth="1"/>
    <col min="11285" max="11286" width="9.625" style="151" customWidth="1"/>
    <col min="11287" max="11287" width="9.25" style="151" bestFit="1" customWidth="1"/>
    <col min="11288" max="11288" width="11" style="151" bestFit="1" customWidth="1"/>
    <col min="11289" max="11521" width="9" style="151"/>
    <col min="11522" max="11522" width="4.625" style="151" bestFit="1" customWidth="1"/>
    <col min="11523" max="11523" width="7.5" style="151" bestFit="1" customWidth="1"/>
    <col min="11524" max="11524" width="6.25" style="151" customWidth="1"/>
    <col min="11525" max="11525" width="11" style="151" bestFit="1" customWidth="1"/>
    <col min="11526" max="11527" width="9.625" style="151" bestFit="1" customWidth="1"/>
    <col min="11528" max="11528" width="8.25" style="151" bestFit="1" customWidth="1"/>
    <col min="11529" max="11530" width="9.625" style="151" bestFit="1" customWidth="1"/>
    <col min="11531" max="11531" width="8.25" style="151" bestFit="1" customWidth="1"/>
    <col min="11532" max="11533" width="9.625" style="151" bestFit="1" customWidth="1"/>
    <col min="11534" max="11535" width="8.25" style="151" bestFit="1" customWidth="1"/>
    <col min="11536" max="11536" width="11" style="151" bestFit="1" customWidth="1"/>
    <col min="11537" max="11537" width="8" style="151" bestFit="1" customWidth="1"/>
    <col min="11538" max="11538" width="7.75" style="151" bestFit="1" customWidth="1"/>
    <col min="11539" max="11540" width="9.625" style="151" bestFit="1" customWidth="1"/>
    <col min="11541" max="11542" width="9.625" style="151" customWidth="1"/>
    <col min="11543" max="11543" width="9.25" style="151" bestFit="1" customWidth="1"/>
    <col min="11544" max="11544" width="11" style="151" bestFit="1" customWidth="1"/>
    <col min="11545" max="11777" width="9" style="151"/>
    <col min="11778" max="11778" width="4.625" style="151" bestFit="1" customWidth="1"/>
    <col min="11779" max="11779" width="7.5" style="151" bestFit="1" customWidth="1"/>
    <col min="11780" max="11780" width="6.25" style="151" customWidth="1"/>
    <col min="11781" max="11781" width="11" style="151" bestFit="1" customWidth="1"/>
    <col min="11782" max="11783" width="9.625" style="151" bestFit="1" customWidth="1"/>
    <col min="11784" max="11784" width="8.25" style="151" bestFit="1" customWidth="1"/>
    <col min="11785" max="11786" width="9.625" style="151" bestFit="1" customWidth="1"/>
    <col min="11787" max="11787" width="8.25" style="151" bestFit="1" customWidth="1"/>
    <col min="11788" max="11789" width="9.625" style="151" bestFit="1" customWidth="1"/>
    <col min="11790" max="11791" width="8.25" style="151" bestFit="1" customWidth="1"/>
    <col min="11792" max="11792" width="11" style="151" bestFit="1" customWidth="1"/>
    <col min="11793" max="11793" width="8" style="151" bestFit="1" customWidth="1"/>
    <col min="11794" max="11794" width="7.75" style="151" bestFit="1" customWidth="1"/>
    <col min="11795" max="11796" width="9.625" style="151" bestFit="1" customWidth="1"/>
    <col min="11797" max="11798" width="9.625" style="151" customWidth="1"/>
    <col min="11799" max="11799" width="9.25" style="151" bestFit="1" customWidth="1"/>
    <col min="11800" max="11800" width="11" style="151" bestFit="1" customWidth="1"/>
    <col min="11801" max="12033" width="9" style="151"/>
    <col min="12034" max="12034" width="4.625" style="151" bestFit="1" customWidth="1"/>
    <col min="12035" max="12035" width="7.5" style="151" bestFit="1" customWidth="1"/>
    <col min="12036" max="12036" width="6.25" style="151" customWidth="1"/>
    <col min="12037" max="12037" width="11" style="151" bestFit="1" customWidth="1"/>
    <col min="12038" max="12039" width="9.625" style="151" bestFit="1" customWidth="1"/>
    <col min="12040" max="12040" width="8.25" style="151" bestFit="1" customWidth="1"/>
    <col min="12041" max="12042" width="9.625" style="151" bestFit="1" customWidth="1"/>
    <col min="12043" max="12043" width="8.25" style="151" bestFit="1" customWidth="1"/>
    <col min="12044" max="12045" width="9.625" style="151" bestFit="1" customWidth="1"/>
    <col min="12046" max="12047" width="8.25" style="151" bestFit="1" customWidth="1"/>
    <col min="12048" max="12048" width="11" style="151" bestFit="1" customWidth="1"/>
    <col min="12049" max="12049" width="8" style="151" bestFit="1" customWidth="1"/>
    <col min="12050" max="12050" width="7.75" style="151" bestFit="1" customWidth="1"/>
    <col min="12051" max="12052" width="9.625" style="151" bestFit="1" customWidth="1"/>
    <col min="12053" max="12054" width="9.625" style="151" customWidth="1"/>
    <col min="12055" max="12055" width="9.25" style="151" bestFit="1" customWidth="1"/>
    <col min="12056" max="12056" width="11" style="151" bestFit="1" customWidth="1"/>
    <col min="12057" max="12289" width="9" style="151"/>
    <col min="12290" max="12290" width="4.625" style="151" bestFit="1" customWidth="1"/>
    <col min="12291" max="12291" width="7.5" style="151" bestFit="1" customWidth="1"/>
    <col min="12292" max="12292" width="6.25" style="151" customWidth="1"/>
    <col min="12293" max="12293" width="11" style="151" bestFit="1" customWidth="1"/>
    <col min="12294" max="12295" width="9.625" style="151" bestFit="1" customWidth="1"/>
    <col min="12296" max="12296" width="8.25" style="151" bestFit="1" customWidth="1"/>
    <col min="12297" max="12298" width="9.625" style="151" bestFit="1" customWidth="1"/>
    <col min="12299" max="12299" width="8.25" style="151" bestFit="1" customWidth="1"/>
    <col min="12300" max="12301" width="9.625" style="151" bestFit="1" customWidth="1"/>
    <col min="12302" max="12303" width="8.25" style="151" bestFit="1" customWidth="1"/>
    <col min="12304" max="12304" width="11" style="151" bestFit="1" customWidth="1"/>
    <col min="12305" max="12305" width="8" style="151" bestFit="1" customWidth="1"/>
    <col min="12306" max="12306" width="7.75" style="151" bestFit="1" customWidth="1"/>
    <col min="12307" max="12308" width="9.625" style="151" bestFit="1" customWidth="1"/>
    <col min="12309" max="12310" width="9.625" style="151" customWidth="1"/>
    <col min="12311" max="12311" width="9.25" style="151" bestFit="1" customWidth="1"/>
    <col min="12312" max="12312" width="11" style="151" bestFit="1" customWidth="1"/>
    <col min="12313" max="12545" width="9" style="151"/>
    <col min="12546" max="12546" width="4.625" style="151" bestFit="1" customWidth="1"/>
    <col min="12547" max="12547" width="7.5" style="151" bestFit="1" customWidth="1"/>
    <col min="12548" max="12548" width="6.25" style="151" customWidth="1"/>
    <col min="12549" max="12549" width="11" style="151" bestFit="1" customWidth="1"/>
    <col min="12550" max="12551" width="9.625" style="151" bestFit="1" customWidth="1"/>
    <col min="12552" max="12552" width="8.25" style="151" bestFit="1" customWidth="1"/>
    <col min="12553" max="12554" width="9.625" style="151" bestFit="1" customWidth="1"/>
    <col min="12555" max="12555" width="8.25" style="151" bestFit="1" customWidth="1"/>
    <col min="12556" max="12557" width="9.625" style="151" bestFit="1" customWidth="1"/>
    <col min="12558" max="12559" width="8.25" style="151" bestFit="1" customWidth="1"/>
    <col min="12560" max="12560" width="11" style="151" bestFit="1" customWidth="1"/>
    <col min="12561" max="12561" width="8" style="151" bestFit="1" customWidth="1"/>
    <col min="12562" max="12562" width="7.75" style="151" bestFit="1" customWidth="1"/>
    <col min="12563" max="12564" width="9.625" style="151" bestFit="1" customWidth="1"/>
    <col min="12565" max="12566" width="9.625" style="151" customWidth="1"/>
    <col min="12567" max="12567" width="9.25" style="151" bestFit="1" customWidth="1"/>
    <col min="12568" max="12568" width="11" style="151" bestFit="1" customWidth="1"/>
    <col min="12569" max="12801" width="9" style="151"/>
    <col min="12802" max="12802" width="4.625" style="151" bestFit="1" customWidth="1"/>
    <col min="12803" max="12803" width="7.5" style="151" bestFit="1" customWidth="1"/>
    <col min="12804" max="12804" width="6.25" style="151" customWidth="1"/>
    <col min="12805" max="12805" width="11" style="151" bestFit="1" customWidth="1"/>
    <col min="12806" max="12807" width="9.625" style="151" bestFit="1" customWidth="1"/>
    <col min="12808" max="12808" width="8.25" style="151" bestFit="1" customWidth="1"/>
    <col min="12809" max="12810" width="9.625" style="151" bestFit="1" customWidth="1"/>
    <col min="12811" max="12811" width="8.25" style="151" bestFit="1" customWidth="1"/>
    <col min="12812" max="12813" width="9.625" style="151" bestFit="1" customWidth="1"/>
    <col min="12814" max="12815" width="8.25" style="151" bestFit="1" customWidth="1"/>
    <col min="12816" max="12816" width="11" style="151" bestFit="1" customWidth="1"/>
    <col min="12817" max="12817" width="8" style="151" bestFit="1" customWidth="1"/>
    <col min="12818" max="12818" width="7.75" style="151" bestFit="1" customWidth="1"/>
    <col min="12819" max="12820" width="9.625" style="151" bestFit="1" customWidth="1"/>
    <col min="12821" max="12822" width="9.625" style="151" customWidth="1"/>
    <col min="12823" max="12823" width="9.25" style="151" bestFit="1" customWidth="1"/>
    <col min="12824" max="12824" width="11" style="151" bestFit="1" customWidth="1"/>
    <col min="12825" max="13057" width="9" style="151"/>
    <col min="13058" max="13058" width="4.625" style="151" bestFit="1" customWidth="1"/>
    <col min="13059" max="13059" width="7.5" style="151" bestFit="1" customWidth="1"/>
    <col min="13060" max="13060" width="6.25" style="151" customWidth="1"/>
    <col min="13061" max="13061" width="11" style="151" bestFit="1" customWidth="1"/>
    <col min="13062" max="13063" width="9.625" style="151" bestFit="1" customWidth="1"/>
    <col min="13064" max="13064" width="8.25" style="151" bestFit="1" customWidth="1"/>
    <col min="13065" max="13066" width="9.625" style="151" bestFit="1" customWidth="1"/>
    <col min="13067" max="13067" width="8.25" style="151" bestFit="1" customWidth="1"/>
    <col min="13068" max="13069" width="9.625" style="151" bestFit="1" customWidth="1"/>
    <col min="13070" max="13071" width="8.25" style="151" bestFit="1" customWidth="1"/>
    <col min="13072" max="13072" width="11" style="151" bestFit="1" customWidth="1"/>
    <col min="13073" max="13073" width="8" style="151" bestFit="1" customWidth="1"/>
    <col min="13074" max="13074" width="7.75" style="151" bestFit="1" customWidth="1"/>
    <col min="13075" max="13076" width="9.625" style="151" bestFit="1" customWidth="1"/>
    <col min="13077" max="13078" width="9.625" style="151" customWidth="1"/>
    <col min="13079" max="13079" width="9.25" style="151" bestFit="1" customWidth="1"/>
    <col min="13080" max="13080" width="11" style="151" bestFit="1" customWidth="1"/>
    <col min="13081" max="13313" width="9" style="151"/>
    <col min="13314" max="13314" width="4.625" style="151" bestFit="1" customWidth="1"/>
    <col min="13315" max="13315" width="7.5" style="151" bestFit="1" customWidth="1"/>
    <col min="13316" max="13316" width="6.25" style="151" customWidth="1"/>
    <col min="13317" max="13317" width="11" style="151" bestFit="1" customWidth="1"/>
    <col min="13318" max="13319" width="9.625" style="151" bestFit="1" customWidth="1"/>
    <col min="13320" max="13320" width="8.25" style="151" bestFit="1" customWidth="1"/>
    <col min="13321" max="13322" width="9.625" style="151" bestFit="1" customWidth="1"/>
    <col min="13323" max="13323" width="8.25" style="151" bestFit="1" customWidth="1"/>
    <col min="13324" max="13325" width="9.625" style="151" bestFit="1" customWidth="1"/>
    <col min="13326" max="13327" width="8.25" style="151" bestFit="1" customWidth="1"/>
    <col min="13328" max="13328" width="11" style="151" bestFit="1" customWidth="1"/>
    <col min="13329" max="13329" width="8" style="151" bestFit="1" customWidth="1"/>
    <col min="13330" max="13330" width="7.75" style="151" bestFit="1" customWidth="1"/>
    <col min="13331" max="13332" width="9.625" style="151" bestFit="1" customWidth="1"/>
    <col min="13333" max="13334" width="9.625" style="151" customWidth="1"/>
    <col min="13335" max="13335" width="9.25" style="151" bestFit="1" customWidth="1"/>
    <col min="13336" max="13336" width="11" style="151" bestFit="1" customWidth="1"/>
    <col min="13337" max="13569" width="9" style="151"/>
    <col min="13570" max="13570" width="4.625" style="151" bestFit="1" customWidth="1"/>
    <col min="13571" max="13571" width="7.5" style="151" bestFit="1" customWidth="1"/>
    <col min="13572" max="13572" width="6.25" style="151" customWidth="1"/>
    <col min="13573" max="13573" width="11" style="151" bestFit="1" customWidth="1"/>
    <col min="13574" max="13575" width="9.625" style="151" bestFit="1" customWidth="1"/>
    <col min="13576" max="13576" width="8.25" style="151" bestFit="1" customWidth="1"/>
    <col min="13577" max="13578" width="9.625" style="151" bestFit="1" customWidth="1"/>
    <col min="13579" max="13579" width="8.25" style="151" bestFit="1" customWidth="1"/>
    <col min="13580" max="13581" width="9.625" style="151" bestFit="1" customWidth="1"/>
    <col min="13582" max="13583" width="8.25" style="151" bestFit="1" customWidth="1"/>
    <col min="13584" max="13584" width="11" style="151" bestFit="1" customWidth="1"/>
    <col min="13585" max="13585" width="8" style="151" bestFit="1" customWidth="1"/>
    <col min="13586" max="13586" width="7.75" style="151" bestFit="1" customWidth="1"/>
    <col min="13587" max="13588" width="9.625" style="151" bestFit="1" customWidth="1"/>
    <col min="13589" max="13590" width="9.625" style="151" customWidth="1"/>
    <col min="13591" max="13591" width="9.25" style="151" bestFit="1" customWidth="1"/>
    <col min="13592" max="13592" width="11" style="151" bestFit="1" customWidth="1"/>
    <col min="13593" max="13825" width="9" style="151"/>
    <col min="13826" max="13826" width="4.625" style="151" bestFit="1" customWidth="1"/>
    <col min="13827" max="13827" width="7.5" style="151" bestFit="1" customWidth="1"/>
    <col min="13828" max="13828" width="6.25" style="151" customWidth="1"/>
    <col min="13829" max="13829" width="11" style="151" bestFit="1" customWidth="1"/>
    <col min="13830" max="13831" width="9.625" style="151" bestFit="1" customWidth="1"/>
    <col min="13832" max="13832" width="8.25" style="151" bestFit="1" customWidth="1"/>
    <col min="13833" max="13834" width="9.625" style="151" bestFit="1" customWidth="1"/>
    <col min="13835" max="13835" width="8.25" style="151" bestFit="1" customWidth="1"/>
    <col min="13836" max="13837" width="9.625" style="151" bestFit="1" customWidth="1"/>
    <col min="13838" max="13839" width="8.25" style="151" bestFit="1" customWidth="1"/>
    <col min="13840" max="13840" width="11" style="151" bestFit="1" customWidth="1"/>
    <col min="13841" max="13841" width="8" style="151" bestFit="1" customWidth="1"/>
    <col min="13842" max="13842" width="7.75" style="151" bestFit="1" customWidth="1"/>
    <col min="13843" max="13844" width="9.625" style="151" bestFit="1" customWidth="1"/>
    <col min="13845" max="13846" width="9.625" style="151" customWidth="1"/>
    <col min="13847" max="13847" width="9.25" style="151" bestFit="1" customWidth="1"/>
    <col min="13848" max="13848" width="11" style="151" bestFit="1" customWidth="1"/>
    <col min="13849" max="14081" width="9" style="151"/>
    <col min="14082" max="14082" width="4.625" style="151" bestFit="1" customWidth="1"/>
    <col min="14083" max="14083" width="7.5" style="151" bestFit="1" customWidth="1"/>
    <col min="14084" max="14084" width="6.25" style="151" customWidth="1"/>
    <col min="14085" max="14085" width="11" style="151" bestFit="1" customWidth="1"/>
    <col min="14086" max="14087" width="9.625" style="151" bestFit="1" customWidth="1"/>
    <col min="14088" max="14088" width="8.25" style="151" bestFit="1" customWidth="1"/>
    <col min="14089" max="14090" width="9.625" style="151" bestFit="1" customWidth="1"/>
    <col min="14091" max="14091" width="8.25" style="151" bestFit="1" customWidth="1"/>
    <col min="14092" max="14093" width="9.625" style="151" bestFit="1" customWidth="1"/>
    <col min="14094" max="14095" width="8.25" style="151" bestFit="1" customWidth="1"/>
    <col min="14096" max="14096" width="11" style="151" bestFit="1" customWidth="1"/>
    <col min="14097" max="14097" width="8" style="151" bestFit="1" customWidth="1"/>
    <col min="14098" max="14098" width="7.75" style="151" bestFit="1" customWidth="1"/>
    <col min="14099" max="14100" width="9.625" style="151" bestFit="1" customWidth="1"/>
    <col min="14101" max="14102" width="9.625" style="151" customWidth="1"/>
    <col min="14103" max="14103" width="9.25" style="151" bestFit="1" customWidth="1"/>
    <col min="14104" max="14104" width="11" style="151" bestFit="1" customWidth="1"/>
    <col min="14105" max="14337" width="9" style="151"/>
    <col min="14338" max="14338" width="4.625" style="151" bestFit="1" customWidth="1"/>
    <col min="14339" max="14339" width="7.5" style="151" bestFit="1" customWidth="1"/>
    <col min="14340" max="14340" width="6.25" style="151" customWidth="1"/>
    <col min="14341" max="14341" width="11" style="151" bestFit="1" customWidth="1"/>
    <col min="14342" max="14343" width="9.625" style="151" bestFit="1" customWidth="1"/>
    <col min="14344" max="14344" width="8.25" style="151" bestFit="1" customWidth="1"/>
    <col min="14345" max="14346" width="9.625" style="151" bestFit="1" customWidth="1"/>
    <col min="14347" max="14347" width="8.25" style="151" bestFit="1" customWidth="1"/>
    <col min="14348" max="14349" width="9.625" style="151" bestFit="1" customWidth="1"/>
    <col min="14350" max="14351" width="8.25" style="151" bestFit="1" customWidth="1"/>
    <col min="14352" max="14352" width="11" style="151" bestFit="1" customWidth="1"/>
    <col min="14353" max="14353" width="8" style="151" bestFit="1" customWidth="1"/>
    <col min="14354" max="14354" width="7.75" style="151" bestFit="1" customWidth="1"/>
    <col min="14355" max="14356" width="9.625" style="151" bestFit="1" customWidth="1"/>
    <col min="14357" max="14358" width="9.625" style="151" customWidth="1"/>
    <col min="14359" max="14359" width="9.25" style="151" bestFit="1" customWidth="1"/>
    <col min="14360" max="14360" width="11" style="151" bestFit="1" customWidth="1"/>
    <col min="14361" max="14593" width="9" style="151"/>
    <col min="14594" max="14594" width="4.625" style="151" bestFit="1" customWidth="1"/>
    <col min="14595" max="14595" width="7.5" style="151" bestFit="1" customWidth="1"/>
    <col min="14596" max="14596" width="6.25" style="151" customWidth="1"/>
    <col min="14597" max="14597" width="11" style="151" bestFit="1" customWidth="1"/>
    <col min="14598" max="14599" width="9.625" style="151" bestFit="1" customWidth="1"/>
    <col min="14600" max="14600" width="8.25" style="151" bestFit="1" customWidth="1"/>
    <col min="14601" max="14602" width="9.625" style="151" bestFit="1" customWidth="1"/>
    <col min="14603" max="14603" width="8.25" style="151" bestFit="1" customWidth="1"/>
    <col min="14604" max="14605" width="9.625" style="151" bestFit="1" customWidth="1"/>
    <col min="14606" max="14607" width="8.25" style="151" bestFit="1" customWidth="1"/>
    <col min="14608" max="14608" width="11" style="151" bestFit="1" customWidth="1"/>
    <col min="14609" max="14609" width="8" style="151" bestFit="1" customWidth="1"/>
    <col min="14610" max="14610" width="7.75" style="151" bestFit="1" customWidth="1"/>
    <col min="14611" max="14612" width="9.625" style="151" bestFit="1" customWidth="1"/>
    <col min="14613" max="14614" width="9.625" style="151" customWidth="1"/>
    <col min="14615" max="14615" width="9.25" style="151" bestFit="1" customWidth="1"/>
    <col min="14616" max="14616" width="11" style="151" bestFit="1" customWidth="1"/>
    <col min="14617" max="14849" width="9" style="151"/>
    <col min="14850" max="14850" width="4.625" style="151" bestFit="1" customWidth="1"/>
    <col min="14851" max="14851" width="7.5" style="151" bestFit="1" customWidth="1"/>
    <col min="14852" max="14852" width="6.25" style="151" customWidth="1"/>
    <col min="14853" max="14853" width="11" style="151" bestFit="1" customWidth="1"/>
    <col min="14854" max="14855" width="9.625" style="151" bestFit="1" customWidth="1"/>
    <col min="14856" max="14856" width="8.25" style="151" bestFit="1" customWidth="1"/>
    <col min="14857" max="14858" width="9.625" style="151" bestFit="1" customWidth="1"/>
    <col min="14859" max="14859" width="8.25" style="151" bestFit="1" customWidth="1"/>
    <col min="14860" max="14861" width="9.625" style="151" bestFit="1" customWidth="1"/>
    <col min="14862" max="14863" width="8.25" style="151" bestFit="1" customWidth="1"/>
    <col min="14864" max="14864" width="11" style="151" bestFit="1" customWidth="1"/>
    <col min="14865" max="14865" width="8" style="151" bestFit="1" customWidth="1"/>
    <col min="14866" max="14866" width="7.75" style="151" bestFit="1" customWidth="1"/>
    <col min="14867" max="14868" width="9.625" style="151" bestFit="1" customWidth="1"/>
    <col min="14869" max="14870" width="9.625" style="151" customWidth="1"/>
    <col min="14871" max="14871" width="9.25" style="151" bestFit="1" customWidth="1"/>
    <col min="14872" max="14872" width="11" style="151" bestFit="1" customWidth="1"/>
    <col min="14873" max="15105" width="9" style="151"/>
    <col min="15106" max="15106" width="4.625" style="151" bestFit="1" customWidth="1"/>
    <col min="15107" max="15107" width="7.5" style="151" bestFit="1" customWidth="1"/>
    <col min="15108" max="15108" width="6.25" style="151" customWidth="1"/>
    <col min="15109" max="15109" width="11" style="151" bestFit="1" customWidth="1"/>
    <col min="15110" max="15111" width="9.625" style="151" bestFit="1" customWidth="1"/>
    <col min="15112" max="15112" width="8.25" style="151" bestFit="1" customWidth="1"/>
    <col min="15113" max="15114" width="9.625" style="151" bestFit="1" customWidth="1"/>
    <col min="15115" max="15115" width="8.25" style="151" bestFit="1" customWidth="1"/>
    <col min="15116" max="15117" width="9.625" style="151" bestFit="1" customWidth="1"/>
    <col min="15118" max="15119" width="8.25" style="151" bestFit="1" customWidth="1"/>
    <col min="15120" max="15120" width="11" style="151" bestFit="1" customWidth="1"/>
    <col min="15121" max="15121" width="8" style="151" bestFit="1" customWidth="1"/>
    <col min="15122" max="15122" width="7.75" style="151" bestFit="1" customWidth="1"/>
    <col min="15123" max="15124" width="9.625" style="151" bestFit="1" customWidth="1"/>
    <col min="15125" max="15126" width="9.625" style="151" customWidth="1"/>
    <col min="15127" max="15127" width="9.25" style="151" bestFit="1" customWidth="1"/>
    <col min="15128" max="15128" width="11" style="151" bestFit="1" customWidth="1"/>
    <col min="15129" max="15361" width="9" style="151"/>
    <col min="15362" max="15362" width="4.625" style="151" bestFit="1" customWidth="1"/>
    <col min="15363" max="15363" width="7.5" style="151" bestFit="1" customWidth="1"/>
    <col min="15364" max="15364" width="6.25" style="151" customWidth="1"/>
    <col min="15365" max="15365" width="11" style="151" bestFit="1" customWidth="1"/>
    <col min="15366" max="15367" width="9.625" style="151" bestFit="1" customWidth="1"/>
    <col min="15368" max="15368" width="8.25" style="151" bestFit="1" customWidth="1"/>
    <col min="15369" max="15370" width="9.625" style="151" bestFit="1" customWidth="1"/>
    <col min="15371" max="15371" width="8.25" style="151" bestFit="1" customWidth="1"/>
    <col min="15372" max="15373" width="9.625" style="151" bestFit="1" customWidth="1"/>
    <col min="15374" max="15375" width="8.25" style="151" bestFit="1" customWidth="1"/>
    <col min="15376" max="15376" width="11" style="151" bestFit="1" customWidth="1"/>
    <col min="15377" max="15377" width="8" style="151" bestFit="1" customWidth="1"/>
    <col min="15378" max="15378" width="7.75" style="151" bestFit="1" customWidth="1"/>
    <col min="15379" max="15380" width="9.625" style="151" bestFit="1" customWidth="1"/>
    <col min="15381" max="15382" width="9.625" style="151" customWidth="1"/>
    <col min="15383" max="15383" width="9.25" style="151" bestFit="1" customWidth="1"/>
    <col min="15384" max="15384" width="11" style="151" bestFit="1" customWidth="1"/>
    <col min="15385" max="15617" width="9" style="151"/>
    <col min="15618" max="15618" width="4.625" style="151" bestFit="1" customWidth="1"/>
    <col min="15619" max="15619" width="7.5" style="151" bestFit="1" customWidth="1"/>
    <col min="15620" max="15620" width="6.25" style="151" customWidth="1"/>
    <col min="15621" max="15621" width="11" style="151" bestFit="1" customWidth="1"/>
    <col min="15622" max="15623" width="9.625" style="151" bestFit="1" customWidth="1"/>
    <col min="15624" max="15624" width="8.25" style="151" bestFit="1" customWidth="1"/>
    <col min="15625" max="15626" width="9.625" style="151" bestFit="1" customWidth="1"/>
    <col min="15627" max="15627" width="8.25" style="151" bestFit="1" customWidth="1"/>
    <col min="15628" max="15629" width="9.625" style="151" bestFit="1" customWidth="1"/>
    <col min="15630" max="15631" width="8.25" style="151" bestFit="1" customWidth="1"/>
    <col min="15632" max="15632" width="11" style="151" bestFit="1" customWidth="1"/>
    <col min="15633" max="15633" width="8" style="151" bestFit="1" customWidth="1"/>
    <col min="15634" max="15634" width="7.75" style="151" bestFit="1" customWidth="1"/>
    <col min="15635" max="15636" width="9.625" style="151" bestFit="1" customWidth="1"/>
    <col min="15637" max="15638" width="9.625" style="151" customWidth="1"/>
    <col min="15639" max="15639" width="9.25" style="151" bestFit="1" customWidth="1"/>
    <col min="15640" max="15640" width="11" style="151" bestFit="1" customWidth="1"/>
    <col min="15641" max="15873" width="9" style="151"/>
    <col min="15874" max="15874" width="4.625" style="151" bestFit="1" customWidth="1"/>
    <col min="15875" max="15875" width="7.5" style="151" bestFit="1" customWidth="1"/>
    <col min="15876" max="15876" width="6.25" style="151" customWidth="1"/>
    <col min="15877" max="15877" width="11" style="151" bestFit="1" customWidth="1"/>
    <col min="15878" max="15879" width="9.625" style="151" bestFit="1" customWidth="1"/>
    <col min="15880" max="15880" width="8.25" style="151" bestFit="1" customWidth="1"/>
    <col min="15881" max="15882" width="9.625" style="151" bestFit="1" customWidth="1"/>
    <col min="15883" max="15883" width="8.25" style="151" bestFit="1" customWidth="1"/>
    <col min="15884" max="15885" width="9.625" style="151" bestFit="1" customWidth="1"/>
    <col min="15886" max="15887" width="8.25" style="151" bestFit="1" customWidth="1"/>
    <col min="15888" max="15888" width="11" style="151" bestFit="1" customWidth="1"/>
    <col min="15889" max="15889" width="8" style="151" bestFit="1" customWidth="1"/>
    <col min="15890" max="15890" width="7.75" style="151" bestFit="1" customWidth="1"/>
    <col min="15891" max="15892" width="9.625" style="151" bestFit="1" customWidth="1"/>
    <col min="15893" max="15894" width="9.625" style="151" customWidth="1"/>
    <col min="15895" max="15895" width="9.25" style="151" bestFit="1" customWidth="1"/>
    <col min="15896" max="15896" width="11" style="151" bestFit="1" customWidth="1"/>
    <col min="15897" max="16129" width="9" style="151"/>
    <col min="16130" max="16130" width="4.625" style="151" bestFit="1" customWidth="1"/>
    <col min="16131" max="16131" width="7.5" style="151" bestFit="1" customWidth="1"/>
    <col min="16132" max="16132" width="6.25" style="151" customWidth="1"/>
    <col min="16133" max="16133" width="11" style="151" bestFit="1" customWidth="1"/>
    <col min="16134" max="16135" width="9.625" style="151" bestFit="1" customWidth="1"/>
    <col min="16136" max="16136" width="8.25" style="151" bestFit="1" customWidth="1"/>
    <col min="16137" max="16138" width="9.625" style="151" bestFit="1" customWidth="1"/>
    <col min="16139" max="16139" width="8.25" style="151" bestFit="1" customWidth="1"/>
    <col min="16140" max="16141" width="9.625" style="151" bestFit="1" customWidth="1"/>
    <col min="16142" max="16143" width="8.25" style="151" bestFit="1" customWidth="1"/>
    <col min="16144" max="16144" width="11" style="151" bestFit="1" customWidth="1"/>
    <col min="16145" max="16145" width="8" style="151" bestFit="1" customWidth="1"/>
    <col min="16146" max="16146" width="7.75" style="151" bestFit="1" customWidth="1"/>
    <col min="16147" max="16148" width="9.625" style="151" bestFit="1" customWidth="1"/>
    <col min="16149" max="16150" width="9.625" style="151" customWidth="1"/>
    <col min="16151" max="16151" width="9.25" style="151" bestFit="1" customWidth="1"/>
    <col min="16152" max="16152" width="11" style="151" bestFit="1" customWidth="1"/>
    <col min="16153" max="16384" width="9" style="151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226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52"/>
      <c r="V4" s="252"/>
      <c r="W4" s="252"/>
      <c r="X4" s="252"/>
    </row>
    <row r="5" spans="2:29" ht="20.25" customHeight="1" x14ac:dyDescent="0.3">
      <c r="B5" s="253" t="s">
        <v>223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53"/>
      <c r="Q5" s="69"/>
      <c r="R5" s="69"/>
      <c r="S5" s="69"/>
      <c r="T5" s="252"/>
      <c r="U5" s="152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5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">
        <v>171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49</v>
      </c>
      <c r="D15" s="88" t="s">
        <v>50</v>
      </c>
      <c r="E15" s="89">
        <f>[1]직원인적급여카드!M8</f>
        <v>2100000</v>
      </c>
      <c r="F15" s="102"/>
      <c r="G15" s="102"/>
      <c r="H15" s="102"/>
      <c r="I15" s="102"/>
      <c r="J15" s="103"/>
      <c r="K15" s="103"/>
      <c r="L15" s="103"/>
      <c r="M15" s="103"/>
      <c r="N15" s="89">
        <v>200000</v>
      </c>
      <c r="O15" s="104">
        <v>200000</v>
      </c>
      <c r="P15" s="93">
        <f t="shared" si="0"/>
        <v>2500000</v>
      </c>
      <c r="Q15" s="94">
        <f t="shared" si="1"/>
        <v>25950</v>
      </c>
      <c r="R15" s="95">
        <f t="shared" si="2"/>
        <v>2590</v>
      </c>
      <c r="S15" s="126">
        <f t="shared" si="8"/>
        <v>99000</v>
      </c>
      <c r="T15" s="95">
        <f t="shared" si="3"/>
        <v>75460</v>
      </c>
      <c r="U15" s="96">
        <f t="shared" si="4"/>
        <v>8690</v>
      </c>
      <c r="V15" s="96">
        <f t="shared" ref="V15:V24" si="10">IFERROR(IF(D15&lt;&gt;"대표이사",ROUNDDOWN((P15-AC15)*고용보험율,-1),0),)</f>
        <v>17600</v>
      </c>
      <c r="W15" s="93">
        <f t="shared" ref="W15:W24" si="11">SUM(Q15:V15)</f>
        <v>229290</v>
      </c>
      <c r="X15" s="97">
        <f t="shared" si="7"/>
        <v>2270710</v>
      </c>
      <c r="Z15" s="98">
        <v>1</v>
      </c>
      <c r="AA15" s="99"/>
      <c r="AC15" s="100">
        <f t="shared" ref="AC15:AC24" si="12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199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2"/>
        <v>300000</v>
      </c>
    </row>
    <row r="17" spans="2:29" ht="20.100000000000001" customHeight="1" x14ac:dyDescent="0.3">
      <c r="B17" s="101">
        <v>9</v>
      </c>
      <c r="C17" s="87" t="s">
        <v>132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23" si="13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4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si="10"/>
        <v>17600</v>
      </c>
      <c r="W17" s="124">
        <f t="shared" si="11"/>
        <v>229290</v>
      </c>
      <c r="X17" s="128">
        <f t="shared" si="7"/>
        <v>2270710</v>
      </c>
      <c r="Z17" s="98">
        <v>1</v>
      </c>
      <c r="AA17" s="99"/>
      <c r="AC17" s="100">
        <f t="shared" si="12"/>
        <v>300000</v>
      </c>
    </row>
    <row r="18" spans="2:29" ht="20.100000000000001" customHeight="1" x14ac:dyDescent="0.3">
      <c r="B18" s="101">
        <v>10</v>
      </c>
      <c r="C18" s="87" t="s">
        <v>200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3"/>
        <v>2500000</v>
      </c>
      <c r="Q18" s="125">
        <f t="shared" si="1"/>
        <v>25950</v>
      </c>
      <c r="R18" s="126">
        <f t="shared" si="2"/>
        <v>2590</v>
      </c>
      <c r="S18" s="126">
        <f t="shared" si="14"/>
        <v>99000</v>
      </c>
      <c r="T18" s="95">
        <f t="shared" si="3"/>
        <v>75460</v>
      </c>
      <c r="U18" s="96">
        <f t="shared" si="4"/>
        <v>8690</v>
      </c>
      <c r="V18" s="127">
        <f t="shared" si="10"/>
        <v>17600</v>
      </c>
      <c r="W18" s="124">
        <f t="shared" si="11"/>
        <v>229290</v>
      </c>
      <c r="X18" s="128">
        <f t="shared" si="7"/>
        <v>2270710</v>
      </c>
      <c r="Z18" s="98">
        <v>1</v>
      </c>
      <c r="AA18" s="99"/>
      <c r="AC18" s="100">
        <f t="shared" si="12"/>
        <v>300000</v>
      </c>
    </row>
    <row r="19" spans="2:29" ht="20.100000000000001" customHeight="1" x14ac:dyDescent="0.3">
      <c r="B19" s="101">
        <v>11</v>
      </c>
      <c r="C19" s="87" t="s">
        <v>213</v>
      </c>
      <c r="D19" s="88" t="s">
        <v>45</v>
      </c>
      <c r="E19" s="89">
        <v>4300000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3"/>
        <v>4700000</v>
      </c>
      <c r="Q19" s="125">
        <v>268770</v>
      </c>
      <c r="R19" s="126">
        <v>26870</v>
      </c>
      <c r="S19" s="126">
        <v>193500</v>
      </c>
      <c r="T19" s="95">
        <v>152430</v>
      </c>
      <c r="U19" s="96">
        <v>19730</v>
      </c>
      <c r="V19" s="127">
        <v>38700</v>
      </c>
      <c r="W19" s="124">
        <v>700000</v>
      </c>
      <c r="X19" s="128">
        <f t="shared" si="7"/>
        <v>4000000</v>
      </c>
      <c r="Z19" s="98">
        <v>1</v>
      </c>
      <c r="AA19" s="99"/>
      <c r="AC19" s="100">
        <f t="shared" si="12"/>
        <v>300000</v>
      </c>
    </row>
    <row r="20" spans="2:29" ht="20.100000000000001" customHeight="1" x14ac:dyDescent="0.3">
      <c r="B20" s="101">
        <v>12</v>
      </c>
      <c r="C20" s="87" t="s">
        <v>165</v>
      </c>
      <c r="D20" s="88" t="s">
        <v>45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ref="P20" si="15">SUM(E20:O20)</f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219</v>
      </c>
      <c r="D21" s="88" t="s">
        <v>50</v>
      </c>
      <c r="E21" s="89">
        <v>2100000</v>
      </c>
      <c r="F21" s="106"/>
      <c r="G21" s="106"/>
      <c r="H21" s="106"/>
      <c r="I21" s="106"/>
      <c r="J21" s="107"/>
      <c r="K21" s="107"/>
      <c r="L21" s="107"/>
      <c r="M21" s="107"/>
      <c r="N21" s="89">
        <v>200000</v>
      </c>
      <c r="O21" s="130">
        <v>200000</v>
      </c>
      <c r="P21" s="124">
        <f t="shared" ref="P21" si="16">SUM(E21:O21)</f>
        <v>2500000</v>
      </c>
      <c r="Q21" s="125">
        <f t="shared" ref="Q21" si="17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ref="R21" si="18">ROUNDDOWN(Q21*10%,-1)</f>
        <v>2590</v>
      </c>
      <c r="S21" s="126">
        <f t="shared" ref="S21" si="19">IFERROR(IF(AND(P21-AC21&gt;=월액최저,P21-AC21&lt;=월액최고),ROUNDDOWN((P21-AC21)*국민연금,-1),IF(P21-AC21&gt;=월액최고,최고연금,IF(AND(P21-AC21&lt;=월액최저,P21-AC21&gt;=1),최저연금,))),)</f>
        <v>99000</v>
      </c>
      <c r="T21" s="95">
        <f t="shared" ref="T21" si="20">IFERROR(ROUNDDOWN((P21-AC21)*3.43%,-1),)</f>
        <v>75460</v>
      </c>
      <c r="U21" s="96">
        <f t="shared" ref="U21" si="21">ROUNDDOWN(T21*11.52%,-1)</f>
        <v>8690</v>
      </c>
      <c r="V21" s="127">
        <f t="shared" ref="V21" si="22">IFERROR(IF(D21&lt;&gt;"대표이사",ROUNDDOWN((P21-AC21)*고용보험율,-1),0),)</f>
        <v>17600</v>
      </c>
      <c r="W21" s="124">
        <f t="shared" ref="W21" si="23">SUM(Q21:V21)</f>
        <v>229290</v>
      </c>
      <c r="X21" s="128">
        <f t="shared" ref="X21" si="24">P21-W21</f>
        <v>2270710</v>
      </c>
      <c r="Z21" s="98">
        <v>1</v>
      </c>
      <c r="AA21" s="99"/>
      <c r="AC21" s="100">
        <f t="shared" ref="AC21" si="25">IF(N21&gt;=100000,100000,N21)+IF(O21&gt;=200000,200000,O21)</f>
        <v>300000</v>
      </c>
    </row>
    <row r="22" spans="2:29" ht="20.100000000000001" customHeight="1" x14ac:dyDescent="0.3">
      <c r="B22" s="101">
        <v>14</v>
      </c>
      <c r="C22" s="87" t="s">
        <v>185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si="13"/>
        <v>2500000</v>
      </c>
      <c r="Q22" s="125">
        <f t="shared" si="1"/>
        <v>25950</v>
      </c>
      <c r="R22" s="126">
        <f t="shared" si="2"/>
        <v>2590</v>
      </c>
      <c r="S22" s="126"/>
      <c r="T22" s="95">
        <f t="shared" si="3"/>
        <v>75460</v>
      </c>
      <c r="U22" s="96">
        <f t="shared" si="4"/>
        <v>8690</v>
      </c>
      <c r="V22" s="127">
        <f t="shared" si="10"/>
        <v>17600</v>
      </c>
      <c r="W22" s="124">
        <f t="shared" si="11"/>
        <v>130290</v>
      </c>
      <c r="X22" s="128">
        <f t="shared" si="7"/>
        <v>2369710</v>
      </c>
      <c r="Z22" s="98">
        <v>1</v>
      </c>
      <c r="AA22" s="99"/>
      <c r="AC22" s="100">
        <f t="shared" si="12"/>
        <v>300000</v>
      </c>
    </row>
    <row r="23" spans="2:29" ht="20.100000000000001" customHeight="1" x14ac:dyDescent="0.3">
      <c r="B23" s="101">
        <v>15</v>
      </c>
      <c r="C23" s="87" t="s">
        <v>188</v>
      </c>
      <c r="D23" s="88" t="s">
        <v>45</v>
      </c>
      <c r="E23" s="89">
        <v>2100000</v>
      </c>
      <c r="F23" s="106"/>
      <c r="G23" s="106"/>
      <c r="H23" s="106"/>
      <c r="I23" s="106"/>
      <c r="J23" s="107"/>
      <c r="K23" s="107"/>
      <c r="L23" s="107"/>
      <c r="M23" s="107"/>
      <c r="N23" s="89">
        <v>200000</v>
      </c>
      <c r="O23" s="130">
        <v>200000</v>
      </c>
      <c r="P23" s="124">
        <f t="shared" si="13"/>
        <v>2500000</v>
      </c>
      <c r="Q23" s="94">
        <v>25950</v>
      </c>
      <c r="R23" s="126">
        <f t="shared" si="2"/>
        <v>2590</v>
      </c>
      <c r="S23" s="126">
        <v>99000</v>
      </c>
      <c r="T23" s="95">
        <v>75460</v>
      </c>
      <c r="U23" s="96">
        <f t="shared" si="4"/>
        <v>8690</v>
      </c>
      <c r="V23" s="127">
        <v>17600</v>
      </c>
      <c r="W23" s="124">
        <f>SUM(Q23:V23)</f>
        <v>229290</v>
      </c>
      <c r="X23" s="97">
        <f t="shared" si="7"/>
        <v>2270710</v>
      </c>
      <c r="Z23" s="98">
        <v>1</v>
      </c>
      <c r="AA23" s="99"/>
      <c r="AC23" s="100"/>
    </row>
    <row r="24" spans="2:29" ht="20.100000000000001" customHeight="1" x14ac:dyDescent="0.3">
      <c r="B24" s="101"/>
      <c r="C24" s="87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>
        <f t="shared" si="1"/>
        <v>0</v>
      </c>
      <c r="R24" s="126">
        <f t="shared" si="2"/>
        <v>0</v>
      </c>
      <c r="S24" s="126">
        <f t="shared" si="14"/>
        <v>0</v>
      </c>
      <c r="T24" s="95">
        <f t="shared" si="3"/>
        <v>0</v>
      </c>
      <c r="U24" s="96">
        <f t="shared" si="4"/>
        <v>0</v>
      </c>
      <c r="V24" s="127">
        <f t="shared" si="10"/>
        <v>0</v>
      </c>
      <c r="W24" s="124">
        <f t="shared" si="11"/>
        <v>0</v>
      </c>
      <c r="X24" s="128">
        <f t="shared" si="7"/>
        <v>0</v>
      </c>
      <c r="Z24" s="98">
        <v>1</v>
      </c>
      <c r="AA24" s="99"/>
      <c r="AC24" s="100">
        <f t="shared" si="12"/>
        <v>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26">SUM(E9:E24)</f>
        <v>33700000</v>
      </c>
      <c r="F25" s="132">
        <f t="shared" si="26"/>
        <v>0</v>
      </c>
      <c r="G25" s="132">
        <f t="shared" si="26"/>
        <v>0</v>
      </c>
      <c r="H25" s="132">
        <f t="shared" si="26"/>
        <v>0</v>
      </c>
      <c r="I25" s="132">
        <f t="shared" si="26"/>
        <v>0</v>
      </c>
      <c r="J25" s="132">
        <f t="shared" si="26"/>
        <v>0</v>
      </c>
      <c r="K25" s="132">
        <f t="shared" si="26"/>
        <v>0</v>
      </c>
      <c r="L25" s="132">
        <f t="shared" si="26"/>
        <v>0</v>
      </c>
      <c r="M25" s="133">
        <f t="shared" si="26"/>
        <v>0</v>
      </c>
      <c r="N25" s="131">
        <f t="shared" si="26"/>
        <v>3000000</v>
      </c>
      <c r="O25" s="134">
        <f t="shared" si="26"/>
        <v>3000000</v>
      </c>
      <c r="P25" s="135">
        <f t="shared" si="26"/>
        <v>39700000</v>
      </c>
      <c r="Q25" s="131">
        <f t="shared" si="26"/>
        <v>632070</v>
      </c>
      <c r="R25" s="132">
        <f t="shared" si="26"/>
        <v>63130</v>
      </c>
      <c r="S25" s="132">
        <f t="shared" si="26"/>
        <v>1084500</v>
      </c>
      <c r="T25" s="132">
        <f t="shared" si="26"/>
        <v>1208870</v>
      </c>
      <c r="U25" s="133">
        <f t="shared" si="26"/>
        <v>141390</v>
      </c>
      <c r="V25" s="133">
        <f t="shared" si="26"/>
        <v>285100</v>
      </c>
      <c r="W25" s="135">
        <f t="shared" si="26"/>
        <v>3415060</v>
      </c>
      <c r="X25" s="136">
        <f t="shared" si="26"/>
        <v>36284940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/>
      <c r="D28" s="197"/>
      <c r="E28" s="198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 t="s">
        <v>230</v>
      </c>
      <c r="D32" s="197" t="s">
        <v>186</v>
      </c>
      <c r="E32" s="198"/>
      <c r="F32" s="199" t="s">
        <v>231</v>
      </c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6"/>
      <c r="C34" s="122"/>
      <c r="D34" s="209"/>
      <c r="E34" s="210"/>
      <c r="F34" s="211"/>
      <c r="G34" s="212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20.100000000000001" customHeight="1" x14ac:dyDescent="0.3">
      <c r="Q35" s="64"/>
      <c r="R35" s="64"/>
      <c r="S35" s="64"/>
      <c r="T35" s="64"/>
      <c r="U35" s="64"/>
      <c r="V35" s="64"/>
    </row>
    <row r="36" spans="2:22" s="64" customFormat="1" ht="20.100000000000001" customHeight="1" x14ac:dyDescent="0.3">
      <c r="B36" s="151"/>
      <c r="C36" s="151"/>
      <c r="D36" s="151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22" s="64" customFormat="1" ht="20.100000000000001" customHeight="1" x14ac:dyDescent="0.3">
      <c r="B37" s="151"/>
      <c r="C37" s="151"/>
      <c r="D37" s="151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51"/>
      <c r="C38" s="151"/>
      <c r="D38" s="151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51"/>
      <c r="C39" s="151"/>
      <c r="D39" s="151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51"/>
      <c r="C40" s="151"/>
      <c r="D40" s="151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51"/>
      <c r="C41" s="151"/>
      <c r="D41" s="151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51"/>
      <c r="C42" s="151"/>
      <c r="D42" s="151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51"/>
      <c r="C43" s="151"/>
      <c r="D43" s="151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51"/>
      <c r="C44" s="151"/>
      <c r="D44" s="151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51"/>
      <c r="C45" s="151"/>
      <c r="D45" s="151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51"/>
      <c r="C46" s="151"/>
      <c r="D46" s="151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51"/>
      <c r="C47" s="151"/>
      <c r="D47" s="151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51"/>
      <c r="C48" s="151"/>
      <c r="D48" s="151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51"/>
      <c r="C49" s="151"/>
      <c r="D49" s="151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51"/>
      <c r="C50" s="151"/>
      <c r="D50" s="151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51"/>
      <c r="C51" s="151"/>
      <c r="D51" s="151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51"/>
      <c r="C52" s="151"/>
      <c r="D52" s="151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51"/>
      <c r="C53" s="151"/>
      <c r="D53" s="151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51"/>
      <c r="C54" s="151"/>
      <c r="D54" s="151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51"/>
      <c r="C55" s="151"/>
      <c r="D55" s="151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51"/>
      <c r="C56" s="151"/>
      <c r="D56" s="151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51"/>
      <c r="C57" s="151"/>
      <c r="D57" s="151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51"/>
      <c r="C58" s="151"/>
      <c r="D58" s="151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51"/>
      <c r="C59" s="151"/>
      <c r="D59" s="151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51"/>
      <c r="C60" s="151"/>
      <c r="D60" s="151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51"/>
      <c r="C61" s="151"/>
      <c r="D61" s="151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51"/>
      <c r="C62" s="151"/>
      <c r="D62" s="151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51"/>
      <c r="C63" s="151"/>
      <c r="D63" s="151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51"/>
      <c r="C64" s="151"/>
      <c r="D64" s="151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51"/>
      <c r="C65" s="151"/>
      <c r="D65" s="151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51"/>
      <c r="C66" s="151"/>
      <c r="D66" s="151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51"/>
      <c r="C67" s="151"/>
      <c r="D67" s="151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51"/>
      <c r="C68" s="151"/>
      <c r="D68" s="151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51"/>
      <c r="C69" s="151"/>
      <c r="D69" s="151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51"/>
      <c r="C70" s="151"/>
      <c r="D70" s="151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51"/>
      <c r="C71" s="151"/>
      <c r="D71" s="151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51"/>
      <c r="C72" s="151"/>
      <c r="D72" s="151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51"/>
      <c r="C73" s="151"/>
      <c r="D73" s="151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51"/>
      <c r="C74" s="151"/>
      <c r="D74" s="151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51"/>
      <c r="C75" s="151"/>
      <c r="D75" s="151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51"/>
      <c r="C76" s="151"/>
      <c r="D76" s="151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51"/>
      <c r="C77" s="151"/>
      <c r="D77" s="151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51"/>
      <c r="C78" s="151"/>
      <c r="D78" s="151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51"/>
      <c r="C79" s="151"/>
      <c r="D79" s="151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51"/>
      <c r="C80" s="151"/>
      <c r="D80" s="151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51"/>
      <c r="C81" s="151"/>
      <c r="D81" s="151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51"/>
      <c r="C82" s="151"/>
      <c r="D82" s="151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51"/>
      <c r="C83" s="151"/>
      <c r="D83" s="151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51"/>
      <c r="C84" s="151"/>
      <c r="D84" s="151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51"/>
      <c r="C85" s="151"/>
      <c r="D85" s="151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51"/>
      <c r="C86" s="151"/>
      <c r="D86" s="151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51"/>
      <c r="C87" s="151"/>
      <c r="D87" s="151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51"/>
      <c r="C88" s="151"/>
      <c r="D88" s="151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51"/>
      <c r="C89" s="151"/>
      <c r="D89" s="151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51"/>
      <c r="C90" s="151"/>
      <c r="D90" s="151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51"/>
      <c r="C91" s="151"/>
      <c r="D91" s="151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51"/>
      <c r="C92" s="151"/>
      <c r="D92" s="151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51"/>
      <c r="C93" s="151"/>
      <c r="D93" s="151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51"/>
      <c r="C94" s="151"/>
      <c r="D94" s="151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51"/>
      <c r="C95" s="151"/>
      <c r="D95" s="151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51"/>
      <c r="C96" s="151"/>
      <c r="D96" s="151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51"/>
      <c r="C97" s="151"/>
      <c r="D97" s="151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51"/>
      <c r="C98" s="151"/>
      <c r="D98" s="151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51"/>
      <c r="C99" s="151"/>
      <c r="D99" s="151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51"/>
      <c r="C100" s="151"/>
      <c r="D100" s="151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51"/>
      <c r="C101" s="151"/>
      <c r="D101" s="151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51"/>
      <c r="C102" s="151"/>
      <c r="D102" s="151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51"/>
      <c r="C103" s="151"/>
      <c r="D103" s="151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51"/>
      <c r="C104" s="151"/>
      <c r="D104" s="151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51"/>
      <c r="C105" s="151"/>
      <c r="D105" s="151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51"/>
      <c r="C106" s="151"/>
      <c r="D106" s="151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51"/>
      <c r="C107" s="151"/>
      <c r="D107" s="151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51"/>
      <c r="C108" s="151"/>
      <c r="D108" s="151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51"/>
      <c r="C109" s="151"/>
      <c r="D109" s="151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51"/>
      <c r="C110" s="151"/>
      <c r="D110" s="151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51"/>
      <c r="C111" s="151"/>
      <c r="D111" s="151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51"/>
      <c r="C112" s="151"/>
      <c r="D112" s="151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51"/>
      <c r="C113" s="151"/>
      <c r="D113" s="151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51"/>
      <c r="C114" s="151"/>
      <c r="D114" s="151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51"/>
      <c r="C115" s="151"/>
      <c r="D115" s="151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51"/>
      <c r="C116" s="151"/>
      <c r="D116" s="151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51"/>
      <c r="C117" s="151"/>
      <c r="D117" s="151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51"/>
      <c r="C118" s="151"/>
      <c r="D118" s="151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51"/>
      <c r="C119" s="151"/>
      <c r="D119" s="151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51"/>
      <c r="C120" s="151"/>
      <c r="D120" s="151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51"/>
      <c r="C121" s="151"/>
      <c r="D121" s="151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51"/>
      <c r="C122" s="151"/>
      <c r="D122" s="151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51"/>
      <c r="C123" s="151"/>
      <c r="D123" s="151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51"/>
      <c r="C124" s="151"/>
      <c r="D124" s="15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51"/>
      <c r="C125" s="151"/>
      <c r="D125" s="15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51"/>
      <c r="C126" s="151"/>
      <c r="D126" s="15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51"/>
      <c r="C127" s="151"/>
      <c r="D127" s="151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51"/>
      <c r="C128" s="151"/>
      <c r="D128" s="151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51"/>
      <c r="C129" s="151"/>
      <c r="D129" s="151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51"/>
      <c r="C130" s="151"/>
      <c r="D130" s="151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51"/>
      <c r="C131" s="151"/>
      <c r="D131" s="151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51"/>
      <c r="C132" s="151"/>
      <c r="D132" s="151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51"/>
      <c r="C133" s="151"/>
      <c r="D133" s="151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51"/>
      <c r="C134" s="151"/>
      <c r="D134" s="151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51"/>
      <c r="C135" s="151"/>
      <c r="D135" s="151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51"/>
      <c r="C136" s="151"/>
      <c r="D136" s="151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51"/>
      <c r="C137" s="151"/>
      <c r="D137" s="151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51"/>
      <c r="C138" s="151"/>
      <c r="D138" s="151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51"/>
      <c r="C139" s="151"/>
      <c r="D139" s="151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51"/>
      <c r="C140" s="151"/>
      <c r="D140" s="151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51"/>
      <c r="C141" s="151"/>
      <c r="D141" s="151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51"/>
      <c r="C142" s="151"/>
      <c r="D142" s="151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51"/>
      <c r="C143" s="151"/>
      <c r="D143" s="151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51"/>
      <c r="C144" s="151"/>
      <c r="D144" s="151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51"/>
      <c r="C145" s="151"/>
      <c r="D145" s="151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51"/>
      <c r="C146" s="151"/>
      <c r="D146" s="151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51"/>
      <c r="C147" s="151"/>
      <c r="D147" s="151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51"/>
      <c r="C148" s="151"/>
      <c r="D148" s="151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51"/>
      <c r="C149" s="151"/>
      <c r="D149" s="151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51"/>
      <c r="C150" s="151"/>
      <c r="D150" s="151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51"/>
      <c r="C151" s="151"/>
      <c r="D151" s="151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51"/>
      <c r="C152" s="151"/>
      <c r="D152" s="151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51"/>
      <c r="C153" s="151"/>
      <c r="D153" s="151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51"/>
      <c r="C154" s="151"/>
      <c r="D154" s="151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51"/>
      <c r="C155" s="151"/>
      <c r="D155" s="151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51"/>
      <c r="C156" s="151"/>
      <c r="D156" s="151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51"/>
      <c r="C157" s="151"/>
      <c r="D157" s="151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51"/>
      <c r="C158" s="151"/>
      <c r="D158" s="151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51"/>
      <c r="C159" s="151"/>
      <c r="D159" s="151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51"/>
      <c r="C160" s="151"/>
      <c r="D160" s="151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51"/>
      <c r="C161" s="151"/>
      <c r="D161" s="151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51"/>
      <c r="C162" s="151"/>
      <c r="D162" s="151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51"/>
      <c r="C163" s="151"/>
      <c r="D163" s="151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51"/>
      <c r="C164" s="151"/>
      <c r="D164" s="151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51"/>
      <c r="C165" s="151"/>
      <c r="D165" s="151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51"/>
      <c r="C166" s="151"/>
      <c r="D166" s="151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51"/>
      <c r="C167" s="151"/>
      <c r="D167" s="151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51"/>
      <c r="C168" s="151"/>
      <c r="D168" s="151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51"/>
      <c r="C169" s="151"/>
      <c r="D169" s="151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51"/>
      <c r="C170" s="151"/>
      <c r="D170" s="151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51"/>
      <c r="C171" s="151"/>
      <c r="D171" s="151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51"/>
      <c r="C172" s="151"/>
      <c r="D172" s="151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51"/>
      <c r="C173" s="151"/>
      <c r="D173" s="151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51"/>
      <c r="C174" s="151"/>
      <c r="D174" s="151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51"/>
      <c r="C175" s="151"/>
      <c r="D175" s="151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51"/>
      <c r="C176" s="151"/>
      <c r="D176" s="151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51"/>
      <c r="C177" s="151"/>
      <c r="D177" s="151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51"/>
      <c r="C178" s="151"/>
      <c r="D178" s="151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51"/>
      <c r="C179" s="151"/>
      <c r="D179" s="151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51"/>
      <c r="C180" s="151"/>
      <c r="D180" s="151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51"/>
      <c r="C181" s="151"/>
      <c r="D181" s="151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51"/>
      <c r="C182" s="151"/>
      <c r="D182" s="151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51"/>
      <c r="C183" s="151"/>
      <c r="D183" s="151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51"/>
      <c r="C184" s="151"/>
      <c r="D184" s="151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51"/>
      <c r="C185" s="151"/>
      <c r="D185" s="151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51"/>
      <c r="C186" s="151"/>
      <c r="D186" s="151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51"/>
      <c r="C187" s="151"/>
      <c r="D187" s="151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51"/>
      <c r="C188" s="151"/>
      <c r="D188" s="151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51"/>
      <c r="C189" s="151"/>
      <c r="D189" s="151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51"/>
      <c r="C190" s="151"/>
      <c r="D190" s="151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51"/>
      <c r="C191" s="151"/>
      <c r="D191" s="151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51"/>
      <c r="C192" s="151"/>
      <c r="D192" s="151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51"/>
      <c r="C193" s="151"/>
      <c r="D193" s="151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51"/>
      <c r="C194" s="151"/>
      <c r="D194" s="151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51"/>
      <c r="C195" s="151"/>
      <c r="D195" s="151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51"/>
      <c r="C196" s="151"/>
      <c r="D196" s="151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51"/>
      <c r="C197" s="151"/>
      <c r="D197" s="151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51"/>
      <c r="C198" s="151"/>
      <c r="D198" s="151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51"/>
      <c r="C199" s="151"/>
      <c r="D199" s="151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51"/>
      <c r="C200" s="151"/>
      <c r="D200" s="151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51"/>
      <c r="C201" s="151"/>
      <c r="D201" s="151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51"/>
      <c r="C202" s="151"/>
      <c r="D202" s="151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51"/>
      <c r="C203" s="151"/>
      <c r="D203" s="151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51"/>
      <c r="C204" s="151"/>
      <c r="D204" s="151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51"/>
      <c r="C205" s="151"/>
      <c r="D205" s="151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51"/>
      <c r="C206" s="151"/>
      <c r="D206" s="151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51"/>
      <c r="C207" s="151"/>
      <c r="D207" s="151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51"/>
      <c r="C208" s="151"/>
      <c r="D208" s="151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51"/>
      <c r="C209" s="151"/>
      <c r="D209" s="151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51"/>
      <c r="C210" s="151"/>
      <c r="D210" s="151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51"/>
      <c r="C211" s="151"/>
      <c r="D211" s="151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51"/>
      <c r="C212" s="151"/>
      <c r="D212" s="151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51"/>
      <c r="C213" s="151"/>
      <c r="D213" s="151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51"/>
      <c r="C214" s="151"/>
      <c r="D214" s="151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51"/>
      <c r="C215" s="151"/>
      <c r="D215" s="151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51"/>
      <c r="C216" s="151"/>
      <c r="D216" s="151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51"/>
      <c r="C217" s="151"/>
      <c r="D217" s="151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51"/>
      <c r="C218" s="151"/>
      <c r="D218" s="151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51"/>
      <c r="C219" s="151"/>
      <c r="D219" s="151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51"/>
      <c r="C220" s="151"/>
      <c r="D220" s="151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51"/>
      <c r="C221" s="151"/>
      <c r="D221" s="151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51"/>
      <c r="C222" s="151"/>
      <c r="D222" s="151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51"/>
      <c r="C223" s="151"/>
      <c r="D223" s="151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51"/>
      <c r="C224" s="151"/>
      <c r="D224" s="151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51"/>
      <c r="C225" s="151"/>
      <c r="D225" s="151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51"/>
      <c r="C226" s="151"/>
      <c r="D226" s="151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51"/>
      <c r="C227" s="151"/>
      <c r="D227" s="151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51"/>
      <c r="C228" s="151"/>
      <c r="D228" s="151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51"/>
      <c r="C229" s="151"/>
      <c r="D229" s="151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51"/>
      <c r="C230" s="151"/>
      <c r="D230" s="151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51"/>
      <c r="C231" s="151"/>
      <c r="D231" s="151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51"/>
      <c r="C232" s="151"/>
      <c r="D232" s="151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51"/>
      <c r="C233" s="151"/>
      <c r="D233" s="151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51"/>
      <c r="C234" s="151"/>
      <c r="D234" s="151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51"/>
      <c r="C235" s="151"/>
      <c r="D235" s="151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51"/>
      <c r="C236" s="151"/>
      <c r="D236" s="151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51"/>
      <c r="C237" s="151"/>
      <c r="D237" s="151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51"/>
      <c r="C238" s="151"/>
      <c r="D238" s="151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51"/>
      <c r="C239" s="151"/>
      <c r="D239" s="151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51"/>
      <c r="C240" s="151"/>
      <c r="D240" s="151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51"/>
      <c r="C241" s="151"/>
      <c r="D241" s="151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51"/>
      <c r="C242" s="151"/>
      <c r="D242" s="151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51"/>
      <c r="C243" s="151"/>
      <c r="D243" s="151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51"/>
      <c r="C244" s="151"/>
      <c r="D244" s="151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51"/>
      <c r="C245" s="151"/>
      <c r="D245" s="151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51"/>
      <c r="C246" s="151"/>
      <c r="D246" s="151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51"/>
      <c r="C247" s="151"/>
      <c r="D247" s="151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51"/>
      <c r="C248" s="151"/>
      <c r="D248" s="151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51"/>
      <c r="C249" s="151"/>
      <c r="D249" s="151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51"/>
      <c r="C250" s="151"/>
      <c r="D250" s="151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51"/>
      <c r="C251" s="151"/>
      <c r="D251" s="151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51"/>
      <c r="C252" s="151"/>
      <c r="D252" s="151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51"/>
      <c r="C253" s="151"/>
      <c r="D253" s="151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51"/>
      <c r="C254" s="151"/>
      <c r="D254" s="151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51"/>
      <c r="C255" s="151"/>
      <c r="D255" s="151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51"/>
      <c r="C256" s="151"/>
      <c r="D256" s="151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51"/>
      <c r="C257" s="151"/>
      <c r="D257" s="151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51"/>
      <c r="C258" s="151"/>
      <c r="D258" s="151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51"/>
      <c r="C259" s="151"/>
      <c r="D259" s="151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51"/>
      <c r="C260" s="151"/>
      <c r="D260" s="151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51"/>
      <c r="C261" s="151"/>
      <c r="D261" s="151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51"/>
      <c r="C262" s="151"/>
      <c r="D262" s="151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51"/>
      <c r="C263" s="151"/>
      <c r="D263" s="151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51"/>
      <c r="C264" s="151"/>
      <c r="D264" s="151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51"/>
      <c r="C265" s="151"/>
      <c r="D265" s="151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51"/>
      <c r="C266" s="151"/>
      <c r="D266" s="151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51"/>
      <c r="C267" s="151"/>
      <c r="D267" s="151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51"/>
      <c r="C268" s="151"/>
      <c r="D268" s="151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51"/>
      <c r="C269" s="151"/>
      <c r="D269" s="151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51"/>
      <c r="C270" s="151"/>
      <c r="D270" s="151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51"/>
      <c r="C271" s="151"/>
      <c r="D271" s="151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51"/>
      <c r="C272" s="151"/>
      <c r="D272" s="151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51"/>
      <c r="C273" s="151"/>
      <c r="D273" s="151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51"/>
      <c r="C274" s="151"/>
      <c r="D274" s="151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51"/>
      <c r="C275" s="151"/>
      <c r="D275" s="151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51"/>
      <c r="C276" s="151"/>
      <c r="D276" s="151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51"/>
      <c r="C277" s="151"/>
      <c r="D277" s="151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51"/>
      <c r="C278" s="151"/>
      <c r="D278" s="151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51"/>
      <c r="C279" s="151"/>
      <c r="D279" s="151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51"/>
      <c r="C280" s="151"/>
      <c r="D280" s="151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51"/>
      <c r="C281" s="151"/>
      <c r="D281" s="151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51"/>
      <c r="C282" s="151"/>
      <c r="D282" s="151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</sheetData>
  <mergeCells count="48">
    <mergeCell ref="X4:X5"/>
    <mergeCell ref="B5:E5"/>
    <mergeCell ref="F5:G5"/>
    <mergeCell ref="B3:E4"/>
    <mergeCell ref="L3:P3"/>
    <mergeCell ref="T4:T5"/>
    <mergeCell ref="V4:V5"/>
    <mergeCell ref="W4:W5"/>
    <mergeCell ref="D30:E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D28:E28"/>
    <mergeCell ref="F28:G28"/>
    <mergeCell ref="H28:P28"/>
    <mergeCell ref="D29:E29"/>
    <mergeCell ref="F29:G29"/>
    <mergeCell ref="H29:P29"/>
    <mergeCell ref="B25:D25"/>
    <mergeCell ref="B26:X26"/>
    <mergeCell ref="D27:E27"/>
    <mergeCell ref="F27:G27"/>
    <mergeCell ref="H27:P27"/>
    <mergeCell ref="F30:G30"/>
    <mergeCell ref="H30:P30"/>
    <mergeCell ref="B32:B34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1:E31"/>
    <mergeCell ref="F31:G31"/>
    <mergeCell ref="H31:P31"/>
    <mergeCell ref="B28:B31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2"/>
  <sheetViews>
    <sheetView topLeftCell="A22" workbookViewId="0">
      <selection activeCell="M37" sqref="M37"/>
    </sheetView>
  </sheetViews>
  <sheetFormatPr defaultRowHeight="13.5" x14ac:dyDescent="0.3"/>
  <cols>
    <col min="1" max="1" width="1.625" style="151" customWidth="1"/>
    <col min="2" max="2" width="4.625" style="151" bestFit="1" customWidth="1"/>
    <col min="3" max="3" width="7.625" style="151" bestFit="1" customWidth="1"/>
    <col min="4" max="4" width="8" style="151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51" customWidth="1"/>
    <col min="26" max="26" width="8.375" style="151" customWidth="1"/>
    <col min="27" max="27" width="7.25" style="151" customWidth="1"/>
    <col min="28" max="28" width="3.875" style="151" customWidth="1"/>
    <col min="29" max="29" width="0.5" style="151" customWidth="1"/>
    <col min="30" max="257" width="9" style="151"/>
    <col min="258" max="258" width="4.625" style="151" bestFit="1" customWidth="1"/>
    <col min="259" max="259" width="7.5" style="151" bestFit="1" customWidth="1"/>
    <col min="260" max="260" width="6.25" style="151" customWidth="1"/>
    <col min="261" max="261" width="11" style="151" bestFit="1" customWidth="1"/>
    <col min="262" max="263" width="9.625" style="151" bestFit="1" customWidth="1"/>
    <col min="264" max="264" width="8.25" style="151" bestFit="1" customWidth="1"/>
    <col min="265" max="266" width="9.625" style="151" bestFit="1" customWidth="1"/>
    <col min="267" max="267" width="8.25" style="151" bestFit="1" customWidth="1"/>
    <col min="268" max="269" width="9.625" style="151" bestFit="1" customWidth="1"/>
    <col min="270" max="271" width="8.25" style="151" bestFit="1" customWidth="1"/>
    <col min="272" max="272" width="11" style="151" bestFit="1" customWidth="1"/>
    <col min="273" max="273" width="8" style="151" bestFit="1" customWidth="1"/>
    <col min="274" max="274" width="7.75" style="151" bestFit="1" customWidth="1"/>
    <col min="275" max="276" width="9.625" style="151" bestFit="1" customWidth="1"/>
    <col min="277" max="278" width="9.625" style="151" customWidth="1"/>
    <col min="279" max="279" width="9.25" style="151" bestFit="1" customWidth="1"/>
    <col min="280" max="280" width="11" style="151" bestFit="1" customWidth="1"/>
    <col min="281" max="513" width="9" style="151"/>
    <col min="514" max="514" width="4.625" style="151" bestFit="1" customWidth="1"/>
    <col min="515" max="515" width="7.5" style="151" bestFit="1" customWidth="1"/>
    <col min="516" max="516" width="6.25" style="151" customWidth="1"/>
    <col min="517" max="517" width="11" style="151" bestFit="1" customWidth="1"/>
    <col min="518" max="519" width="9.625" style="151" bestFit="1" customWidth="1"/>
    <col min="520" max="520" width="8.25" style="151" bestFit="1" customWidth="1"/>
    <col min="521" max="522" width="9.625" style="151" bestFit="1" customWidth="1"/>
    <col min="523" max="523" width="8.25" style="151" bestFit="1" customWidth="1"/>
    <col min="524" max="525" width="9.625" style="151" bestFit="1" customWidth="1"/>
    <col min="526" max="527" width="8.25" style="151" bestFit="1" customWidth="1"/>
    <col min="528" max="528" width="11" style="151" bestFit="1" customWidth="1"/>
    <col min="529" max="529" width="8" style="151" bestFit="1" customWidth="1"/>
    <col min="530" max="530" width="7.75" style="151" bestFit="1" customWidth="1"/>
    <col min="531" max="532" width="9.625" style="151" bestFit="1" customWidth="1"/>
    <col min="533" max="534" width="9.625" style="151" customWidth="1"/>
    <col min="535" max="535" width="9.25" style="151" bestFit="1" customWidth="1"/>
    <col min="536" max="536" width="11" style="151" bestFit="1" customWidth="1"/>
    <col min="537" max="769" width="9" style="151"/>
    <col min="770" max="770" width="4.625" style="151" bestFit="1" customWidth="1"/>
    <col min="771" max="771" width="7.5" style="151" bestFit="1" customWidth="1"/>
    <col min="772" max="772" width="6.25" style="151" customWidth="1"/>
    <col min="773" max="773" width="11" style="151" bestFit="1" customWidth="1"/>
    <col min="774" max="775" width="9.625" style="151" bestFit="1" customWidth="1"/>
    <col min="776" max="776" width="8.25" style="151" bestFit="1" customWidth="1"/>
    <col min="777" max="778" width="9.625" style="151" bestFit="1" customWidth="1"/>
    <col min="779" max="779" width="8.25" style="151" bestFit="1" customWidth="1"/>
    <col min="780" max="781" width="9.625" style="151" bestFit="1" customWidth="1"/>
    <col min="782" max="783" width="8.25" style="151" bestFit="1" customWidth="1"/>
    <col min="784" max="784" width="11" style="151" bestFit="1" customWidth="1"/>
    <col min="785" max="785" width="8" style="151" bestFit="1" customWidth="1"/>
    <col min="786" max="786" width="7.75" style="151" bestFit="1" customWidth="1"/>
    <col min="787" max="788" width="9.625" style="151" bestFit="1" customWidth="1"/>
    <col min="789" max="790" width="9.625" style="151" customWidth="1"/>
    <col min="791" max="791" width="9.25" style="151" bestFit="1" customWidth="1"/>
    <col min="792" max="792" width="11" style="151" bestFit="1" customWidth="1"/>
    <col min="793" max="1025" width="9" style="151"/>
    <col min="1026" max="1026" width="4.625" style="151" bestFit="1" customWidth="1"/>
    <col min="1027" max="1027" width="7.5" style="151" bestFit="1" customWidth="1"/>
    <col min="1028" max="1028" width="6.25" style="151" customWidth="1"/>
    <col min="1029" max="1029" width="11" style="151" bestFit="1" customWidth="1"/>
    <col min="1030" max="1031" width="9.625" style="151" bestFit="1" customWidth="1"/>
    <col min="1032" max="1032" width="8.25" style="151" bestFit="1" customWidth="1"/>
    <col min="1033" max="1034" width="9.625" style="151" bestFit="1" customWidth="1"/>
    <col min="1035" max="1035" width="8.25" style="151" bestFit="1" customWidth="1"/>
    <col min="1036" max="1037" width="9.625" style="151" bestFit="1" customWidth="1"/>
    <col min="1038" max="1039" width="8.25" style="151" bestFit="1" customWidth="1"/>
    <col min="1040" max="1040" width="11" style="151" bestFit="1" customWidth="1"/>
    <col min="1041" max="1041" width="8" style="151" bestFit="1" customWidth="1"/>
    <col min="1042" max="1042" width="7.75" style="151" bestFit="1" customWidth="1"/>
    <col min="1043" max="1044" width="9.625" style="151" bestFit="1" customWidth="1"/>
    <col min="1045" max="1046" width="9.625" style="151" customWidth="1"/>
    <col min="1047" max="1047" width="9.25" style="151" bestFit="1" customWidth="1"/>
    <col min="1048" max="1048" width="11" style="151" bestFit="1" customWidth="1"/>
    <col min="1049" max="1281" width="9" style="151"/>
    <col min="1282" max="1282" width="4.625" style="151" bestFit="1" customWidth="1"/>
    <col min="1283" max="1283" width="7.5" style="151" bestFit="1" customWidth="1"/>
    <col min="1284" max="1284" width="6.25" style="151" customWidth="1"/>
    <col min="1285" max="1285" width="11" style="151" bestFit="1" customWidth="1"/>
    <col min="1286" max="1287" width="9.625" style="151" bestFit="1" customWidth="1"/>
    <col min="1288" max="1288" width="8.25" style="151" bestFit="1" customWidth="1"/>
    <col min="1289" max="1290" width="9.625" style="151" bestFit="1" customWidth="1"/>
    <col min="1291" max="1291" width="8.25" style="151" bestFit="1" customWidth="1"/>
    <col min="1292" max="1293" width="9.625" style="151" bestFit="1" customWidth="1"/>
    <col min="1294" max="1295" width="8.25" style="151" bestFit="1" customWidth="1"/>
    <col min="1296" max="1296" width="11" style="151" bestFit="1" customWidth="1"/>
    <col min="1297" max="1297" width="8" style="151" bestFit="1" customWidth="1"/>
    <col min="1298" max="1298" width="7.75" style="151" bestFit="1" customWidth="1"/>
    <col min="1299" max="1300" width="9.625" style="151" bestFit="1" customWidth="1"/>
    <col min="1301" max="1302" width="9.625" style="151" customWidth="1"/>
    <col min="1303" max="1303" width="9.25" style="151" bestFit="1" customWidth="1"/>
    <col min="1304" max="1304" width="11" style="151" bestFit="1" customWidth="1"/>
    <col min="1305" max="1537" width="9" style="151"/>
    <col min="1538" max="1538" width="4.625" style="151" bestFit="1" customWidth="1"/>
    <col min="1539" max="1539" width="7.5" style="151" bestFit="1" customWidth="1"/>
    <col min="1540" max="1540" width="6.25" style="151" customWidth="1"/>
    <col min="1541" max="1541" width="11" style="151" bestFit="1" customWidth="1"/>
    <col min="1542" max="1543" width="9.625" style="151" bestFit="1" customWidth="1"/>
    <col min="1544" max="1544" width="8.25" style="151" bestFit="1" customWidth="1"/>
    <col min="1545" max="1546" width="9.625" style="151" bestFit="1" customWidth="1"/>
    <col min="1547" max="1547" width="8.25" style="151" bestFit="1" customWidth="1"/>
    <col min="1548" max="1549" width="9.625" style="151" bestFit="1" customWidth="1"/>
    <col min="1550" max="1551" width="8.25" style="151" bestFit="1" customWidth="1"/>
    <col min="1552" max="1552" width="11" style="151" bestFit="1" customWidth="1"/>
    <col min="1553" max="1553" width="8" style="151" bestFit="1" customWidth="1"/>
    <col min="1554" max="1554" width="7.75" style="151" bestFit="1" customWidth="1"/>
    <col min="1555" max="1556" width="9.625" style="151" bestFit="1" customWidth="1"/>
    <col min="1557" max="1558" width="9.625" style="151" customWidth="1"/>
    <col min="1559" max="1559" width="9.25" style="151" bestFit="1" customWidth="1"/>
    <col min="1560" max="1560" width="11" style="151" bestFit="1" customWidth="1"/>
    <col min="1561" max="1793" width="9" style="151"/>
    <col min="1794" max="1794" width="4.625" style="151" bestFit="1" customWidth="1"/>
    <col min="1795" max="1795" width="7.5" style="151" bestFit="1" customWidth="1"/>
    <col min="1796" max="1796" width="6.25" style="151" customWidth="1"/>
    <col min="1797" max="1797" width="11" style="151" bestFit="1" customWidth="1"/>
    <col min="1798" max="1799" width="9.625" style="151" bestFit="1" customWidth="1"/>
    <col min="1800" max="1800" width="8.25" style="151" bestFit="1" customWidth="1"/>
    <col min="1801" max="1802" width="9.625" style="151" bestFit="1" customWidth="1"/>
    <col min="1803" max="1803" width="8.25" style="151" bestFit="1" customWidth="1"/>
    <col min="1804" max="1805" width="9.625" style="151" bestFit="1" customWidth="1"/>
    <col min="1806" max="1807" width="8.25" style="151" bestFit="1" customWidth="1"/>
    <col min="1808" max="1808" width="11" style="151" bestFit="1" customWidth="1"/>
    <col min="1809" max="1809" width="8" style="151" bestFit="1" customWidth="1"/>
    <col min="1810" max="1810" width="7.75" style="151" bestFit="1" customWidth="1"/>
    <col min="1811" max="1812" width="9.625" style="151" bestFit="1" customWidth="1"/>
    <col min="1813" max="1814" width="9.625" style="151" customWidth="1"/>
    <col min="1815" max="1815" width="9.25" style="151" bestFit="1" customWidth="1"/>
    <col min="1816" max="1816" width="11" style="151" bestFit="1" customWidth="1"/>
    <col min="1817" max="2049" width="9" style="151"/>
    <col min="2050" max="2050" width="4.625" style="151" bestFit="1" customWidth="1"/>
    <col min="2051" max="2051" width="7.5" style="151" bestFit="1" customWidth="1"/>
    <col min="2052" max="2052" width="6.25" style="151" customWidth="1"/>
    <col min="2053" max="2053" width="11" style="151" bestFit="1" customWidth="1"/>
    <col min="2054" max="2055" width="9.625" style="151" bestFit="1" customWidth="1"/>
    <col min="2056" max="2056" width="8.25" style="151" bestFit="1" customWidth="1"/>
    <col min="2057" max="2058" width="9.625" style="151" bestFit="1" customWidth="1"/>
    <col min="2059" max="2059" width="8.25" style="151" bestFit="1" customWidth="1"/>
    <col min="2060" max="2061" width="9.625" style="151" bestFit="1" customWidth="1"/>
    <col min="2062" max="2063" width="8.25" style="151" bestFit="1" customWidth="1"/>
    <col min="2064" max="2064" width="11" style="151" bestFit="1" customWidth="1"/>
    <col min="2065" max="2065" width="8" style="151" bestFit="1" customWidth="1"/>
    <col min="2066" max="2066" width="7.75" style="151" bestFit="1" customWidth="1"/>
    <col min="2067" max="2068" width="9.625" style="151" bestFit="1" customWidth="1"/>
    <col min="2069" max="2070" width="9.625" style="151" customWidth="1"/>
    <col min="2071" max="2071" width="9.25" style="151" bestFit="1" customWidth="1"/>
    <col min="2072" max="2072" width="11" style="151" bestFit="1" customWidth="1"/>
    <col min="2073" max="2305" width="9" style="151"/>
    <col min="2306" max="2306" width="4.625" style="151" bestFit="1" customWidth="1"/>
    <col min="2307" max="2307" width="7.5" style="151" bestFit="1" customWidth="1"/>
    <col min="2308" max="2308" width="6.25" style="151" customWidth="1"/>
    <col min="2309" max="2309" width="11" style="151" bestFit="1" customWidth="1"/>
    <col min="2310" max="2311" width="9.625" style="151" bestFit="1" customWidth="1"/>
    <col min="2312" max="2312" width="8.25" style="151" bestFit="1" customWidth="1"/>
    <col min="2313" max="2314" width="9.625" style="151" bestFit="1" customWidth="1"/>
    <col min="2315" max="2315" width="8.25" style="151" bestFit="1" customWidth="1"/>
    <col min="2316" max="2317" width="9.625" style="151" bestFit="1" customWidth="1"/>
    <col min="2318" max="2319" width="8.25" style="151" bestFit="1" customWidth="1"/>
    <col min="2320" max="2320" width="11" style="151" bestFit="1" customWidth="1"/>
    <col min="2321" max="2321" width="8" style="151" bestFit="1" customWidth="1"/>
    <col min="2322" max="2322" width="7.75" style="151" bestFit="1" customWidth="1"/>
    <col min="2323" max="2324" width="9.625" style="151" bestFit="1" customWidth="1"/>
    <col min="2325" max="2326" width="9.625" style="151" customWidth="1"/>
    <col min="2327" max="2327" width="9.25" style="151" bestFit="1" customWidth="1"/>
    <col min="2328" max="2328" width="11" style="151" bestFit="1" customWidth="1"/>
    <col min="2329" max="2561" width="9" style="151"/>
    <col min="2562" max="2562" width="4.625" style="151" bestFit="1" customWidth="1"/>
    <col min="2563" max="2563" width="7.5" style="151" bestFit="1" customWidth="1"/>
    <col min="2564" max="2564" width="6.25" style="151" customWidth="1"/>
    <col min="2565" max="2565" width="11" style="151" bestFit="1" customWidth="1"/>
    <col min="2566" max="2567" width="9.625" style="151" bestFit="1" customWidth="1"/>
    <col min="2568" max="2568" width="8.25" style="151" bestFit="1" customWidth="1"/>
    <col min="2569" max="2570" width="9.625" style="151" bestFit="1" customWidth="1"/>
    <col min="2571" max="2571" width="8.25" style="151" bestFit="1" customWidth="1"/>
    <col min="2572" max="2573" width="9.625" style="151" bestFit="1" customWidth="1"/>
    <col min="2574" max="2575" width="8.25" style="151" bestFit="1" customWidth="1"/>
    <col min="2576" max="2576" width="11" style="151" bestFit="1" customWidth="1"/>
    <col min="2577" max="2577" width="8" style="151" bestFit="1" customWidth="1"/>
    <col min="2578" max="2578" width="7.75" style="151" bestFit="1" customWidth="1"/>
    <col min="2579" max="2580" width="9.625" style="151" bestFit="1" customWidth="1"/>
    <col min="2581" max="2582" width="9.625" style="151" customWidth="1"/>
    <col min="2583" max="2583" width="9.25" style="151" bestFit="1" customWidth="1"/>
    <col min="2584" max="2584" width="11" style="151" bestFit="1" customWidth="1"/>
    <col min="2585" max="2817" width="9" style="151"/>
    <col min="2818" max="2818" width="4.625" style="151" bestFit="1" customWidth="1"/>
    <col min="2819" max="2819" width="7.5" style="151" bestFit="1" customWidth="1"/>
    <col min="2820" max="2820" width="6.25" style="151" customWidth="1"/>
    <col min="2821" max="2821" width="11" style="151" bestFit="1" customWidth="1"/>
    <col min="2822" max="2823" width="9.625" style="151" bestFit="1" customWidth="1"/>
    <col min="2824" max="2824" width="8.25" style="151" bestFit="1" customWidth="1"/>
    <col min="2825" max="2826" width="9.625" style="151" bestFit="1" customWidth="1"/>
    <col min="2827" max="2827" width="8.25" style="151" bestFit="1" customWidth="1"/>
    <col min="2828" max="2829" width="9.625" style="151" bestFit="1" customWidth="1"/>
    <col min="2830" max="2831" width="8.25" style="151" bestFit="1" customWidth="1"/>
    <col min="2832" max="2832" width="11" style="151" bestFit="1" customWidth="1"/>
    <col min="2833" max="2833" width="8" style="151" bestFit="1" customWidth="1"/>
    <col min="2834" max="2834" width="7.75" style="151" bestFit="1" customWidth="1"/>
    <col min="2835" max="2836" width="9.625" style="151" bestFit="1" customWidth="1"/>
    <col min="2837" max="2838" width="9.625" style="151" customWidth="1"/>
    <col min="2839" max="2839" width="9.25" style="151" bestFit="1" customWidth="1"/>
    <col min="2840" max="2840" width="11" style="151" bestFit="1" customWidth="1"/>
    <col min="2841" max="3073" width="9" style="151"/>
    <col min="3074" max="3074" width="4.625" style="151" bestFit="1" customWidth="1"/>
    <col min="3075" max="3075" width="7.5" style="151" bestFit="1" customWidth="1"/>
    <col min="3076" max="3076" width="6.25" style="151" customWidth="1"/>
    <col min="3077" max="3077" width="11" style="151" bestFit="1" customWidth="1"/>
    <col min="3078" max="3079" width="9.625" style="151" bestFit="1" customWidth="1"/>
    <col min="3080" max="3080" width="8.25" style="151" bestFit="1" customWidth="1"/>
    <col min="3081" max="3082" width="9.625" style="151" bestFit="1" customWidth="1"/>
    <col min="3083" max="3083" width="8.25" style="151" bestFit="1" customWidth="1"/>
    <col min="3084" max="3085" width="9.625" style="151" bestFit="1" customWidth="1"/>
    <col min="3086" max="3087" width="8.25" style="151" bestFit="1" customWidth="1"/>
    <col min="3088" max="3088" width="11" style="151" bestFit="1" customWidth="1"/>
    <col min="3089" max="3089" width="8" style="151" bestFit="1" customWidth="1"/>
    <col min="3090" max="3090" width="7.75" style="151" bestFit="1" customWidth="1"/>
    <col min="3091" max="3092" width="9.625" style="151" bestFit="1" customWidth="1"/>
    <col min="3093" max="3094" width="9.625" style="151" customWidth="1"/>
    <col min="3095" max="3095" width="9.25" style="151" bestFit="1" customWidth="1"/>
    <col min="3096" max="3096" width="11" style="151" bestFit="1" customWidth="1"/>
    <col min="3097" max="3329" width="9" style="151"/>
    <col min="3330" max="3330" width="4.625" style="151" bestFit="1" customWidth="1"/>
    <col min="3331" max="3331" width="7.5" style="151" bestFit="1" customWidth="1"/>
    <col min="3332" max="3332" width="6.25" style="151" customWidth="1"/>
    <col min="3333" max="3333" width="11" style="151" bestFit="1" customWidth="1"/>
    <col min="3334" max="3335" width="9.625" style="151" bestFit="1" customWidth="1"/>
    <col min="3336" max="3336" width="8.25" style="151" bestFit="1" customWidth="1"/>
    <col min="3337" max="3338" width="9.625" style="151" bestFit="1" customWidth="1"/>
    <col min="3339" max="3339" width="8.25" style="151" bestFit="1" customWidth="1"/>
    <col min="3340" max="3341" width="9.625" style="151" bestFit="1" customWidth="1"/>
    <col min="3342" max="3343" width="8.25" style="151" bestFit="1" customWidth="1"/>
    <col min="3344" max="3344" width="11" style="151" bestFit="1" customWidth="1"/>
    <col min="3345" max="3345" width="8" style="151" bestFit="1" customWidth="1"/>
    <col min="3346" max="3346" width="7.75" style="151" bestFit="1" customWidth="1"/>
    <col min="3347" max="3348" width="9.625" style="151" bestFit="1" customWidth="1"/>
    <col min="3349" max="3350" width="9.625" style="151" customWidth="1"/>
    <col min="3351" max="3351" width="9.25" style="151" bestFit="1" customWidth="1"/>
    <col min="3352" max="3352" width="11" style="151" bestFit="1" customWidth="1"/>
    <col min="3353" max="3585" width="9" style="151"/>
    <col min="3586" max="3586" width="4.625" style="151" bestFit="1" customWidth="1"/>
    <col min="3587" max="3587" width="7.5" style="151" bestFit="1" customWidth="1"/>
    <col min="3588" max="3588" width="6.25" style="151" customWidth="1"/>
    <col min="3589" max="3589" width="11" style="151" bestFit="1" customWidth="1"/>
    <col min="3590" max="3591" width="9.625" style="151" bestFit="1" customWidth="1"/>
    <col min="3592" max="3592" width="8.25" style="151" bestFit="1" customWidth="1"/>
    <col min="3593" max="3594" width="9.625" style="151" bestFit="1" customWidth="1"/>
    <col min="3595" max="3595" width="8.25" style="151" bestFit="1" customWidth="1"/>
    <col min="3596" max="3597" width="9.625" style="151" bestFit="1" customWidth="1"/>
    <col min="3598" max="3599" width="8.25" style="151" bestFit="1" customWidth="1"/>
    <col min="3600" max="3600" width="11" style="151" bestFit="1" customWidth="1"/>
    <col min="3601" max="3601" width="8" style="151" bestFit="1" customWidth="1"/>
    <col min="3602" max="3602" width="7.75" style="151" bestFit="1" customWidth="1"/>
    <col min="3603" max="3604" width="9.625" style="151" bestFit="1" customWidth="1"/>
    <col min="3605" max="3606" width="9.625" style="151" customWidth="1"/>
    <col min="3607" max="3607" width="9.25" style="151" bestFit="1" customWidth="1"/>
    <col min="3608" max="3608" width="11" style="151" bestFit="1" customWidth="1"/>
    <col min="3609" max="3841" width="9" style="151"/>
    <col min="3842" max="3842" width="4.625" style="151" bestFit="1" customWidth="1"/>
    <col min="3843" max="3843" width="7.5" style="151" bestFit="1" customWidth="1"/>
    <col min="3844" max="3844" width="6.25" style="151" customWidth="1"/>
    <col min="3845" max="3845" width="11" style="151" bestFit="1" customWidth="1"/>
    <col min="3846" max="3847" width="9.625" style="151" bestFit="1" customWidth="1"/>
    <col min="3848" max="3848" width="8.25" style="151" bestFit="1" customWidth="1"/>
    <col min="3849" max="3850" width="9.625" style="151" bestFit="1" customWidth="1"/>
    <col min="3851" max="3851" width="8.25" style="151" bestFit="1" customWidth="1"/>
    <col min="3852" max="3853" width="9.625" style="151" bestFit="1" customWidth="1"/>
    <col min="3854" max="3855" width="8.25" style="151" bestFit="1" customWidth="1"/>
    <col min="3856" max="3856" width="11" style="151" bestFit="1" customWidth="1"/>
    <col min="3857" max="3857" width="8" style="151" bestFit="1" customWidth="1"/>
    <col min="3858" max="3858" width="7.75" style="151" bestFit="1" customWidth="1"/>
    <col min="3859" max="3860" width="9.625" style="151" bestFit="1" customWidth="1"/>
    <col min="3861" max="3862" width="9.625" style="151" customWidth="1"/>
    <col min="3863" max="3863" width="9.25" style="151" bestFit="1" customWidth="1"/>
    <col min="3864" max="3864" width="11" style="151" bestFit="1" customWidth="1"/>
    <col min="3865" max="4097" width="9" style="151"/>
    <col min="4098" max="4098" width="4.625" style="151" bestFit="1" customWidth="1"/>
    <col min="4099" max="4099" width="7.5" style="151" bestFit="1" customWidth="1"/>
    <col min="4100" max="4100" width="6.25" style="151" customWidth="1"/>
    <col min="4101" max="4101" width="11" style="151" bestFit="1" customWidth="1"/>
    <col min="4102" max="4103" width="9.625" style="151" bestFit="1" customWidth="1"/>
    <col min="4104" max="4104" width="8.25" style="151" bestFit="1" customWidth="1"/>
    <col min="4105" max="4106" width="9.625" style="151" bestFit="1" customWidth="1"/>
    <col min="4107" max="4107" width="8.25" style="151" bestFit="1" customWidth="1"/>
    <col min="4108" max="4109" width="9.625" style="151" bestFit="1" customWidth="1"/>
    <col min="4110" max="4111" width="8.25" style="151" bestFit="1" customWidth="1"/>
    <col min="4112" max="4112" width="11" style="151" bestFit="1" customWidth="1"/>
    <col min="4113" max="4113" width="8" style="151" bestFit="1" customWidth="1"/>
    <col min="4114" max="4114" width="7.75" style="151" bestFit="1" customWidth="1"/>
    <col min="4115" max="4116" width="9.625" style="151" bestFit="1" customWidth="1"/>
    <col min="4117" max="4118" width="9.625" style="151" customWidth="1"/>
    <col min="4119" max="4119" width="9.25" style="151" bestFit="1" customWidth="1"/>
    <col min="4120" max="4120" width="11" style="151" bestFit="1" customWidth="1"/>
    <col min="4121" max="4353" width="9" style="151"/>
    <col min="4354" max="4354" width="4.625" style="151" bestFit="1" customWidth="1"/>
    <col min="4355" max="4355" width="7.5" style="151" bestFit="1" customWidth="1"/>
    <col min="4356" max="4356" width="6.25" style="151" customWidth="1"/>
    <col min="4357" max="4357" width="11" style="151" bestFit="1" customWidth="1"/>
    <col min="4358" max="4359" width="9.625" style="151" bestFit="1" customWidth="1"/>
    <col min="4360" max="4360" width="8.25" style="151" bestFit="1" customWidth="1"/>
    <col min="4361" max="4362" width="9.625" style="151" bestFit="1" customWidth="1"/>
    <col min="4363" max="4363" width="8.25" style="151" bestFit="1" customWidth="1"/>
    <col min="4364" max="4365" width="9.625" style="151" bestFit="1" customWidth="1"/>
    <col min="4366" max="4367" width="8.25" style="151" bestFit="1" customWidth="1"/>
    <col min="4368" max="4368" width="11" style="151" bestFit="1" customWidth="1"/>
    <col min="4369" max="4369" width="8" style="151" bestFit="1" customWidth="1"/>
    <col min="4370" max="4370" width="7.75" style="151" bestFit="1" customWidth="1"/>
    <col min="4371" max="4372" width="9.625" style="151" bestFit="1" customWidth="1"/>
    <col min="4373" max="4374" width="9.625" style="151" customWidth="1"/>
    <col min="4375" max="4375" width="9.25" style="151" bestFit="1" customWidth="1"/>
    <col min="4376" max="4376" width="11" style="151" bestFit="1" customWidth="1"/>
    <col min="4377" max="4609" width="9" style="151"/>
    <col min="4610" max="4610" width="4.625" style="151" bestFit="1" customWidth="1"/>
    <col min="4611" max="4611" width="7.5" style="151" bestFit="1" customWidth="1"/>
    <col min="4612" max="4612" width="6.25" style="151" customWidth="1"/>
    <col min="4613" max="4613" width="11" style="151" bestFit="1" customWidth="1"/>
    <col min="4614" max="4615" width="9.625" style="151" bestFit="1" customWidth="1"/>
    <col min="4616" max="4616" width="8.25" style="151" bestFit="1" customWidth="1"/>
    <col min="4617" max="4618" width="9.625" style="151" bestFit="1" customWidth="1"/>
    <col min="4619" max="4619" width="8.25" style="151" bestFit="1" customWidth="1"/>
    <col min="4620" max="4621" width="9.625" style="151" bestFit="1" customWidth="1"/>
    <col min="4622" max="4623" width="8.25" style="151" bestFit="1" customWidth="1"/>
    <col min="4624" max="4624" width="11" style="151" bestFit="1" customWidth="1"/>
    <col min="4625" max="4625" width="8" style="151" bestFit="1" customWidth="1"/>
    <col min="4626" max="4626" width="7.75" style="151" bestFit="1" customWidth="1"/>
    <col min="4627" max="4628" width="9.625" style="151" bestFit="1" customWidth="1"/>
    <col min="4629" max="4630" width="9.625" style="151" customWidth="1"/>
    <col min="4631" max="4631" width="9.25" style="151" bestFit="1" customWidth="1"/>
    <col min="4632" max="4632" width="11" style="151" bestFit="1" customWidth="1"/>
    <col min="4633" max="4865" width="9" style="151"/>
    <col min="4866" max="4866" width="4.625" style="151" bestFit="1" customWidth="1"/>
    <col min="4867" max="4867" width="7.5" style="151" bestFit="1" customWidth="1"/>
    <col min="4868" max="4868" width="6.25" style="151" customWidth="1"/>
    <col min="4869" max="4869" width="11" style="151" bestFit="1" customWidth="1"/>
    <col min="4870" max="4871" width="9.625" style="151" bestFit="1" customWidth="1"/>
    <col min="4872" max="4872" width="8.25" style="151" bestFit="1" customWidth="1"/>
    <col min="4873" max="4874" width="9.625" style="151" bestFit="1" customWidth="1"/>
    <col min="4875" max="4875" width="8.25" style="151" bestFit="1" customWidth="1"/>
    <col min="4876" max="4877" width="9.625" style="151" bestFit="1" customWidth="1"/>
    <col min="4878" max="4879" width="8.25" style="151" bestFit="1" customWidth="1"/>
    <col min="4880" max="4880" width="11" style="151" bestFit="1" customWidth="1"/>
    <col min="4881" max="4881" width="8" style="151" bestFit="1" customWidth="1"/>
    <col min="4882" max="4882" width="7.75" style="151" bestFit="1" customWidth="1"/>
    <col min="4883" max="4884" width="9.625" style="151" bestFit="1" customWidth="1"/>
    <col min="4885" max="4886" width="9.625" style="151" customWidth="1"/>
    <col min="4887" max="4887" width="9.25" style="151" bestFit="1" customWidth="1"/>
    <col min="4888" max="4888" width="11" style="151" bestFit="1" customWidth="1"/>
    <col min="4889" max="5121" width="9" style="151"/>
    <col min="5122" max="5122" width="4.625" style="151" bestFit="1" customWidth="1"/>
    <col min="5123" max="5123" width="7.5" style="151" bestFit="1" customWidth="1"/>
    <col min="5124" max="5124" width="6.25" style="151" customWidth="1"/>
    <col min="5125" max="5125" width="11" style="151" bestFit="1" customWidth="1"/>
    <col min="5126" max="5127" width="9.625" style="151" bestFit="1" customWidth="1"/>
    <col min="5128" max="5128" width="8.25" style="151" bestFit="1" customWidth="1"/>
    <col min="5129" max="5130" width="9.625" style="151" bestFit="1" customWidth="1"/>
    <col min="5131" max="5131" width="8.25" style="151" bestFit="1" customWidth="1"/>
    <col min="5132" max="5133" width="9.625" style="151" bestFit="1" customWidth="1"/>
    <col min="5134" max="5135" width="8.25" style="151" bestFit="1" customWidth="1"/>
    <col min="5136" max="5136" width="11" style="151" bestFit="1" customWidth="1"/>
    <col min="5137" max="5137" width="8" style="151" bestFit="1" customWidth="1"/>
    <col min="5138" max="5138" width="7.75" style="151" bestFit="1" customWidth="1"/>
    <col min="5139" max="5140" width="9.625" style="151" bestFit="1" customWidth="1"/>
    <col min="5141" max="5142" width="9.625" style="151" customWidth="1"/>
    <col min="5143" max="5143" width="9.25" style="151" bestFit="1" customWidth="1"/>
    <col min="5144" max="5144" width="11" style="151" bestFit="1" customWidth="1"/>
    <col min="5145" max="5377" width="9" style="151"/>
    <col min="5378" max="5378" width="4.625" style="151" bestFit="1" customWidth="1"/>
    <col min="5379" max="5379" width="7.5" style="151" bestFit="1" customWidth="1"/>
    <col min="5380" max="5380" width="6.25" style="151" customWidth="1"/>
    <col min="5381" max="5381" width="11" style="151" bestFit="1" customWidth="1"/>
    <col min="5382" max="5383" width="9.625" style="151" bestFit="1" customWidth="1"/>
    <col min="5384" max="5384" width="8.25" style="151" bestFit="1" customWidth="1"/>
    <col min="5385" max="5386" width="9.625" style="151" bestFit="1" customWidth="1"/>
    <col min="5387" max="5387" width="8.25" style="151" bestFit="1" customWidth="1"/>
    <col min="5388" max="5389" width="9.625" style="151" bestFit="1" customWidth="1"/>
    <col min="5390" max="5391" width="8.25" style="151" bestFit="1" customWidth="1"/>
    <col min="5392" max="5392" width="11" style="151" bestFit="1" customWidth="1"/>
    <col min="5393" max="5393" width="8" style="151" bestFit="1" customWidth="1"/>
    <col min="5394" max="5394" width="7.75" style="151" bestFit="1" customWidth="1"/>
    <col min="5395" max="5396" width="9.625" style="151" bestFit="1" customWidth="1"/>
    <col min="5397" max="5398" width="9.625" style="151" customWidth="1"/>
    <col min="5399" max="5399" width="9.25" style="151" bestFit="1" customWidth="1"/>
    <col min="5400" max="5400" width="11" style="151" bestFit="1" customWidth="1"/>
    <col min="5401" max="5633" width="9" style="151"/>
    <col min="5634" max="5634" width="4.625" style="151" bestFit="1" customWidth="1"/>
    <col min="5635" max="5635" width="7.5" style="151" bestFit="1" customWidth="1"/>
    <col min="5636" max="5636" width="6.25" style="151" customWidth="1"/>
    <col min="5637" max="5637" width="11" style="151" bestFit="1" customWidth="1"/>
    <col min="5638" max="5639" width="9.625" style="151" bestFit="1" customWidth="1"/>
    <col min="5640" max="5640" width="8.25" style="151" bestFit="1" customWidth="1"/>
    <col min="5641" max="5642" width="9.625" style="151" bestFit="1" customWidth="1"/>
    <col min="5643" max="5643" width="8.25" style="151" bestFit="1" customWidth="1"/>
    <col min="5644" max="5645" width="9.625" style="151" bestFit="1" customWidth="1"/>
    <col min="5646" max="5647" width="8.25" style="151" bestFit="1" customWidth="1"/>
    <col min="5648" max="5648" width="11" style="151" bestFit="1" customWidth="1"/>
    <col min="5649" max="5649" width="8" style="151" bestFit="1" customWidth="1"/>
    <col min="5650" max="5650" width="7.75" style="151" bestFit="1" customWidth="1"/>
    <col min="5651" max="5652" width="9.625" style="151" bestFit="1" customWidth="1"/>
    <col min="5653" max="5654" width="9.625" style="151" customWidth="1"/>
    <col min="5655" max="5655" width="9.25" style="151" bestFit="1" customWidth="1"/>
    <col min="5656" max="5656" width="11" style="151" bestFit="1" customWidth="1"/>
    <col min="5657" max="5889" width="9" style="151"/>
    <col min="5890" max="5890" width="4.625" style="151" bestFit="1" customWidth="1"/>
    <col min="5891" max="5891" width="7.5" style="151" bestFit="1" customWidth="1"/>
    <col min="5892" max="5892" width="6.25" style="151" customWidth="1"/>
    <col min="5893" max="5893" width="11" style="151" bestFit="1" customWidth="1"/>
    <col min="5894" max="5895" width="9.625" style="151" bestFit="1" customWidth="1"/>
    <col min="5896" max="5896" width="8.25" style="151" bestFit="1" customWidth="1"/>
    <col min="5897" max="5898" width="9.625" style="151" bestFit="1" customWidth="1"/>
    <col min="5899" max="5899" width="8.25" style="151" bestFit="1" customWidth="1"/>
    <col min="5900" max="5901" width="9.625" style="151" bestFit="1" customWidth="1"/>
    <col min="5902" max="5903" width="8.25" style="151" bestFit="1" customWidth="1"/>
    <col min="5904" max="5904" width="11" style="151" bestFit="1" customWidth="1"/>
    <col min="5905" max="5905" width="8" style="151" bestFit="1" customWidth="1"/>
    <col min="5906" max="5906" width="7.75" style="151" bestFit="1" customWidth="1"/>
    <col min="5907" max="5908" width="9.625" style="151" bestFit="1" customWidth="1"/>
    <col min="5909" max="5910" width="9.625" style="151" customWidth="1"/>
    <col min="5911" max="5911" width="9.25" style="151" bestFit="1" customWidth="1"/>
    <col min="5912" max="5912" width="11" style="151" bestFit="1" customWidth="1"/>
    <col min="5913" max="6145" width="9" style="151"/>
    <col min="6146" max="6146" width="4.625" style="151" bestFit="1" customWidth="1"/>
    <col min="6147" max="6147" width="7.5" style="151" bestFit="1" customWidth="1"/>
    <col min="6148" max="6148" width="6.25" style="151" customWidth="1"/>
    <col min="6149" max="6149" width="11" style="151" bestFit="1" customWidth="1"/>
    <col min="6150" max="6151" width="9.625" style="151" bestFit="1" customWidth="1"/>
    <col min="6152" max="6152" width="8.25" style="151" bestFit="1" customWidth="1"/>
    <col min="6153" max="6154" width="9.625" style="151" bestFit="1" customWidth="1"/>
    <col min="6155" max="6155" width="8.25" style="151" bestFit="1" customWidth="1"/>
    <col min="6156" max="6157" width="9.625" style="151" bestFit="1" customWidth="1"/>
    <col min="6158" max="6159" width="8.25" style="151" bestFit="1" customWidth="1"/>
    <col min="6160" max="6160" width="11" style="151" bestFit="1" customWidth="1"/>
    <col min="6161" max="6161" width="8" style="151" bestFit="1" customWidth="1"/>
    <col min="6162" max="6162" width="7.75" style="151" bestFit="1" customWidth="1"/>
    <col min="6163" max="6164" width="9.625" style="151" bestFit="1" customWidth="1"/>
    <col min="6165" max="6166" width="9.625" style="151" customWidth="1"/>
    <col min="6167" max="6167" width="9.25" style="151" bestFit="1" customWidth="1"/>
    <col min="6168" max="6168" width="11" style="151" bestFit="1" customWidth="1"/>
    <col min="6169" max="6401" width="9" style="151"/>
    <col min="6402" max="6402" width="4.625" style="151" bestFit="1" customWidth="1"/>
    <col min="6403" max="6403" width="7.5" style="151" bestFit="1" customWidth="1"/>
    <col min="6404" max="6404" width="6.25" style="151" customWidth="1"/>
    <col min="6405" max="6405" width="11" style="151" bestFit="1" customWidth="1"/>
    <col min="6406" max="6407" width="9.625" style="151" bestFit="1" customWidth="1"/>
    <col min="6408" max="6408" width="8.25" style="151" bestFit="1" customWidth="1"/>
    <col min="6409" max="6410" width="9.625" style="151" bestFit="1" customWidth="1"/>
    <col min="6411" max="6411" width="8.25" style="151" bestFit="1" customWidth="1"/>
    <col min="6412" max="6413" width="9.625" style="151" bestFit="1" customWidth="1"/>
    <col min="6414" max="6415" width="8.25" style="151" bestFit="1" customWidth="1"/>
    <col min="6416" max="6416" width="11" style="151" bestFit="1" customWidth="1"/>
    <col min="6417" max="6417" width="8" style="151" bestFit="1" customWidth="1"/>
    <col min="6418" max="6418" width="7.75" style="151" bestFit="1" customWidth="1"/>
    <col min="6419" max="6420" width="9.625" style="151" bestFit="1" customWidth="1"/>
    <col min="6421" max="6422" width="9.625" style="151" customWidth="1"/>
    <col min="6423" max="6423" width="9.25" style="151" bestFit="1" customWidth="1"/>
    <col min="6424" max="6424" width="11" style="151" bestFit="1" customWidth="1"/>
    <col min="6425" max="6657" width="9" style="151"/>
    <col min="6658" max="6658" width="4.625" style="151" bestFit="1" customWidth="1"/>
    <col min="6659" max="6659" width="7.5" style="151" bestFit="1" customWidth="1"/>
    <col min="6660" max="6660" width="6.25" style="151" customWidth="1"/>
    <col min="6661" max="6661" width="11" style="151" bestFit="1" customWidth="1"/>
    <col min="6662" max="6663" width="9.625" style="151" bestFit="1" customWidth="1"/>
    <col min="6664" max="6664" width="8.25" style="151" bestFit="1" customWidth="1"/>
    <col min="6665" max="6666" width="9.625" style="151" bestFit="1" customWidth="1"/>
    <col min="6667" max="6667" width="8.25" style="151" bestFit="1" customWidth="1"/>
    <col min="6668" max="6669" width="9.625" style="151" bestFit="1" customWidth="1"/>
    <col min="6670" max="6671" width="8.25" style="151" bestFit="1" customWidth="1"/>
    <col min="6672" max="6672" width="11" style="151" bestFit="1" customWidth="1"/>
    <col min="6673" max="6673" width="8" style="151" bestFit="1" customWidth="1"/>
    <col min="6674" max="6674" width="7.75" style="151" bestFit="1" customWidth="1"/>
    <col min="6675" max="6676" width="9.625" style="151" bestFit="1" customWidth="1"/>
    <col min="6677" max="6678" width="9.625" style="151" customWidth="1"/>
    <col min="6679" max="6679" width="9.25" style="151" bestFit="1" customWidth="1"/>
    <col min="6680" max="6680" width="11" style="151" bestFit="1" customWidth="1"/>
    <col min="6681" max="6913" width="9" style="151"/>
    <col min="6914" max="6914" width="4.625" style="151" bestFit="1" customWidth="1"/>
    <col min="6915" max="6915" width="7.5" style="151" bestFit="1" customWidth="1"/>
    <col min="6916" max="6916" width="6.25" style="151" customWidth="1"/>
    <col min="6917" max="6917" width="11" style="151" bestFit="1" customWidth="1"/>
    <col min="6918" max="6919" width="9.625" style="151" bestFit="1" customWidth="1"/>
    <col min="6920" max="6920" width="8.25" style="151" bestFit="1" customWidth="1"/>
    <col min="6921" max="6922" width="9.625" style="151" bestFit="1" customWidth="1"/>
    <col min="6923" max="6923" width="8.25" style="151" bestFit="1" customWidth="1"/>
    <col min="6924" max="6925" width="9.625" style="151" bestFit="1" customWidth="1"/>
    <col min="6926" max="6927" width="8.25" style="151" bestFit="1" customWidth="1"/>
    <col min="6928" max="6928" width="11" style="151" bestFit="1" customWidth="1"/>
    <col min="6929" max="6929" width="8" style="151" bestFit="1" customWidth="1"/>
    <col min="6930" max="6930" width="7.75" style="151" bestFit="1" customWidth="1"/>
    <col min="6931" max="6932" width="9.625" style="151" bestFit="1" customWidth="1"/>
    <col min="6933" max="6934" width="9.625" style="151" customWidth="1"/>
    <col min="6935" max="6935" width="9.25" style="151" bestFit="1" customWidth="1"/>
    <col min="6936" max="6936" width="11" style="151" bestFit="1" customWidth="1"/>
    <col min="6937" max="7169" width="9" style="151"/>
    <col min="7170" max="7170" width="4.625" style="151" bestFit="1" customWidth="1"/>
    <col min="7171" max="7171" width="7.5" style="151" bestFit="1" customWidth="1"/>
    <col min="7172" max="7172" width="6.25" style="151" customWidth="1"/>
    <col min="7173" max="7173" width="11" style="151" bestFit="1" customWidth="1"/>
    <col min="7174" max="7175" width="9.625" style="151" bestFit="1" customWidth="1"/>
    <col min="7176" max="7176" width="8.25" style="151" bestFit="1" customWidth="1"/>
    <col min="7177" max="7178" width="9.625" style="151" bestFit="1" customWidth="1"/>
    <col min="7179" max="7179" width="8.25" style="151" bestFit="1" customWidth="1"/>
    <col min="7180" max="7181" width="9.625" style="151" bestFit="1" customWidth="1"/>
    <col min="7182" max="7183" width="8.25" style="151" bestFit="1" customWidth="1"/>
    <col min="7184" max="7184" width="11" style="151" bestFit="1" customWidth="1"/>
    <col min="7185" max="7185" width="8" style="151" bestFit="1" customWidth="1"/>
    <col min="7186" max="7186" width="7.75" style="151" bestFit="1" customWidth="1"/>
    <col min="7187" max="7188" width="9.625" style="151" bestFit="1" customWidth="1"/>
    <col min="7189" max="7190" width="9.625" style="151" customWidth="1"/>
    <col min="7191" max="7191" width="9.25" style="151" bestFit="1" customWidth="1"/>
    <col min="7192" max="7192" width="11" style="151" bestFit="1" customWidth="1"/>
    <col min="7193" max="7425" width="9" style="151"/>
    <col min="7426" max="7426" width="4.625" style="151" bestFit="1" customWidth="1"/>
    <col min="7427" max="7427" width="7.5" style="151" bestFit="1" customWidth="1"/>
    <col min="7428" max="7428" width="6.25" style="151" customWidth="1"/>
    <col min="7429" max="7429" width="11" style="151" bestFit="1" customWidth="1"/>
    <col min="7430" max="7431" width="9.625" style="151" bestFit="1" customWidth="1"/>
    <col min="7432" max="7432" width="8.25" style="151" bestFit="1" customWidth="1"/>
    <col min="7433" max="7434" width="9.625" style="151" bestFit="1" customWidth="1"/>
    <col min="7435" max="7435" width="8.25" style="151" bestFit="1" customWidth="1"/>
    <col min="7436" max="7437" width="9.625" style="151" bestFit="1" customWidth="1"/>
    <col min="7438" max="7439" width="8.25" style="151" bestFit="1" customWidth="1"/>
    <col min="7440" max="7440" width="11" style="151" bestFit="1" customWidth="1"/>
    <col min="7441" max="7441" width="8" style="151" bestFit="1" customWidth="1"/>
    <col min="7442" max="7442" width="7.75" style="151" bestFit="1" customWidth="1"/>
    <col min="7443" max="7444" width="9.625" style="151" bestFit="1" customWidth="1"/>
    <col min="7445" max="7446" width="9.625" style="151" customWidth="1"/>
    <col min="7447" max="7447" width="9.25" style="151" bestFit="1" customWidth="1"/>
    <col min="7448" max="7448" width="11" style="151" bestFit="1" customWidth="1"/>
    <col min="7449" max="7681" width="9" style="151"/>
    <col min="7682" max="7682" width="4.625" style="151" bestFit="1" customWidth="1"/>
    <col min="7683" max="7683" width="7.5" style="151" bestFit="1" customWidth="1"/>
    <col min="7684" max="7684" width="6.25" style="151" customWidth="1"/>
    <col min="7685" max="7685" width="11" style="151" bestFit="1" customWidth="1"/>
    <col min="7686" max="7687" width="9.625" style="151" bestFit="1" customWidth="1"/>
    <col min="7688" max="7688" width="8.25" style="151" bestFit="1" customWidth="1"/>
    <col min="7689" max="7690" width="9.625" style="151" bestFit="1" customWidth="1"/>
    <col min="7691" max="7691" width="8.25" style="151" bestFit="1" customWidth="1"/>
    <col min="7692" max="7693" width="9.625" style="151" bestFit="1" customWidth="1"/>
    <col min="7694" max="7695" width="8.25" style="151" bestFit="1" customWidth="1"/>
    <col min="7696" max="7696" width="11" style="151" bestFit="1" customWidth="1"/>
    <col min="7697" max="7697" width="8" style="151" bestFit="1" customWidth="1"/>
    <col min="7698" max="7698" width="7.75" style="151" bestFit="1" customWidth="1"/>
    <col min="7699" max="7700" width="9.625" style="151" bestFit="1" customWidth="1"/>
    <col min="7701" max="7702" width="9.625" style="151" customWidth="1"/>
    <col min="7703" max="7703" width="9.25" style="151" bestFit="1" customWidth="1"/>
    <col min="7704" max="7704" width="11" style="151" bestFit="1" customWidth="1"/>
    <col min="7705" max="7937" width="9" style="151"/>
    <col min="7938" max="7938" width="4.625" style="151" bestFit="1" customWidth="1"/>
    <col min="7939" max="7939" width="7.5" style="151" bestFit="1" customWidth="1"/>
    <col min="7940" max="7940" width="6.25" style="151" customWidth="1"/>
    <col min="7941" max="7941" width="11" style="151" bestFit="1" customWidth="1"/>
    <col min="7942" max="7943" width="9.625" style="151" bestFit="1" customWidth="1"/>
    <col min="7944" max="7944" width="8.25" style="151" bestFit="1" customWidth="1"/>
    <col min="7945" max="7946" width="9.625" style="151" bestFit="1" customWidth="1"/>
    <col min="7947" max="7947" width="8.25" style="151" bestFit="1" customWidth="1"/>
    <col min="7948" max="7949" width="9.625" style="151" bestFit="1" customWidth="1"/>
    <col min="7950" max="7951" width="8.25" style="151" bestFit="1" customWidth="1"/>
    <col min="7952" max="7952" width="11" style="151" bestFit="1" customWidth="1"/>
    <col min="7953" max="7953" width="8" style="151" bestFit="1" customWidth="1"/>
    <col min="7954" max="7954" width="7.75" style="151" bestFit="1" customWidth="1"/>
    <col min="7955" max="7956" width="9.625" style="151" bestFit="1" customWidth="1"/>
    <col min="7957" max="7958" width="9.625" style="151" customWidth="1"/>
    <col min="7959" max="7959" width="9.25" style="151" bestFit="1" customWidth="1"/>
    <col min="7960" max="7960" width="11" style="151" bestFit="1" customWidth="1"/>
    <col min="7961" max="8193" width="9" style="151"/>
    <col min="8194" max="8194" width="4.625" style="151" bestFit="1" customWidth="1"/>
    <col min="8195" max="8195" width="7.5" style="151" bestFit="1" customWidth="1"/>
    <col min="8196" max="8196" width="6.25" style="151" customWidth="1"/>
    <col min="8197" max="8197" width="11" style="151" bestFit="1" customWidth="1"/>
    <col min="8198" max="8199" width="9.625" style="151" bestFit="1" customWidth="1"/>
    <col min="8200" max="8200" width="8.25" style="151" bestFit="1" customWidth="1"/>
    <col min="8201" max="8202" width="9.625" style="151" bestFit="1" customWidth="1"/>
    <col min="8203" max="8203" width="8.25" style="151" bestFit="1" customWidth="1"/>
    <col min="8204" max="8205" width="9.625" style="151" bestFit="1" customWidth="1"/>
    <col min="8206" max="8207" width="8.25" style="151" bestFit="1" customWidth="1"/>
    <col min="8208" max="8208" width="11" style="151" bestFit="1" customWidth="1"/>
    <col min="8209" max="8209" width="8" style="151" bestFit="1" customWidth="1"/>
    <col min="8210" max="8210" width="7.75" style="151" bestFit="1" customWidth="1"/>
    <col min="8211" max="8212" width="9.625" style="151" bestFit="1" customWidth="1"/>
    <col min="8213" max="8214" width="9.625" style="151" customWidth="1"/>
    <col min="8215" max="8215" width="9.25" style="151" bestFit="1" customWidth="1"/>
    <col min="8216" max="8216" width="11" style="151" bestFit="1" customWidth="1"/>
    <col min="8217" max="8449" width="9" style="151"/>
    <col min="8450" max="8450" width="4.625" style="151" bestFit="1" customWidth="1"/>
    <col min="8451" max="8451" width="7.5" style="151" bestFit="1" customWidth="1"/>
    <col min="8452" max="8452" width="6.25" style="151" customWidth="1"/>
    <col min="8453" max="8453" width="11" style="151" bestFit="1" customWidth="1"/>
    <col min="8454" max="8455" width="9.625" style="151" bestFit="1" customWidth="1"/>
    <col min="8456" max="8456" width="8.25" style="151" bestFit="1" customWidth="1"/>
    <col min="8457" max="8458" width="9.625" style="151" bestFit="1" customWidth="1"/>
    <col min="8459" max="8459" width="8.25" style="151" bestFit="1" customWidth="1"/>
    <col min="8460" max="8461" width="9.625" style="151" bestFit="1" customWidth="1"/>
    <col min="8462" max="8463" width="8.25" style="151" bestFit="1" customWidth="1"/>
    <col min="8464" max="8464" width="11" style="151" bestFit="1" customWidth="1"/>
    <col min="8465" max="8465" width="8" style="151" bestFit="1" customWidth="1"/>
    <col min="8466" max="8466" width="7.75" style="151" bestFit="1" customWidth="1"/>
    <col min="8467" max="8468" width="9.625" style="151" bestFit="1" customWidth="1"/>
    <col min="8469" max="8470" width="9.625" style="151" customWidth="1"/>
    <col min="8471" max="8471" width="9.25" style="151" bestFit="1" customWidth="1"/>
    <col min="8472" max="8472" width="11" style="151" bestFit="1" customWidth="1"/>
    <col min="8473" max="8705" width="9" style="151"/>
    <col min="8706" max="8706" width="4.625" style="151" bestFit="1" customWidth="1"/>
    <col min="8707" max="8707" width="7.5" style="151" bestFit="1" customWidth="1"/>
    <col min="8708" max="8708" width="6.25" style="151" customWidth="1"/>
    <col min="8709" max="8709" width="11" style="151" bestFit="1" customWidth="1"/>
    <col min="8710" max="8711" width="9.625" style="151" bestFit="1" customWidth="1"/>
    <col min="8712" max="8712" width="8.25" style="151" bestFit="1" customWidth="1"/>
    <col min="8713" max="8714" width="9.625" style="151" bestFit="1" customWidth="1"/>
    <col min="8715" max="8715" width="8.25" style="151" bestFit="1" customWidth="1"/>
    <col min="8716" max="8717" width="9.625" style="151" bestFit="1" customWidth="1"/>
    <col min="8718" max="8719" width="8.25" style="151" bestFit="1" customWidth="1"/>
    <col min="8720" max="8720" width="11" style="151" bestFit="1" customWidth="1"/>
    <col min="8721" max="8721" width="8" style="151" bestFit="1" customWidth="1"/>
    <col min="8722" max="8722" width="7.75" style="151" bestFit="1" customWidth="1"/>
    <col min="8723" max="8724" width="9.625" style="151" bestFit="1" customWidth="1"/>
    <col min="8725" max="8726" width="9.625" style="151" customWidth="1"/>
    <col min="8727" max="8727" width="9.25" style="151" bestFit="1" customWidth="1"/>
    <col min="8728" max="8728" width="11" style="151" bestFit="1" customWidth="1"/>
    <col min="8729" max="8961" width="9" style="151"/>
    <col min="8962" max="8962" width="4.625" style="151" bestFit="1" customWidth="1"/>
    <col min="8963" max="8963" width="7.5" style="151" bestFit="1" customWidth="1"/>
    <col min="8964" max="8964" width="6.25" style="151" customWidth="1"/>
    <col min="8965" max="8965" width="11" style="151" bestFit="1" customWidth="1"/>
    <col min="8966" max="8967" width="9.625" style="151" bestFit="1" customWidth="1"/>
    <col min="8968" max="8968" width="8.25" style="151" bestFit="1" customWidth="1"/>
    <col min="8969" max="8970" width="9.625" style="151" bestFit="1" customWidth="1"/>
    <col min="8971" max="8971" width="8.25" style="151" bestFit="1" customWidth="1"/>
    <col min="8972" max="8973" width="9.625" style="151" bestFit="1" customWidth="1"/>
    <col min="8974" max="8975" width="8.25" style="151" bestFit="1" customWidth="1"/>
    <col min="8976" max="8976" width="11" style="151" bestFit="1" customWidth="1"/>
    <col min="8977" max="8977" width="8" style="151" bestFit="1" customWidth="1"/>
    <col min="8978" max="8978" width="7.75" style="151" bestFit="1" customWidth="1"/>
    <col min="8979" max="8980" width="9.625" style="151" bestFit="1" customWidth="1"/>
    <col min="8981" max="8982" width="9.625" style="151" customWidth="1"/>
    <col min="8983" max="8983" width="9.25" style="151" bestFit="1" customWidth="1"/>
    <col min="8984" max="8984" width="11" style="151" bestFit="1" customWidth="1"/>
    <col min="8985" max="9217" width="9" style="151"/>
    <col min="9218" max="9218" width="4.625" style="151" bestFit="1" customWidth="1"/>
    <col min="9219" max="9219" width="7.5" style="151" bestFit="1" customWidth="1"/>
    <col min="9220" max="9220" width="6.25" style="151" customWidth="1"/>
    <col min="9221" max="9221" width="11" style="151" bestFit="1" customWidth="1"/>
    <col min="9222" max="9223" width="9.625" style="151" bestFit="1" customWidth="1"/>
    <col min="9224" max="9224" width="8.25" style="151" bestFit="1" customWidth="1"/>
    <col min="9225" max="9226" width="9.625" style="151" bestFit="1" customWidth="1"/>
    <col min="9227" max="9227" width="8.25" style="151" bestFit="1" customWidth="1"/>
    <col min="9228" max="9229" width="9.625" style="151" bestFit="1" customWidth="1"/>
    <col min="9230" max="9231" width="8.25" style="151" bestFit="1" customWidth="1"/>
    <col min="9232" max="9232" width="11" style="151" bestFit="1" customWidth="1"/>
    <col min="9233" max="9233" width="8" style="151" bestFit="1" customWidth="1"/>
    <col min="9234" max="9234" width="7.75" style="151" bestFit="1" customWidth="1"/>
    <col min="9235" max="9236" width="9.625" style="151" bestFit="1" customWidth="1"/>
    <col min="9237" max="9238" width="9.625" style="151" customWidth="1"/>
    <col min="9239" max="9239" width="9.25" style="151" bestFit="1" customWidth="1"/>
    <col min="9240" max="9240" width="11" style="151" bestFit="1" customWidth="1"/>
    <col min="9241" max="9473" width="9" style="151"/>
    <col min="9474" max="9474" width="4.625" style="151" bestFit="1" customWidth="1"/>
    <col min="9475" max="9475" width="7.5" style="151" bestFit="1" customWidth="1"/>
    <col min="9476" max="9476" width="6.25" style="151" customWidth="1"/>
    <col min="9477" max="9477" width="11" style="151" bestFit="1" customWidth="1"/>
    <col min="9478" max="9479" width="9.625" style="151" bestFit="1" customWidth="1"/>
    <col min="9480" max="9480" width="8.25" style="151" bestFit="1" customWidth="1"/>
    <col min="9481" max="9482" width="9.625" style="151" bestFit="1" customWidth="1"/>
    <col min="9483" max="9483" width="8.25" style="151" bestFit="1" customWidth="1"/>
    <col min="9484" max="9485" width="9.625" style="151" bestFit="1" customWidth="1"/>
    <col min="9486" max="9487" width="8.25" style="151" bestFit="1" customWidth="1"/>
    <col min="9488" max="9488" width="11" style="151" bestFit="1" customWidth="1"/>
    <col min="9489" max="9489" width="8" style="151" bestFit="1" customWidth="1"/>
    <col min="9490" max="9490" width="7.75" style="151" bestFit="1" customWidth="1"/>
    <col min="9491" max="9492" width="9.625" style="151" bestFit="1" customWidth="1"/>
    <col min="9493" max="9494" width="9.625" style="151" customWidth="1"/>
    <col min="9495" max="9495" width="9.25" style="151" bestFit="1" customWidth="1"/>
    <col min="9496" max="9496" width="11" style="151" bestFit="1" customWidth="1"/>
    <col min="9497" max="9729" width="9" style="151"/>
    <col min="9730" max="9730" width="4.625" style="151" bestFit="1" customWidth="1"/>
    <col min="9731" max="9731" width="7.5" style="151" bestFit="1" customWidth="1"/>
    <col min="9732" max="9732" width="6.25" style="151" customWidth="1"/>
    <col min="9733" max="9733" width="11" style="151" bestFit="1" customWidth="1"/>
    <col min="9734" max="9735" width="9.625" style="151" bestFit="1" customWidth="1"/>
    <col min="9736" max="9736" width="8.25" style="151" bestFit="1" customWidth="1"/>
    <col min="9737" max="9738" width="9.625" style="151" bestFit="1" customWidth="1"/>
    <col min="9739" max="9739" width="8.25" style="151" bestFit="1" customWidth="1"/>
    <col min="9740" max="9741" width="9.625" style="151" bestFit="1" customWidth="1"/>
    <col min="9742" max="9743" width="8.25" style="151" bestFit="1" customWidth="1"/>
    <col min="9744" max="9744" width="11" style="151" bestFit="1" customWidth="1"/>
    <col min="9745" max="9745" width="8" style="151" bestFit="1" customWidth="1"/>
    <col min="9746" max="9746" width="7.75" style="151" bestFit="1" customWidth="1"/>
    <col min="9747" max="9748" width="9.625" style="151" bestFit="1" customWidth="1"/>
    <col min="9749" max="9750" width="9.625" style="151" customWidth="1"/>
    <col min="9751" max="9751" width="9.25" style="151" bestFit="1" customWidth="1"/>
    <col min="9752" max="9752" width="11" style="151" bestFit="1" customWidth="1"/>
    <col min="9753" max="9985" width="9" style="151"/>
    <col min="9986" max="9986" width="4.625" style="151" bestFit="1" customWidth="1"/>
    <col min="9987" max="9987" width="7.5" style="151" bestFit="1" customWidth="1"/>
    <col min="9988" max="9988" width="6.25" style="151" customWidth="1"/>
    <col min="9989" max="9989" width="11" style="151" bestFit="1" customWidth="1"/>
    <col min="9990" max="9991" width="9.625" style="151" bestFit="1" customWidth="1"/>
    <col min="9992" max="9992" width="8.25" style="151" bestFit="1" customWidth="1"/>
    <col min="9993" max="9994" width="9.625" style="151" bestFit="1" customWidth="1"/>
    <col min="9995" max="9995" width="8.25" style="151" bestFit="1" customWidth="1"/>
    <col min="9996" max="9997" width="9.625" style="151" bestFit="1" customWidth="1"/>
    <col min="9998" max="9999" width="8.25" style="151" bestFit="1" customWidth="1"/>
    <col min="10000" max="10000" width="11" style="151" bestFit="1" customWidth="1"/>
    <col min="10001" max="10001" width="8" style="151" bestFit="1" customWidth="1"/>
    <col min="10002" max="10002" width="7.75" style="151" bestFit="1" customWidth="1"/>
    <col min="10003" max="10004" width="9.625" style="151" bestFit="1" customWidth="1"/>
    <col min="10005" max="10006" width="9.625" style="151" customWidth="1"/>
    <col min="10007" max="10007" width="9.25" style="151" bestFit="1" customWidth="1"/>
    <col min="10008" max="10008" width="11" style="151" bestFit="1" customWidth="1"/>
    <col min="10009" max="10241" width="9" style="151"/>
    <col min="10242" max="10242" width="4.625" style="151" bestFit="1" customWidth="1"/>
    <col min="10243" max="10243" width="7.5" style="151" bestFit="1" customWidth="1"/>
    <col min="10244" max="10244" width="6.25" style="151" customWidth="1"/>
    <col min="10245" max="10245" width="11" style="151" bestFit="1" customWidth="1"/>
    <col min="10246" max="10247" width="9.625" style="151" bestFit="1" customWidth="1"/>
    <col min="10248" max="10248" width="8.25" style="151" bestFit="1" customWidth="1"/>
    <col min="10249" max="10250" width="9.625" style="151" bestFit="1" customWidth="1"/>
    <col min="10251" max="10251" width="8.25" style="151" bestFit="1" customWidth="1"/>
    <col min="10252" max="10253" width="9.625" style="151" bestFit="1" customWidth="1"/>
    <col min="10254" max="10255" width="8.25" style="151" bestFit="1" customWidth="1"/>
    <col min="10256" max="10256" width="11" style="151" bestFit="1" customWidth="1"/>
    <col min="10257" max="10257" width="8" style="151" bestFit="1" customWidth="1"/>
    <col min="10258" max="10258" width="7.75" style="151" bestFit="1" customWidth="1"/>
    <col min="10259" max="10260" width="9.625" style="151" bestFit="1" customWidth="1"/>
    <col min="10261" max="10262" width="9.625" style="151" customWidth="1"/>
    <col min="10263" max="10263" width="9.25" style="151" bestFit="1" customWidth="1"/>
    <col min="10264" max="10264" width="11" style="151" bestFit="1" customWidth="1"/>
    <col min="10265" max="10497" width="9" style="151"/>
    <col min="10498" max="10498" width="4.625" style="151" bestFit="1" customWidth="1"/>
    <col min="10499" max="10499" width="7.5" style="151" bestFit="1" customWidth="1"/>
    <col min="10500" max="10500" width="6.25" style="151" customWidth="1"/>
    <col min="10501" max="10501" width="11" style="151" bestFit="1" customWidth="1"/>
    <col min="10502" max="10503" width="9.625" style="151" bestFit="1" customWidth="1"/>
    <col min="10504" max="10504" width="8.25" style="151" bestFit="1" customWidth="1"/>
    <col min="10505" max="10506" width="9.625" style="151" bestFit="1" customWidth="1"/>
    <col min="10507" max="10507" width="8.25" style="151" bestFit="1" customWidth="1"/>
    <col min="10508" max="10509" width="9.625" style="151" bestFit="1" customWidth="1"/>
    <col min="10510" max="10511" width="8.25" style="151" bestFit="1" customWidth="1"/>
    <col min="10512" max="10512" width="11" style="151" bestFit="1" customWidth="1"/>
    <col min="10513" max="10513" width="8" style="151" bestFit="1" customWidth="1"/>
    <col min="10514" max="10514" width="7.75" style="151" bestFit="1" customWidth="1"/>
    <col min="10515" max="10516" width="9.625" style="151" bestFit="1" customWidth="1"/>
    <col min="10517" max="10518" width="9.625" style="151" customWidth="1"/>
    <col min="10519" max="10519" width="9.25" style="151" bestFit="1" customWidth="1"/>
    <col min="10520" max="10520" width="11" style="151" bestFit="1" customWidth="1"/>
    <col min="10521" max="10753" width="9" style="151"/>
    <col min="10754" max="10754" width="4.625" style="151" bestFit="1" customWidth="1"/>
    <col min="10755" max="10755" width="7.5" style="151" bestFit="1" customWidth="1"/>
    <col min="10756" max="10756" width="6.25" style="151" customWidth="1"/>
    <col min="10757" max="10757" width="11" style="151" bestFit="1" customWidth="1"/>
    <col min="10758" max="10759" width="9.625" style="151" bestFit="1" customWidth="1"/>
    <col min="10760" max="10760" width="8.25" style="151" bestFit="1" customWidth="1"/>
    <col min="10761" max="10762" width="9.625" style="151" bestFit="1" customWidth="1"/>
    <col min="10763" max="10763" width="8.25" style="151" bestFit="1" customWidth="1"/>
    <col min="10764" max="10765" width="9.625" style="151" bestFit="1" customWidth="1"/>
    <col min="10766" max="10767" width="8.25" style="151" bestFit="1" customWidth="1"/>
    <col min="10768" max="10768" width="11" style="151" bestFit="1" customWidth="1"/>
    <col min="10769" max="10769" width="8" style="151" bestFit="1" customWidth="1"/>
    <col min="10770" max="10770" width="7.75" style="151" bestFit="1" customWidth="1"/>
    <col min="10771" max="10772" width="9.625" style="151" bestFit="1" customWidth="1"/>
    <col min="10773" max="10774" width="9.625" style="151" customWidth="1"/>
    <col min="10775" max="10775" width="9.25" style="151" bestFit="1" customWidth="1"/>
    <col min="10776" max="10776" width="11" style="151" bestFit="1" customWidth="1"/>
    <col min="10777" max="11009" width="9" style="151"/>
    <col min="11010" max="11010" width="4.625" style="151" bestFit="1" customWidth="1"/>
    <col min="11011" max="11011" width="7.5" style="151" bestFit="1" customWidth="1"/>
    <col min="11012" max="11012" width="6.25" style="151" customWidth="1"/>
    <col min="11013" max="11013" width="11" style="151" bestFit="1" customWidth="1"/>
    <col min="11014" max="11015" width="9.625" style="151" bestFit="1" customWidth="1"/>
    <col min="11016" max="11016" width="8.25" style="151" bestFit="1" customWidth="1"/>
    <col min="11017" max="11018" width="9.625" style="151" bestFit="1" customWidth="1"/>
    <col min="11019" max="11019" width="8.25" style="151" bestFit="1" customWidth="1"/>
    <col min="11020" max="11021" width="9.625" style="151" bestFit="1" customWidth="1"/>
    <col min="11022" max="11023" width="8.25" style="151" bestFit="1" customWidth="1"/>
    <col min="11024" max="11024" width="11" style="151" bestFit="1" customWidth="1"/>
    <col min="11025" max="11025" width="8" style="151" bestFit="1" customWidth="1"/>
    <col min="11026" max="11026" width="7.75" style="151" bestFit="1" customWidth="1"/>
    <col min="11027" max="11028" width="9.625" style="151" bestFit="1" customWidth="1"/>
    <col min="11029" max="11030" width="9.625" style="151" customWidth="1"/>
    <col min="11031" max="11031" width="9.25" style="151" bestFit="1" customWidth="1"/>
    <col min="11032" max="11032" width="11" style="151" bestFit="1" customWidth="1"/>
    <col min="11033" max="11265" width="9" style="151"/>
    <col min="11266" max="11266" width="4.625" style="151" bestFit="1" customWidth="1"/>
    <col min="11267" max="11267" width="7.5" style="151" bestFit="1" customWidth="1"/>
    <col min="11268" max="11268" width="6.25" style="151" customWidth="1"/>
    <col min="11269" max="11269" width="11" style="151" bestFit="1" customWidth="1"/>
    <col min="11270" max="11271" width="9.625" style="151" bestFit="1" customWidth="1"/>
    <col min="11272" max="11272" width="8.25" style="151" bestFit="1" customWidth="1"/>
    <col min="11273" max="11274" width="9.625" style="151" bestFit="1" customWidth="1"/>
    <col min="11275" max="11275" width="8.25" style="151" bestFit="1" customWidth="1"/>
    <col min="11276" max="11277" width="9.625" style="151" bestFit="1" customWidth="1"/>
    <col min="11278" max="11279" width="8.25" style="151" bestFit="1" customWidth="1"/>
    <col min="11280" max="11280" width="11" style="151" bestFit="1" customWidth="1"/>
    <col min="11281" max="11281" width="8" style="151" bestFit="1" customWidth="1"/>
    <col min="11282" max="11282" width="7.75" style="151" bestFit="1" customWidth="1"/>
    <col min="11283" max="11284" width="9.625" style="151" bestFit="1" customWidth="1"/>
    <col min="11285" max="11286" width="9.625" style="151" customWidth="1"/>
    <col min="11287" max="11287" width="9.25" style="151" bestFit="1" customWidth="1"/>
    <col min="11288" max="11288" width="11" style="151" bestFit="1" customWidth="1"/>
    <col min="11289" max="11521" width="9" style="151"/>
    <col min="11522" max="11522" width="4.625" style="151" bestFit="1" customWidth="1"/>
    <col min="11523" max="11523" width="7.5" style="151" bestFit="1" customWidth="1"/>
    <col min="11524" max="11524" width="6.25" style="151" customWidth="1"/>
    <col min="11525" max="11525" width="11" style="151" bestFit="1" customWidth="1"/>
    <col min="11526" max="11527" width="9.625" style="151" bestFit="1" customWidth="1"/>
    <col min="11528" max="11528" width="8.25" style="151" bestFit="1" customWidth="1"/>
    <col min="11529" max="11530" width="9.625" style="151" bestFit="1" customWidth="1"/>
    <col min="11531" max="11531" width="8.25" style="151" bestFit="1" customWidth="1"/>
    <col min="11532" max="11533" width="9.625" style="151" bestFit="1" customWidth="1"/>
    <col min="11534" max="11535" width="8.25" style="151" bestFit="1" customWidth="1"/>
    <col min="11536" max="11536" width="11" style="151" bestFit="1" customWidth="1"/>
    <col min="11537" max="11537" width="8" style="151" bestFit="1" customWidth="1"/>
    <col min="11538" max="11538" width="7.75" style="151" bestFit="1" customWidth="1"/>
    <col min="11539" max="11540" width="9.625" style="151" bestFit="1" customWidth="1"/>
    <col min="11541" max="11542" width="9.625" style="151" customWidth="1"/>
    <col min="11543" max="11543" width="9.25" style="151" bestFit="1" customWidth="1"/>
    <col min="11544" max="11544" width="11" style="151" bestFit="1" customWidth="1"/>
    <col min="11545" max="11777" width="9" style="151"/>
    <col min="11778" max="11778" width="4.625" style="151" bestFit="1" customWidth="1"/>
    <col min="11779" max="11779" width="7.5" style="151" bestFit="1" customWidth="1"/>
    <col min="11780" max="11780" width="6.25" style="151" customWidth="1"/>
    <col min="11781" max="11781" width="11" style="151" bestFit="1" customWidth="1"/>
    <col min="11782" max="11783" width="9.625" style="151" bestFit="1" customWidth="1"/>
    <col min="11784" max="11784" width="8.25" style="151" bestFit="1" customWidth="1"/>
    <col min="11785" max="11786" width="9.625" style="151" bestFit="1" customWidth="1"/>
    <col min="11787" max="11787" width="8.25" style="151" bestFit="1" customWidth="1"/>
    <col min="11788" max="11789" width="9.625" style="151" bestFit="1" customWidth="1"/>
    <col min="11790" max="11791" width="8.25" style="151" bestFit="1" customWidth="1"/>
    <col min="11792" max="11792" width="11" style="151" bestFit="1" customWidth="1"/>
    <col min="11793" max="11793" width="8" style="151" bestFit="1" customWidth="1"/>
    <col min="11794" max="11794" width="7.75" style="151" bestFit="1" customWidth="1"/>
    <col min="11795" max="11796" width="9.625" style="151" bestFit="1" customWidth="1"/>
    <col min="11797" max="11798" width="9.625" style="151" customWidth="1"/>
    <col min="11799" max="11799" width="9.25" style="151" bestFit="1" customWidth="1"/>
    <col min="11800" max="11800" width="11" style="151" bestFit="1" customWidth="1"/>
    <col min="11801" max="12033" width="9" style="151"/>
    <col min="12034" max="12034" width="4.625" style="151" bestFit="1" customWidth="1"/>
    <col min="12035" max="12035" width="7.5" style="151" bestFit="1" customWidth="1"/>
    <col min="12036" max="12036" width="6.25" style="151" customWidth="1"/>
    <col min="12037" max="12037" width="11" style="151" bestFit="1" customWidth="1"/>
    <col min="12038" max="12039" width="9.625" style="151" bestFit="1" customWidth="1"/>
    <col min="12040" max="12040" width="8.25" style="151" bestFit="1" customWidth="1"/>
    <col min="12041" max="12042" width="9.625" style="151" bestFit="1" customWidth="1"/>
    <col min="12043" max="12043" width="8.25" style="151" bestFit="1" customWidth="1"/>
    <col min="12044" max="12045" width="9.625" style="151" bestFit="1" customWidth="1"/>
    <col min="12046" max="12047" width="8.25" style="151" bestFit="1" customWidth="1"/>
    <col min="12048" max="12048" width="11" style="151" bestFit="1" customWidth="1"/>
    <col min="12049" max="12049" width="8" style="151" bestFit="1" customWidth="1"/>
    <col min="12050" max="12050" width="7.75" style="151" bestFit="1" customWidth="1"/>
    <col min="12051" max="12052" width="9.625" style="151" bestFit="1" customWidth="1"/>
    <col min="12053" max="12054" width="9.625" style="151" customWidth="1"/>
    <col min="12055" max="12055" width="9.25" style="151" bestFit="1" customWidth="1"/>
    <col min="12056" max="12056" width="11" style="151" bestFit="1" customWidth="1"/>
    <col min="12057" max="12289" width="9" style="151"/>
    <col min="12290" max="12290" width="4.625" style="151" bestFit="1" customWidth="1"/>
    <col min="12291" max="12291" width="7.5" style="151" bestFit="1" customWidth="1"/>
    <col min="12292" max="12292" width="6.25" style="151" customWidth="1"/>
    <col min="12293" max="12293" width="11" style="151" bestFit="1" customWidth="1"/>
    <col min="12294" max="12295" width="9.625" style="151" bestFit="1" customWidth="1"/>
    <col min="12296" max="12296" width="8.25" style="151" bestFit="1" customWidth="1"/>
    <col min="12297" max="12298" width="9.625" style="151" bestFit="1" customWidth="1"/>
    <col min="12299" max="12299" width="8.25" style="151" bestFit="1" customWidth="1"/>
    <col min="12300" max="12301" width="9.625" style="151" bestFit="1" customWidth="1"/>
    <col min="12302" max="12303" width="8.25" style="151" bestFit="1" customWidth="1"/>
    <col min="12304" max="12304" width="11" style="151" bestFit="1" customWidth="1"/>
    <col min="12305" max="12305" width="8" style="151" bestFit="1" customWidth="1"/>
    <col min="12306" max="12306" width="7.75" style="151" bestFit="1" customWidth="1"/>
    <col min="12307" max="12308" width="9.625" style="151" bestFit="1" customWidth="1"/>
    <col min="12309" max="12310" width="9.625" style="151" customWidth="1"/>
    <col min="12311" max="12311" width="9.25" style="151" bestFit="1" customWidth="1"/>
    <col min="12312" max="12312" width="11" style="151" bestFit="1" customWidth="1"/>
    <col min="12313" max="12545" width="9" style="151"/>
    <col min="12546" max="12546" width="4.625" style="151" bestFit="1" customWidth="1"/>
    <col min="12547" max="12547" width="7.5" style="151" bestFit="1" customWidth="1"/>
    <col min="12548" max="12548" width="6.25" style="151" customWidth="1"/>
    <col min="12549" max="12549" width="11" style="151" bestFit="1" customWidth="1"/>
    <col min="12550" max="12551" width="9.625" style="151" bestFit="1" customWidth="1"/>
    <col min="12552" max="12552" width="8.25" style="151" bestFit="1" customWidth="1"/>
    <col min="12553" max="12554" width="9.625" style="151" bestFit="1" customWidth="1"/>
    <col min="12555" max="12555" width="8.25" style="151" bestFit="1" customWidth="1"/>
    <col min="12556" max="12557" width="9.625" style="151" bestFit="1" customWidth="1"/>
    <col min="12558" max="12559" width="8.25" style="151" bestFit="1" customWidth="1"/>
    <col min="12560" max="12560" width="11" style="151" bestFit="1" customWidth="1"/>
    <col min="12561" max="12561" width="8" style="151" bestFit="1" customWidth="1"/>
    <col min="12562" max="12562" width="7.75" style="151" bestFit="1" customWidth="1"/>
    <col min="12563" max="12564" width="9.625" style="151" bestFit="1" customWidth="1"/>
    <col min="12565" max="12566" width="9.625" style="151" customWidth="1"/>
    <col min="12567" max="12567" width="9.25" style="151" bestFit="1" customWidth="1"/>
    <col min="12568" max="12568" width="11" style="151" bestFit="1" customWidth="1"/>
    <col min="12569" max="12801" width="9" style="151"/>
    <col min="12802" max="12802" width="4.625" style="151" bestFit="1" customWidth="1"/>
    <col min="12803" max="12803" width="7.5" style="151" bestFit="1" customWidth="1"/>
    <col min="12804" max="12804" width="6.25" style="151" customWidth="1"/>
    <col min="12805" max="12805" width="11" style="151" bestFit="1" customWidth="1"/>
    <col min="12806" max="12807" width="9.625" style="151" bestFit="1" customWidth="1"/>
    <col min="12808" max="12808" width="8.25" style="151" bestFit="1" customWidth="1"/>
    <col min="12809" max="12810" width="9.625" style="151" bestFit="1" customWidth="1"/>
    <col min="12811" max="12811" width="8.25" style="151" bestFit="1" customWidth="1"/>
    <col min="12812" max="12813" width="9.625" style="151" bestFit="1" customWidth="1"/>
    <col min="12814" max="12815" width="8.25" style="151" bestFit="1" customWidth="1"/>
    <col min="12816" max="12816" width="11" style="151" bestFit="1" customWidth="1"/>
    <col min="12817" max="12817" width="8" style="151" bestFit="1" customWidth="1"/>
    <col min="12818" max="12818" width="7.75" style="151" bestFit="1" customWidth="1"/>
    <col min="12819" max="12820" width="9.625" style="151" bestFit="1" customWidth="1"/>
    <col min="12821" max="12822" width="9.625" style="151" customWidth="1"/>
    <col min="12823" max="12823" width="9.25" style="151" bestFit="1" customWidth="1"/>
    <col min="12824" max="12824" width="11" style="151" bestFit="1" customWidth="1"/>
    <col min="12825" max="13057" width="9" style="151"/>
    <col min="13058" max="13058" width="4.625" style="151" bestFit="1" customWidth="1"/>
    <col min="13059" max="13059" width="7.5" style="151" bestFit="1" customWidth="1"/>
    <col min="13060" max="13060" width="6.25" style="151" customWidth="1"/>
    <col min="13061" max="13061" width="11" style="151" bestFit="1" customWidth="1"/>
    <col min="13062" max="13063" width="9.625" style="151" bestFit="1" customWidth="1"/>
    <col min="13064" max="13064" width="8.25" style="151" bestFit="1" customWidth="1"/>
    <col min="13065" max="13066" width="9.625" style="151" bestFit="1" customWidth="1"/>
    <col min="13067" max="13067" width="8.25" style="151" bestFit="1" customWidth="1"/>
    <col min="13068" max="13069" width="9.625" style="151" bestFit="1" customWidth="1"/>
    <col min="13070" max="13071" width="8.25" style="151" bestFit="1" customWidth="1"/>
    <col min="13072" max="13072" width="11" style="151" bestFit="1" customWidth="1"/>
    <col min="13073" max="13073" width="8" style="151" bestFit="1" customWidth="1"/>
    <col min="13074" max="13074" width="7.75" style="151" bestFit="1" customWidth="1"/>
    <col min="13075" max="13076" width="9.625" style="151" bestFit="1" customWidth="1"/>
    <col min="13077" max="13078" width="9.625" style="151" customWidth="1"/>
    <col min="13079" max="13079" width="9.25" style="151" bestFit="1" customWidth="1"/>
    <col min="13080" max="13080" width="11" style="151" bestFit="1" customWidth="1"/>
    <col min="13081" max="13313" width="9" style="151"/>
    <col min="13314" max="13314" width="4.625" style="151" bestFit="1" customWidth="1"/>
    <col min="13315" max="13315" width="7.5" style="151" bestFit="1" customWidth="1"/>
    <col min="13316" max="13316" width="6.25" style="151" customWidth="1"/>
    <col min="13317" max="13317" width="11" style="151" bestFit="1" customWidth="1"/>
    <col min="13318" max="13319" width="9.625" style="151" bestFit="1" customWidth="1"/>
    <col min="13320" max="13320" width="8.25" style="151" bestFit="1" customWidth="1"/>
    <col min="13321" max="13322" width="9.625" style="151" bestFit="1" customWidth="1"/>
    <col min="13323" max="13323" width="8.25" style="151" bestFit="1" customWidth="1"/>
    <col min="13324" max="13325" width="9.625" style="151" bestFit="1" customWidth="1"/>
    <col min="13326" max="13327" width="8.25" style="151" bestFit="1" customWidth="1"/>
    <col min="13328" max="13328" width="11" style="151" bestFit="1" customWidth="1"/>
    <col min="13329" max="13329" width="8" style="151" bestFit="1" customWidth="1"/>
    <col min="13330" max="13330" width="7.75" style="151" bestFit="1" customWidth="1"/>
    <col min="13331" max="13332" width="9.625" style="151" bestFit="1" customWidth="1"/>
    <col min="13333" max="13334" width="9.625" style="151" customWidth="1"/>
    <col min="13335" max="13335" width="9.25" style="151" bestFit="1" customWidth="1"/>
    <col min="13336" max="13336" width="11" style="151" bestFit="1" customWidth="1"/>
    <col min="13337" max="13569" width="9" style="151"/>
    <col min="13570" max="13570" width="4.625" style="151" bestFit="1" customWidth="1"/>
    <col min="13571" max="13571" width="7.5" style="151" bestFit="1" customWidth="1"/>
    <col min="13572" max="13572" width="6.25" style="151" customWidth="1"/>
    <col min="13573" max="13573" width="11" style="151" bestFit="1" customWidth="1"/>
    <col min="13574" max="13575" width="9.625" style="151" bestFit="1" customWidth="1"/>
    <col min="13576" max="13576" width="8.25" style="151" bestFit="1" customWidth="1"/>
    <col min="13577" max="13578" width="9.625" style="151" bestFit="1" customWidth="1"/>
    <col min="13579" max="13579" width="8.25" style="151" bestFit="1" customWidth="1"/>
    <col min="13580" max="13581" width="9.625" style="151" bestFit="1" customWidth="1"/>
    <col min="13582" max="13583" width="8.25" style="151" bestFit="1" customWidth="1"/>
    <col min="13584" max="13584" width="11" style="151" bestFit="1" customWidth="1"/>
    <col min="13585" max="13585" width="8" style="151" bestFit="1" customWidth="1"/>
    <col min="13586" max="13586" width="7.75" style="151" bestFit="1" customWidth="1"/>
    <col min="13587" max="13588" width="9.625" style="151" bestFit="1" customWidth="1"/>
    <col min="13589" max="13590" width="9.625" style="151" customWidth="1"/>
    <col min="13591" max="13591" width="9.25" style="151" bestFit="1" customWidth="1"/>
    <col min="13592" max="13592" width="11" style="151" bestFit="1" customWidth="1"/>
    <col min="13593" max="13825" width="9" style="151"/>
    <col min="13826" max="13826" width="4.625" style="151" bestFit="1" customWidth="1"/>
    <col min="13827" max="13827" width="7.5" style="151" bestFit="1" customWidth="1"/>
    <col min="13828" max="13828" width="6.25" style="151" customWidth="1"/>
    <col min="13829" max="13829" width="11" style="151" bestFit="1" customWidth="1"/>
    <col min="13830" max="13831" width="9.625" style="151" bestFit="1" customWidth="1"/>
    <col min="13832" max="13832" width="8.25" style="151" bestFit="1" customWidth="1"/>
    <col min="13833" max="13834" width="9.625" style="151" bestFit="1" customWidth="1"/>
    <col min="13835" max="13835" width="8.25" style="151" bestFit="1" customWidth="1"/>
    <col min="13836" max="13837" width="9.625" style="151" bestFit="1" customWidth="1"/>
    <col min="13838" max="13839" width="8.25" style="151" bestFit="1" customWidth="1"/>
    <col min="13840" max="13840" width="11" style="151" bestFit="1" customWidth="1"/>
    <col min="13841" max="13841" width="8" style="151" bestFit="1" customWidth="1"/>
    <col min="13842" max="13842" width="7.75" style="151" bestFit="1" customWidth="1"/>
    <col min="13843" max="13844" width="9.625" style="151" bestFit="1" customWidth="1"/>
    <col min="13845" max="13846" width="9.625" style="151" customWidth="1"/>
    <col min="13847" max="13847" width="9.25" style="151" bestFit="1" customWidth="1"/>
    <col min="13848" max="13848" width="11" style="151" bestFit="1" customWidth="1"/>
    <col min="13849" max="14081" width="9" style="151"/>
    <col min="14082" max="14082" width="4.625" style="151" bestFit="1" customWidth="1"/>
    <col min="14083" max="14083" width="7.5" style="151" bestFit="1" customWidth="1"/>
    <col min="14084" max="14084" width="6.25" style="151" customWidth="1"/>
    <col min="14085" max="14085" width="11" style="151" bestFit="1" customWidth="1"/>
    <col min="14086" max="14087" width="9.625" style="151" bestFit="1" customWidth="1"/>
    <col min="14088" max="14088" width="8.25" style="151" bestFit="1" customWidth="1"/>
    <col min="14089" max="14090" width="9.625" style="151" bestFit="1" customWidth="1"/>
    <col min="14091" max="14091" width="8.25" style="151" bestFit="1" customWidth="1"/>
    <col min="14092" max="14093" width="9.625" style="151" bestFit="1" customWidth="1"/>
    <col min="14094" max="14095" width="8.25" style="151" bestFit="1" customWidth="1"/>
    <col min="14096" max="14096" width="11" style="151" bestFit="1" customWidth="1"/>
    <col min="14097" max="14097" width="8" style="151" bestFit="1" customWidth="1"/>
    <col min="14098" max="14098" width="7.75" style="151" bestFit="1" customWidth="1"/>
    <col min="14099" max="14100" width="9.625" style="151" bestFit="1" customWidth="1"/>
    <col min="14101" max="14102" width="9.625" style="151" customWidth="1"/>
    <col min="14103" max="14103" width="9.25" style="151" bestFit="1" customWidth="1"/>
    <col min="14104" max="14104" width="11" style="151" bestFit="1" customWidth="1"/>
    <col min="14105" max="14337" width="9" style="151"/>
    <col min="14338" max="14338" width="4.625" style="151" bestFit="1" customWidth="1"/>
    <col min="14339" max="14339" width="7.5" style="151" bestFit="1" customWidth="1"/>
    <col min="14340" max="14340" width="6.25" style="151" customWidth="1"/>
    <col min="14341" max="14341" width="11" style="151" bestFit="1" customWidth="1"/>
    <col min="14342" max="14343" width="9.625" style="151" bestFit="1" customWidth="1"/>
    <col min="14344" max="14344" width="8.25" style="151" bestFit="1" customWidth="1"/>
    <col min="14345" max="14346" width="9.625" style="151" bestFit="1" customWidth="1"/>
    <col min="14347" max="14347" width="8.25" style="151" bestFit="1" customWidth="1"/>
    <col min="14348" max="14349" width="9.625" style="151" bestFit="1" customWidth="1"/>
    <col min="14350" max="14351" width="8.25" style="151" bestFit="1" customWidth="1"/>
    <col min="14352" max="14352" width="11" style="151" bestFit="1" customWidth="1"/>
    <col min="14353" max="14353" width="8" style="151" bestFit="1" customWidth="1"/>
    <col min="14354" max="14354" width="7.75" style="151" bestFit="1" customWidth="1"/>
    <col min="14355" max="14356" width="9.625" style="151" bestFit="1" customWidth="1"/>
    <col min="14357" max="14358" width="9.625" style="151" customWidth="1"/>
    <col min="14359" max="14359" width="9.25" style="151" bestFit="1" customWidth="1"/>
    <col min="14360" max="14360" width="11" style="151" bestFit="1" customWidth="1"/>
    <col min="14361" max="14593" width="9" style="151"/>
    <col min="14594" max="14594" width="4.625" style="151" bestFit="1" customWidth="1"/>
    <col min="14595" max="14595" width="7.5" style="151" bestFit="1" customWidth="1"/>
    <col min="14596" max="14596" width="6.25" style="151" customWidth="1"/>
    <col min="14597" max="14597" width="11" style="151" bestFit="1" customWidth="1"/>
    <col min="14598" max="14599" width="9.625" style="151" bestFit="1" customWidth="1"/>
    <col min="14600" max="14600" width="8.25" style="151" bestFit="1" customWidth="1"/>
    <col min="14601" max="14602" width="9.625" style="151" bestFit="1" customWidth="1"/>
    <col min="14603" max="14603" width="8.25" style="151" bestFit="1" customWidth="1"/>
    <col min="14604" max="14605" width="9.625" style="151" bestFit="1" customWidth="1"/>
    <col min="14606" max="14607" width="8.25" style="151" bestFit="1" customWidth="1"/>
    <col min="14608" max="14608" width="11" style="151" bestFit="1" customWidth="1"/>
    <col min="14609" max="14609" width="8" style="151" bestFit="1" customWidth="1"/>
    <col min="14610" max="14610" width="7.75" style="151" bestFit="1" customWidth="1"/>
    <col min="14611" max="14612" width="9.625" style="151" bestFit="1" customWidth="1"/>
    <col min="14613" max="14614" width="9.625" style="151" customWidth="1"/>
    <col min="14615" max="14615" width="9.25" style="151" bestFit="1" customWidth="1"/>
    <col min="14616" max="14616" width="11" style="151" bestFit="1" customWidth="1"/>
    <col min="14617" max="14849" width="9" style="151"/>
    <col min="14850" max="14850" width="4.625" style="151" bestFit="1" customWidth="1"/>
    <col min="14851" max="14851" width="7.5" style="151" bestFit="1" customWidth="1"/>
    <col min="14852" max="14852" width="6.25" style="151" customWidth="1"/>
    <col min="14853" max="14853" width="11" style="151" bestFit="1" customWidth="1"/>
    <col min="14854" max="14855" width="9.625" style="151" bestFit="1" customWidth="1"/>
    <col min="14856" max="14856" width="8.25" style="151" bestFit="1" customWidth="1"/>
    <col min="14857" max="14858" width="9.625" style="151" bestFit="1" customWidth="1"/>
    <col min="14859" max="14859" width="8.25" style="151" bestFit="1" customWidth="1"/>
    <col min="14860" max="14861" width="9.625" style="151" bestFit="1" customWidth="1"/>
    <col min="14862" max="14863" width="8.25" style="151" bestFit="1" customWidth="1"/>
    <col min="14864" max="14864" width="11" style="151" bestFit="1" customWidth="1"/>
    <col min="14865" max="14865" width="8" style="151" bestFit="1" customWidth="1"/>
    <col min="14866" max="14866" width="7.75" style="151" bestFit="1" customWidth="1"/>
    <col min="14867" max="14868" width="9.625" style="151" bestFit="1" customWidth="1"/>
    <col min="14869" max="14870" width="9.625" style="151" customWidth="1"/>
    <col min="14871" max="14871" width="9.25" style="151" bestFit="1" customWidth="1"/>
    <col min="14872" max="14872" width="11" style="151" bestFit="1" customWidth="1"/>
    <col min="14873" max="15105" width="9" style="151"/>
    <col min="15106" max="15106" width="4.625" style="151" bestFit="1" customWidth="1"/>
    <col min="15107" max="15107" width="7.5" style="151" bestFit="1" customWidth="1"/>
    <col min="15108" max="15108" width="6.25" style="151" customWidth="1"/>
    <col min="15109" max="15109" width="11" style="151" bestFit="1" customWidth="1"/>
    <col min="15110" max="15111" width="9.625" style="151" bestFit="1" customWidth="1"/>
    <col min="15112" max="15112" width="8.25" style="151" bestFit="1" customWidth="1"/>
    <col min="15113" max="15114" width="9.625" style="151" bestFit="1" customWidth="1"/>
    <col min="15115" max="15115" width="8.25" style="151" bestFit="1" customWidth="1"/>
    <col min="15116" max="15117" width="9.625" style="151" bestFit="1" customWidth="1"/>
    <col min="15118" max="15119" width="8.25" style="151" bestFit="1" customWidth="1"/>
    <col min="15120" max="15120" width="11" style="151" bestFit="1" customWidth="1"/>
    <col min="15121" max="15121" width="8" style="151" bestFit="1" customWidth="1"/>
    <col min="15122" max="15122" width="7.75" style="151" bestFit="1" customWidth="1"/>
    <col min="15123" max="15124" width="9.625" style="151" bestFit="1" customWidth="1"/>
    <col min="15125" max="15126" width="9.625" style="151" customWidth="1"/>
    <col min="15127" max="15127" width="9.25" style="151" bestFit="1" customWidth="1"/>
    <col min="15128" max="15128" width="11" style="151" bestFit="1" customWidth="1"/>
    <col min="15129" max="15361" width="9" style="151"/>
    <col min="15362" max="15362" width="4.625" style="151" bestFit="1" customWidth="1"/>
    <col min="15363" max="15363" width="7.5" style="151" bestFit="1" customWidth="1"/>
    <col min="15364" max="15364" width="6.25" style="151" customWidth="1"/>
    <col min="15365" max="15365" width="11" style="151" bestFit="1" customWidth="1"/>
    <col min="15366" max="15367" width="9.625" style="151" bestFit="1" customWidth="1"/>
    <col min="15368" max="15368" width="8.25" style="151" bestFit="1" customWidth="1"/>
    <col min="15369" max="15370" width="9.625" style="151" bestFit="1" customWidth="1"/>
    <col min="15371" max="15371" width="8.25" style="151" bestFit="1" customWidth="1"/>
    <col min="15372" max="15373" width="9.625" style="151" bestFit="1" customWidth="1"/>
    <col min="15374" max="15375" width="8.25" style="151" bestFit="1" customWidth="1"/>
    <col min="15376" max="15376" width="11" style="151" bestFit="1" customWidth="1"/>
    <col min="15377" max="15377" width="8" style="151" bestFit="1" customWidth="1"/>
    <col min="15378" max="15378" width="7.75" style="151" bestFit="1" customWidth="1"/>
    <col min="15379" max="15380" width="9.625" style="151" bestFit="1" customWidth="1"/>
    <col min="15381" max="15382" width="9.625" style="151" customWidth="1"/>
    <col min="15383" max="15383" width="9.25" style="151" bestFit="1" customWidth="1"/>
    <col min="15384" max="15384" width="11" style="151" bestFit="1" customWidth="1"/>
    <col min="15385" max="15617" width="9" style="151"/>
    <col min="15618" max="15618" width="4.625" style="151" bestFit="1" customWidth="1"/>
    <col min="15619" max="15619" width="7.5" style="151" bestFit="1" customWidth="1"/>
    <col min="15620" max="15620" width="6.25" style="151" customWidth="1"/>
    <col min="15621" max="15621" width="11" style="151" bestFit="1" customWidth="1"/>
    <col min="15622" max="15623" width="9.625" style="151" bestFit="1" customWidth="1"/>
    <col min="15624" max="15624" width="8.25" style="151" bestFit="1" customWidth="1"/>
    <col min="15625" max="15626" width="9.625" style="151" bestFit="1" customWidth="1"/>
    <col min="15627" max="15627" width="8.25" style="151" bestFit="1" customWidth="1"/>
    <col min="15628" max="15629" width="9.625" style="151" bestFit="1" customWidth="1"/>
    <col min="15630" max="15631" width="8.25" style="151" bestFit="1" customWidth="1"/>
    <col min="15632" max="15632" width="11" style="151" bestFit="1" customWidth="1"/>
    <col min="15633" max="15633" width="8" style="151" bestFit="1" customWidth="1"/>
    <col min="15634" max="15634" width="7.75" style="151" bestFit="1" customWidth="1"/>
    <col min="15635" max="15636" width="9.625" style="151" bestFit="1" customWidth="1"/>
    <col min="15637" max="15638" width="9.625" style="151" customWidth="1"/>
    <col min="15639" max="15639" width="9.25" style="151" bestFit="1" customWidth="1"/>
    <col min="15640" max="15640" width="11" style="151" bestFit="1" customWidth="1"/>
    <col min="15641" max="15873" width="9" style="151"/>
    <col min="15874" max="15874" width="4.625" style="151" bestFit="1" customWidth="1"/>
    <col min="15875" max="15875" width="7.5" style="151" bestFit="1" customWidth="1"/>
    <col min="15876" max="15876" width="6.25" style="151" customWidth="1"/>
    <col min="15877" max="15877" width="11" style="151" bestFit="1" customWidth="1"/>
    <col min="15878" max="15879" width="9.625" style="151" bestFit="1" customWidth="1"/>
    <col min="15880" max="15880" width="8.25" style="151" bestFit="1" customWidth="1"/>
    <col min="15881" max="15882" width="9.625" style="151" bestFit="1" customWidth="1"/>
    <col min="15883" max="15883" width="8.25" style="151" bestFit="1" customWidth="1"/>
    <col min="15884" max="15885" width="9.625" style="151" bestFit="1" customWidth="1"/>
    <col min="15886" max="15887" width="8.25" style="151" bestFit="1" customWidth="1"/>
    <col min="15888" max="15888" width="11" style="151" bestFit="1" customWidth="1"/>
    <col min="15889" max="15889" width="8" style="151" bestFit="1" customWidth="1"/>
    <col min="15890" max="15890" width="7.75" style="151" bestFit="1" customWidth="1"/>
    <col min="15891" max="15892" width="9.625" style="151" bestFit="1" customWidth="1"/>
    <col min="15893" max="15894" width="9.625" style="151" customWidth="1"/>
    <col min="15895" max="15895" width="9.25" style="151" bestFit="1" customWidth="1"/>
    <col min="15896" max="15896" width="11" style="151" bestFit="1" customWidth="1"/>
    <col min="15897" max="16129" width="9" style="151"/>
    <col min="16130" max="16130" width="4.625" style="151" bestFit="1" customWidth="1"/>
    <col min="16131" max="16131" width="7.5" style="151" bestFit="1" customWidth="1"/>
    <col min="16132" max="16132" width="6.25" style="151" customWidth="1"/>
    <col min="16133" max="16133" width="11" style="151" bestFit="1" customWidth="1"/>
    <col min="16134" max="16135" width="9.625" style="151" bestFit="1" customWidth="1"/>
    <col min="16136" max="16136" width="8.25" style="151" bestFit="1" customWidth="1"/>
    <col min="16137" max="16138" width="9.625" style="151" bestFit="1" customWidth="1"/>
    <col min="16139" max="16139" width="8.25" style="151" bestFit="1" customWidth="1"/>
    <col min="16140" max="16141" width="9.625" style="151" bestFit="1" customWidth="1"/>
    <col min="16142" max="16143" width="8.25" style="151" bestFit="1" customWidth="1"/>
    <col min="16144" max="16144" width="11" style="151" bestFit="1" customWidth="1"/>
    <col min="16145" max="16145" width="8" style="151" bestFit="1" customWidth="1"/>
    <col min="16146" max="16146" width="7.75" style="151" bestFit="1" customWidth="1"/>
    <col min="16147" max="16148" width="9.625" style="151" bestFit="1" customWidth="1"/>
    <col min="16149" max="16150" width="9.625" style="151" customWidth="1"/>
    <col min="16151" max="16151" width="9.25" style="151" bestFit="1" customWidth="1"/>
    <col min="16152" max="16152" width="11" style="151" bestFit="1" customWidth="1"/>
    <col min="16153" max="16384" width="9" style="151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225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52"/>
      <c r="V4" s="252"/>
      <c r="W4" s="252"/>
      <c r="X4" s="252"/>
    </row>
    <row r="5" spans="2:29" ht="20.25" customHeight="1" x14ac:dyDescent="0.3">
      <c r="B5" s="253" t="s">
        <v>224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53"/>
      <c r="Q5" s="69"/>
      <c r="R5" s="69"/>
      <c r="S5" s="69"/>
      <c r="T5" s="252"/>
      <c r="U5" s="152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5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">
        <v>171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49</v>
      </c>
      <c r="D15" s="88" t="s">
        <v>50</v>
      </c>
      <c r="E15" s="89">
        <v>700000</v>
      </c>
      <c r="F15" s="102"/>
      <c r="G15" s="102"/>
      <c r="H15" s="102"/>
      <c r="I15" s="102"/>
      <c r="J15" s="103"/>
      <c r="K15" s="103"/>
      <c r="L15" s="103"/>
      <c r="M15" s="103"/>
      <c r="N15" s="89">
        <v>100000</v>
      </c>
      <c r="O15" s="104">
        <v>100000</v>
      </c>
      <c r="P15" s="93">
        <f t="shared" si="0"/>
        <v>900000</v>
      </c>
      <c r="Q15" s="94">
        <f t="shared" si="1"/>
        <v>0</v>
      </c>
      <c r="R15" s="95">
        <f t="shared" si="2"/>
        <v>0</v>
      </c>
      <c r="S15" s="126">
        <f t="shared" si="8"/>
        <v>31500</v>
      </c>
      <c r="T15" s="95">
        <f t="shared" si="3"/>
        <v>24010</v>
      </c>
      <c r="U15" s="96">
        <f t="shared" si="4"/>
        <v>2760</v>
      </c>
      <c r="V15" s="96">
        <f t="shared" ref="V15:V24" si="10">IFERROR(IF(D15&lt;&gt;"대표이사",ROUNDDOWN((P15-AC15)*고용보험율,-1),0),)</f>
        <v>5600</v>
      </c>
      <c r="W15" s="93">
        <f t="shared" ref="W15:W24" si="11">SUM(Q15:V15)</f>
        <v>63870</v>
      </c>
      <c r="X15" s="97">
        <f t="shared" si="7"/>
        <v>836130</v>
      </c>
      <c r="Z15" s="98">
        <v>1</v>
      </c>
      <c r="AA15" s="99"/>
      <c r="AC15" s="100">
        <f t="shared" ref="AC15:AC24" si="12">IF(N15&gt;=100000,100000,N15)+IF(O15&gt;=200000,200000,O15)</f>
        <v>200000</v>
      </c>
    </row>
    <row r="16" spans="2:29" ht="20.100000000000001" customHeight="1" x14ac:dyDescent="0.3">
      <c r="B16" s="101">
        <v>8</v>
      </c>
      <c r="C16" s="87" t="s">
        <v>199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2"/>
        <v>300000</v>
      </c>
    </row>
    <row r="17" spans="2:29" ht="20.100000000000001" customHeight="1" x14ac:dyDescent="0.3">
      <c r="B17" s="101">
        <v>9</v>
      </c>
      <c r="C17" s="87" t="s">
        <v>132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23" si="13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4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si="10"/>
        <v>17600</v>
      </c>
      <c r="W17" s="124">
        <f t="shared" si="11"/>
        <v>229290</v>
      </c>
      <c r="X17" s="128">
        <f t="shared" si="7"/>
        <v>2270710</v>
      </c>
      <c r="Z17" s="98">
        <v>1</v>
      </c>
      <c r="AA17" s="99"/>
      <c r="AC17" s="100">
        <f t="shared" si="12"/>
        <v>300000</v>
      </c>
    </row>
    <row r="18" spans="2:29" ht="20.100000000000001" customHeight="1" x14ac:dyDescent="0.3">
      <c r="B18" s="101">
        <v>10</v>
      </c>
      <c r="C18" s="87" t="s">
        <v>200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3"/>
        <v>2500000</v>
      </c>
      <c r="Q18" s="125">
        <f t="shared" si="1"/>
        <v>25950</v>
      </c>
      <c r="R18" s="126">
        <f t="shared" si="2"/>
        <v>2590</v>
      </c>
      <c r="S18" s="126">
        <f t="shared" si="14"/>
        <v>99000</v>
      </c>
      <c r="T18" s="95">
        <f t="shared" si="3"/>
        <v>75460</v>
      </c>
      <c r="U18" s="96">
        <f t="shared" si="4"/>
        <v>8690</v>
      </c>
      <c r="V18" s="127">
        <f t="shared" si="10"/>
        <v>17600</v>
      </c>
      <c r="W18" s="124">
        <f t="shared" si="11"/>
        <v>229290</v>
      </c>
      <c r="X18" s="128">
        <f t="shared" si="7"/>
        <v>2270710</v>
      </c>
      <c r="Z18" s="98">
        <v>1</v>
      </c>
      <c r="AA18" s="99"/>
      <c r="AC18" s="100">
        <f t="shared" si="12"/>
        <v>300000</v>
      </c>
    </row>
    <row r="19" spans="2:29" ht="20.100000000000001" customHeight="1" x14ac:dyDescent="0.3">
      <c r="B19" s="101">
        <v>11</v>
      </c>
      <c r="C19" s="87" t="s">
        <v>213</v>
      </c>
      <c r="D19" s="88" t="s">
        <v>45</v>
      </c>
      <c r="E19" s="89">
        <v>4300000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3"/>
        <v>4700000</v>
      </c>
      <c r="Q19" s="125">
        <v>268770</v>
      </c>
      <c r="R19" s="126">
        <v>26870</v>
      </c>
      <c r="S19" s="126">
        <v>193500</v>
      </c>
      <c r="T19" s="95">
        <v>152430</v>
      </c>
      <c r="U19" s="96">
        <v>19730</v>
      </c>
      <c r="V19" s="127">
        <v>38700</v>
      </c>
      <c r="W19" s="124">
        <v>700000</v>
      </c>
      <c r="X19" s="128">
        <f t="shared" si="7"/>
        <v>4000000</v>
      </c>
      <c r="Z19" s="98">
        <v>1</v>
      </c>
      <c r="AA19" s="99"/>
      <c r="AC19" s="100">
        <f t="shared" si="12"/>
        <v>300000</v>
      </c>
    </row>
    <row r="20" spans="2:29" ht="20.100000000000001" customHeight="1" x14ac:dyDescent="0.3">
      <c r="B20" s="101">
        <v>12</v>
      </c>
      <c r="C20" s="87" t="s">
        <v>165</v>
      </c>
      <c r="D20" s="88" t="s">
        <v>45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ref="P20" si="15">SUM(E20:O20)</f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219</v>
      </c>
      <c r="D21" s="88" t="s">
        <v>50</v>
      </c>
      <c r="E21" s="89">
        <v>2100000</v>
      </c>
      <c r="F21" s="106"/>
      <c r="G21" s="106"/>
      <c r="H21" s="106"/>
      <c r="I21" s="106"/>
      <c r="J21" s="107"/>
      <c r="K21" s="107"/>
      <c r="L21" s="107"/>
      <c r="M21" s="107"/>
      <c r="N21" s="89">
        <v>200000</v>
      </c>
      <c r="O21" s="130">
        <v>200000</v>
      </c>
      <c r="P21" s="124">
        <f t="shared" ref="P21" si="16">SUM(E21:O21)</f>
        <v>2500000</v>
      </c>
      <c r="Q21" s="125">
        <f t="shared" ref="Q21" si="17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>
        <f t="shared" ref="S21" si="18">IFERROR(IF(AND(P21-AC21&gt;=월액최저,P21-AC21&lt;=월액최고),ROUNDDOWN((P21-AC21)*국민연금,-1),IF(P21-AC21&gt;=월액최고,최고연금,IF(AND(P21-AC21&lt;=월액최저,P21-AC21&gt;=1),최저연금,))),)</f>
        <v>99000</v>
      </c>
      <c r="T21" s="95">
        <f t="shared" ref="T21" si="19">IFERROR(ROUNDDOWN((P21-AC21)*3.43%,-1),)</f>
        <v>75460</v>
      </c>
      <c r="U21" s="96">
        <f t="shared" si="4"/>
        <v>8690</v>
      </c>
      <c r="V21" s="127">
        <f t="shared" ref="V21" si="20">IFERROR(IF(D21&lt;&gt;"대표이사",ROUNDDOWN((P21-AC21)*고용보험율,-1),0),)</f>
        <v>17600</v>
      </c>
      <c r="W21" s="124">
        <f t="shared" ref="W21" si="21">SUM(Q21:V21)</f>
        <v>229290</v>
      </c>
      <c r="X21" s="128">
        <f t="shared" si="7"/>
        <v>2270710</v>
      </c>
      <c r="Z21" s="98">
        <v>1</v>
      </c>
      <c r="AA21" s="99"/>
      <c r="AC21" s="100">
        <f t="shared" ref="AC21" si="22">IF(N21&gt;=100000,100000,N21)+IF(O21&gt;=200000,200000,O21)</f>
        <v>300000</v>
      </c>
    </row>
    <row r="22" spans="2:29" s="156" customFormat="1" ht="20.100000000000001" customHeight="1" x14ac:dyDescent="0.3">
      <c r="B22" s="101">
        <v>14</v>
      </c>
      <c r="C22" s="87" t="s">
        <v>234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23">SUM(E22:O22)</f>
        <v>2500000</v>
      </c>
      <c r="Q22" s="125">
        <f t="shared" ref="Q22" si="24">IFERROR(IF(P22-AC22&lt;=10000000,VLOOKUP((P22-AC22)/1000,간이세액표,IF(11&lt;Z22+AA22,13,2+Z22+AA22),TRUE),IF(P22-AC22&gt;14000000,VLOOKUP((P22-AC22)/1000,간이세액표,IF(11&lt;Z22+AA22,13,2+Z22+AA22),TRUE)+1372000+ROUNDDOWN(((P22-AC22-14000000)*98%)*38%,-1),VLOOKUP((P22-AC22)/1000,간이세액표,IF(11&lt;Z22+AA22,13,2+Z22+AA22),TRUE)+ROUNDDOWN(((P22-AC22-10000000)*98%)*35%,-1))),)</f>
        <v>25950</v>
      </c>
      <c r="R22" s="126">
        <f t="shared" ref="R22" si="25">ROUNDDOWN(Q22*10%,-1)</f>
        <v>2590</v>
      </c>
      <c r="S22" s="126">
        <f t="shared" ref="S22" si="26">IFERROR(IF(AND(P22-AC22&gt;=월액최저,P22-AC22&lt;=월액최고),ROUNDDOWN((P22-AC22)*국민연금,-1),IF(P22-AC22&gt;=월액최고,최고연금,IF(AND(P22-AC22&lt;=월액최저,P22-AC22&gt;=1),최저연금,))),)</f>
        <v>99000</v>
      </c>
      <c r="T22" s="95">
        <f t="shared" ref="T22" si="27">IFERROR(ROUNDDOWN((P22-AC22)*3.43%,-1),)</f>
        <v>75460</v>
      </c>
      <c r="U22" s="96">
        <f t="shared" ref="U22" si="28">ROUNDDOWN(T22*11.52%,-1)</f>
        <v>8690</v>
      </c>
      <c r="V22" s="127">
        <f t="shared" ref="V22" si="29">IFERROR(IF(D22&lt;&gt;"대표이사",ROUNDDOWN((P22-AC22)*고용보험율,-1),0),)</f>
        <v>17600</v>
      </c>
      <c r="W22" s="124">
        <f t="shared" ref="W22" si="30">SUM(Q22:V22)</f>
        <v>229290</v>
      </c>
      <c r="X22" s="128">
        <f t="shared" ref="X22" si="31">P22-W22</f>
        <v>2270710</v>
      </c>
      <c r="Z22" s="98">
        <v>1</v>
      </c>
      <c r="AA22" s="99"/>
      <c r="AC22" s="100">
        <f t="shared" ref="AC22" si="32">IF(N22&gt;=100000,100000,N22)+IF(O22&gt;=200000,200000,O22)</f>
        <v>300000</v>
      </c>
    </row>
    <row r="23" spans="2:29" ht="20.100000000000001" customHeight="1" x14ac:dyDescent="0.3">
      <c r="B23" s="101">
        <v>15</v>
      </c>
      <c r="C23" s="87" t="s">
        <v>188</v>
      </c>
      <c r="D23" s="88" t="s">
        <v>45</v>
      </c>
      <c r="E23" s="89">
        <v>2100000</v>
      </c>
      <c r="F23" s="106"/>
      <c r="G23" s="106"/>
      <c r="H23" s="106"/>
      <c r="I23" s="106"/>
      <c r="J23" s="107"/>
      <c r="K23" s="107"/>
      <c r="L23" s="107"/>
      <c r="M23" s="107"/>
      <c r="N23" s="89">
        <v>200000</v>
      </c>
      <c r="O23" s="130">
        <v>200000</v>
      </c>
      <c r="P23" s="124">
        <f t="shared" si="13"/>
        <v>2500000</v>
      </c>
      <c r="Q23" s="94">
        <v>25950</v>
      </c>
      <c r="R23" s="126">
        <f t="shared" si="2"/>
        <v>2590</v>
      </c>
      <c r="S23" s="126">
        <v>99000</v>
      </c>
      <c r="T23" s="95">
        <v>75460</v>
      </c>
      <c r="U23" s="96">
        <f t="shared" si="4"/>
        <v>8690</v>
      </c>
      <c r="V23" s="127">
        <v>17600</v>
      </c>
      <c r="W23" s="124">
        <f>SUM(Q23:V23)</f>
        <v>229290</v>
      </c>
      <c r="X23" s="97">
        <f t="shared" si="7"/>
        <v>2270710</v>
      </c>
      <c r="Z23" s="98">
        <v>1</v>
      </c>
      <c r="AA23" s="99"/>
      <c r="AC23" s="100"/>
    </row>
    <row r="24" spans="2:29" ht="20.100000000000001" customHeight="1" x14ac:dyDescent="0.3">
      <c r="B24" s="101">
        <v>16</v>
      </c>
      <c r="C24" s="87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>
        <f t="shared" si="1"/>
        <v>0</v>
      </c>
      <c r="R24" s="126">
        <f t="shared" si="2"/>
        <v>0</v>
      </c>
      <c r="S24" s="126">
        <f t="shared" si="14"/>
        <v>0</v>
      </c>
      <c r="T24" s="95">
        <f t="shared" si="3"/>
        <v>0</v>
      </c>
      <c r="U24" s="96">
        <f t="shared" si="4"/>
        <v>0</v>
      </c>
      <c r="V24" s="127">
        <f t="shared" si="10"/>
        <v>0</v>
      </c>
      <c r="W24" s="124">
        <f t="shared" si="11"/>
        <v>0</v>
      </c>
      <c r="X24" s="128">
        <f t="shared" si="7"/>
        <v>0</v>
      </c>
      <c r="Z24" s="98">
        <v>1</v>
      </c>
      <c r="AA24" s="99"/>
      <c r="AC24" s="100">
        <f t="shared" si="12"/>
        <v>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33">SUM(E9:E24)</f>
        <v>32300000</v>
      </c>
      <c r="F25" s="132">
        <f t="shared" si="33"/>
        <v>0</v>
      </c>
      <c r="G25" s="132">
        <f t="shared" si="33"/>
        <v>0</v>
      </c>
      <c r="H25" s="132">
        <f t="shared" si="33"/>
        <v>0</v>
      </c>
      <c r="I25" s="132">
        <f t="shared" si="33"/>
        <v>0</v>
      </c>
      <c r="J25" s="132">
        <f t="shared" si="33"/>
        <v>0</v>
      </c>
      <c r="K25" s="132">
        <f t="shared" si="33"/>
        <v>0</v>
      </c>
      <c r="L25" s="132">
        <f t="shared" si="33"/>
        <v>0</v>
      </c>
      <c r="M25" s="133">
        <f t="shared" si="33"/>
        <v>0</v>
      </c>
      <c r="N25" s="131">
        <f t="shared" si="33"/>
        <v>2900000</v>
      </c>
      <c r="O25" s="134">
        <f t="shared" si="33"/>
        <v>2900000</v>
      </c>
      <c r="P25" s="135">
        <f t="shared" si="33"/>
        <v>38100000</v>
      </c>
      <c r="Q25" s="131">
        <f t="shared" si="33"/>
        <v>606120</v>
      </c>
      <c r="R25" s="132">
        <f t="shared" si="33"/>
        <v>60540</v>
      </c>
      <c r="S25" s="132">
        <f t="shared" si="33"/>
        <v>1116000</v>
      </c>
      <c r="T25" s="132">
        <f t="shared" si="33"/>
        <v>1157420</v>
      </c>
      <c r="U25" s="133">
        <f t="shared" si="33"/>
        <v>135460</v>
      </c>
      <c r="V25" s="133">
        <f t="shared" si="33"/>
        <v>273100</v>
      </c>
      <c r="W25" s="135">
        <f t="shared" si="33"/>
        <v>3348640</v>
      </c>
      <c r="X25" s="136">
        <f t="shared" si="33"/>
        <v>34751360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232</v>
      </c>
      <c r="D28" s="197" t="s">
        <v>235</v>
      </c>
      <c r="E28" s="198"/>
      <c r="F28" s="204" t="s">
        <v>233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 t="s">
        <v>49</v>
      </c>
      <c r="D32" s="197" t="s">
        <v>140</v>
      </c>
      <c r="E32" s="198"/>
      <c r="F32" s="199" t="s">
        <v>227</v>
      </c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6"/>
      <c r="C34" s="122"/>
      <c r="D34" s="209"/>
      <c r="E34" s="210"/>
      <c r="F34" s="211"/>
      <c r="G34" s="212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20.100000000000001" customHeight="1" x14ac:dyDescent="0.3">
      <c r="Q35" s="64"/>
      <c r="R35" s="64"/>
      <c r="S35" s="64"/>
      <c r="T35" s="64"/>
      <c r="U35" s="64"/>
      <c r="V35" s="64"/>
    </row>
    <row r="36" spans="2:22" s="64" customFormat="1" ht="20.100000000000001" customHeight="1" x14ac:dyDescent="0.3">
      <c r="B36" s="151"/>
      <c r="C36" s="151"/>
      <c r="D36" s="151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2:22" s="64" customFormat="1" ht="20.100000000000001" customHeight="1" x14ac:dyDescent="0.3">
      <c r="B37" s="151"/>
      <c r="C37" s="151"/>
      <c r="D37" s="151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51"/>
      <c r="C38" s="151"/>
      <c r="D38" s="151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51"/>
      <c r="C39" s="151"/>
      <c r="D39" s="151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51"/>
      <c r="C40" s="151"/>
      <c r="D40" s="151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51"/>
      <c r="C41" s="151"/>
      <c r="D41" s="151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51"/>
      <c r="C42" s="151"/>
      <c r="D42" s="151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51"/>
      <c r="C43" s="151"/>
      <c r="D43" s="151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51"/>
      <c r="C44" s="151"/>
      <c r="D44" s="151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51"/>
      <c r="C45" s="151"/>
      <c r="D45" s="151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51"/>
      <c r="C46" s="151"/>
      <c r="D46" s="151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51"/>
      <c r="C47" s="151"/>
      <c r="D47" s="151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51"/>
      <c r="C48" s="151"/>
      <c r="D48" s="151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51"/>
      <c r="C49" s="151"/>
      <c r="D49" s="151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51"/>
      <c r="C50" s="151"/>
      <c r="D50" s="151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51"/>
      <c r="C51" s="151"/>
      <c r="D51" s="151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51"/>
      <c r="C52" s="151"/>
      <c r="D52" s="151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51"/>
      <c r="C53" s="151"/>
      <c r="D53" s="151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51"/>
      <c r="C54" s="151"/>
      <c r="D54" s="151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51"/>
      <c r="C55" s="151"/>
      <c r="D55" s="151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51"/>
      <c r="C56" s="151"/>
      <c r="D56" s="151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51"/>
      <c r="C57" s="151"/>
      <c r="D57" s="151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51"/>
      <c r="C58" s="151"/>
      <c r="D58" s="151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51"/>
      <c r="C59" s="151"/>
      <c r="D59" s="151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51"/>
      <c r="C60" s="151"/>
      <c r="D60" s="151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51"/>
      <c r="C61" s="151"/>
      <c r="D61" s="151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51"/>
      <c r="C62" s="151"/>
      <c r="D62" s="151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51"/>
      <c r="C63" s="151"/>
      <c r="D63" s="151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51"/>
      <c r="C64" s="151"/>
      <c r="D64" s="151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51"/>
      <c r="C65" s="151"/>
      <c r="D65" s="151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51"/>
      <c r="C66" s="151"/>
      <c r="D66" s="151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51"/>
      <c r="C67" s="151"/>
      <c r="D67" s="151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51"/>
      <c r="C68" s="151"/>
      <c r="D68" s="151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51"/>
      <c r="C69" s="151"/>
      <c r="D69" s="151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51"/>
      <c r="C70" s="151"/>
      <c r="D70" s="151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51"/>
      <c r="C71" s="151"/>
      <c r="D71" s="151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51"/>
      <c r="C72" s="151"/>
      <c r="D72" s="151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51"/>
      <c r="C73" s="151"/>
      <c r="D73" s="151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51"/>
      <c r="C74" s="151"/>
      <c r="D74" s="151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51"/>
      <c r="C75" s="151"/>
      <c r="D75" s="151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51"/>
      <c r="C76" s="151"/>
      <c r="D76" s="151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51"/>
      <c r="C77" s="151"/>
      <c r="D77" s="151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51"/>
      <c r="C78" s="151"/>
      <c r="D78" s="151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51"/>
      <c r="C79" s="151"/>
      <c r="D79" s="151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51"/>
      <c r="C80" s="151"/>
      <c r="D80" s="151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51"/>
      <c r="C81" s="151"/>
      <c r="D81" s="151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51"/>
      <c r="C82" s="151"/>
      <c r="D82" s="151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51"/>
      <c r="C83" s="151"/>
      <c r="D83" s="151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51"/>
      <c r="C84" s="151"/>
      <c r="D84" s="151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51"/>
      <c r="C85" s="151"/>
      <c r="D85" s="151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51"/>
      <c r="C86" s="151"/>
      <c r="D86" s="151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51"/>
      <c r="C87" s="151"/>
      <c r="D87" s="151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51"/>
      <c r="C88" s="151"/>
      <c r="D88" s="151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51"/>
      <c r="C89" s="151"/>
      <c r="D89" s="151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51"/>
      <c r="C90" s="151"/>
      <c r="D90" s="151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51"/>
      <c r="C91" s="151"/>
      <c r="D91" s="151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51"/>
      <c r="C92" s="151"/>
      <c r="D92" s="151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51"/>
      <c r="C93" s="151"/>
      <c r="D93" s="151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51"/>
      <c r="C94" s="151"/>
      <c r="D94" s="151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51"/>
      <c r="C95" s="151"/>
      <c r="D95" s="151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51"/>
      <c r="C96" s="151"/>
      <c r="D96" s="151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51"/>
      <c r="C97" s="151"/>
      <c r="D97" s="151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51"/>
      <c r="C98" s="151"/>
      <c r="D98" s="151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51"/>
      <c r="C99" s="151"/>
      <c r="D99" s="151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51"/>
      <c r="C100" s="151"/>
      <c r="D100" s="151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51"/>
      <c r="C101" s="151"/>
      <c r="D101" s="151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51"/>
      <c r="C102" s="151"/>
      <c r="D102" s="151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51"/>
      <c r="C103" s="151"/>
      <c r="D103" s="151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51"/>
      <c r="C104" s="151"/>
      <c r="D104" s="151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51"/>
      <c r="C105" s="151"/>
      <c r="D105" s="151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51"/>
      <c r="C106" s="151"/>
      <c r="D106" s="151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51"/>
      <c r="C107" s="151"/>
      <c r="D107" s="151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51"/>
      <c r="C108" s="151"/>
      <c r="D108" s="151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51"/>
      <c r="C109" s="151"/>
      <c r="D109" s="151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51"/>
      <c r="C110" s="151"/>
      <c r="D110" s="151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51"/>
      <c r="C111" s="151"/>
      <c r="D111" s="151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51"/>
      <c r="C112" s="151"/>
      <c r="D112" s="151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51"/>
      <c r="C113" s="151"/>
      <c r="D113" s="151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51"/>
      <c r="C114" s="151"/>
      <c r="D114" s="151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51"/>
      <c r="C115" s="151"/>
      <c r="D115" s="151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51"/>
      <c r="C116" s="151"/>
      <c r="D116" s="151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51"/>
      <c r="C117" s="151"/>
      <c r="D117" s="151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51"/>
      <c r="C118" s="151"/>
      <c r="D118" s="151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51"/>
      <c r="C119" s="151"/>
      <c r="D119" s="151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51"/>
      <c r="C120" s="151"/>
      <c r="D120" s="151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51"/>
      <c r="C121" s="151"/>
      <c r="D121" s="151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51"/>
      <c r="C122" s="151"/>
      <c r="D122" s="151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51"/>
      <c r="C123" s="151"/>
      <c r="D123" s="151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51"/>
      <c r="C124" s="151"/>
      <c r="D124" s="15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51"/>
      <c r="C125" s="151"/>
      <c r="D125" s="15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51"/>
      <c r="C126" s="151"/>
      <c r="D126" s="15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51"/>
      <c r="C127" s="151"/>
      <c r="D127" s="151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51"/>
      <c r="C128" s="151"/>
      <c r="D128" s="151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51"/>
      <c r="C129" s="151"/>
      <c r="D129" s="151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51"/>
      <c r="C130" s="151"/>
      <c r="D130" s="151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51"/>
      <c r="C131" s="151"/>
      <c r="D131" s="151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51"/>
      <c r="C132" s="151"/>
      <c r="D132" s="151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51"/>
      <c r="C133" s="151"/>
      <c r="D133" s="151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51"/>
      <c r="C134" s="151"/>
      <c r="D134" s="151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51"/>
      <c r="C135" s="151"/>
      <c r="D135" s="151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51"/>
      <c r="C136" s="151"/>
      <c r="D136" s="151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51"/>
      <c r="C137" s="151"/>
      <c r="D137" s="151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51"/>
      <c r="C138" s="151"/>
      <c r="D138" s="151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51"/>
      <c r="C139" s="151"/>
      <c r="D139" s="151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51"/>
      <c r="C140" s="151"/>
      <c r="D140" s="151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51"/>
      <c r="C141" s="151"/>
      <c r="D141" s="151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51"/>
      <c r="C142" s="151"/>
      <c r="D142" s="151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51"/>
      <c r="C143" s="151"/>
      <c r="D143" s="151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51"/>
      <c r="C144" s="151"/>
      <c r="D144" s="151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51"/>
      <c r="C145" s="151"/>
      <c r="D145" s="151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51"/>
      <c r="C146" s="151"/>
      <c r="D146" s="151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51"/>
      <c r="C147" s="151"/>
      <c r="D147" s="151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51"/>
      <c r="C148" s="151"/>
      <c r="D148" s="151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51"/>
      <c r="C149" s="151"/>
      <c r="D149" s="151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51"/>
      <c r="C150" s="151"/>
      <c r="D150" s="151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51"/>
      <c r="C151" s="151"/>
      <c r="D151" s="151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51"/>
      <c r="C152" s="151"/>
      <c r="D152" s="151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51"/>
      <c r="C153" s="151"/>
      <c r="D153" s="151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51"/>
      <c r="C154" s="151"/>
      <c r="D154" s="151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51"/>
      <c r="C155" s="151"/>
      <c r="D155" s="151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51"/>
      <c r="C156" s="151"/>
      <c r="D156" s="151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51"/>
      <c r="C157" s="151"/>
      <c r="D157" s="151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51"/>
      <c r="C158" s="151"/>
      <c r="D158" s="151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51"/>
      <c r="C159" s="151"/>
      <c r="D159" s="151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51"/>
      <c r="C160" s="151"/>
      <c r="D160" s="151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51"/>
      <c r="C161" s="151"/>
      <c r="D161" s="151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51"/>
      <c r="C162" s="151"/>
      <c r="D162" s="151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51"/>
      <c r="C163" s="151"/>
      <c r="D163" s="151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51"/>
      <c r="C164" s="151"/>
      <c r="D164" s="151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51"/>
      <c r="C165" s="151"/>
      <c r="D165" s="151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51"/>
      <c r="C166" s="151"/>
      <c r="D166" s="151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51"/>
      <c r="C167" s="151"/>
      <c r="D167" s="151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51"/>
      <c r="C168" s="151"/>
      <c r="D168" s="151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51"/>
      <c r="C169" s="151"/>
      <c r="D169" s="151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51"/>
      <c r="C170" s="151"/>
      <c r="D170" s="151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51"/>
      <c r="C171" s="151"/>
      <c r="D171" s="151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51"/>
      <c r="C172" s="151"/>
      <c r="D172" s="151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51"/>
      <c r="C173" s="151"/>
      <c r="D173" s="151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51"/>
      <c r="C174" s="151"/>
      <c r="D174" s="151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51"/>
      <c r="C175" s="151"/>
      <c r="D175" s="151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51"/>
      <c r="C176" s="151"/>
      <c r="D176" s="151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51"/>
      <c r="C177" s="151"/>
      <c r="D177" s="151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51"/>
      <c r="C178" s="151"/>
      <c r="D178" s="151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51"/>
      <c r="C179" s="151"/>
      <c r="D179" s="151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51"/>
      <c r="C180" s="151"/>
      <c r="D180" s="151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51"/>
      <c r="C181" s="151"/>
      <c r="D181" s="151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51"/>
      <c r="C182" s="151"/>
      <c r="D182" s="151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51"/>
      <c r="C183" s="151"/>
      <c r="D183" s="151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51"/>
      <c r="C184" s="151"/>
      <c r="D184" s="151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51"/>
      <c r="C185" s="151"/>
      <c r="D185" s="151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51"/>
      <c r="C186" s="151"/>
      <c r="D186" s="151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51"/>
      <c r="C187" s="151"/>
      <c r="D187" s="151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51"/>
      <c r="C188" s="151"/>
      <c r="D188" s="151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51"/>
      <c r="C189" s="151"/>
      <c r="D189" s="151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51"/>
      <c r="C190" s="151"/>
      <c r="D190" s="151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51"/>
      <c r="C191" s="151"/>
      <c r="D191" s="151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51"/>
      <c r="C192" s="151"/>
      <c r="D192" s="151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51"/>
      <c r="C193" s="151"/>
      <c r="D193" s="151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51"/>
      <c r="C194" s="151"/>
      <c r="D194" s="151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51"/>
      <c r="C195" s="151"/>
      <c r="D195" s="151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51"/>
      <c r="C196" s="151"/>
      <c r="D196" s="151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51"/>
      <c r="C197" s="151"/>
      <c r="D197" s="151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51"/>
      <c r="C198" s="151"/>
      <c r="D198" s="151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51"/>
      <c r="C199" s="151"/>
      <c r="D199" s="151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51"/>
      <c r="C200" s="151"/>
      <c r="D200" s="151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51"/>
      <c r="C201" s="151"/>
      <c r="D201" s="151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51"/>
      <c r="C202" s="151"/>
      <c r="D202" s="151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51"/>
      <c r="C203" s="151"/>
      <c r="D203" s="151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51"/>
      <c r="C204" s="151"/>
      <c r="D204" s="151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51"/>
      <c r="C205" s="151"/>
      <c r="D205" s="151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51"/>
      <c r="C206" s="151"/>
      <c r="D206" s="151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51"/>
      <c r="C207" s="151"/>
      <c r="D207" s="151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51"/>
      <c r="C208" s="151"/>
      <c r="D208" s="151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51"/>
      <c r="C209" s="151"/>
      <c r="D209" s="151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51"/>
      <c r="C210" s="151"/>
      <c r="D210" s="151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51"/>
      <c r="C211" s="151"/>
      <c r="D211" s="151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51"/>
      <c r="C212" s="151"/>
      <c r="D212" s="151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51"/>
      <c r="C213" s="151"/>
      <c r="D213" s="151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51"/>
      <c r="C214" s="151"/>
      <c r="D214" s="151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51"/>
      <c r="C215" s="151"/>
      <c r="D215" s="151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51"/>
      <c r="C216" s="151"/>
      <c r="D216" s="151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51"/>
      <c r="C217" s="151"/>
      <c r="D217" s="151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51"/>
      <c r="C218" s="151"/>
      <c r="D218" s="151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51"/>
      <c r="C219" s="151"/>
      <c r="D219" s="151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51"/>
      <c r="C220" s="151"/>
      <c r="D220" s="151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51"/>
      <c r="C221" s="151"/>
      <c r="D221" s="151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51"/>
      <c r="C222" s="151"/>
      <c r="D222" s="151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51"/>
      <c r="C223" s="151"/>
      <c r="D223" s="151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51"/>
      <c r="C224" s="151"/>
      <c r="D224" s="151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51"/>
      <c r="C225" s="151"/>
      <c r="D225" s="151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51"/>
      <c r="C226" s="151"/>
      <c r="D226" s="151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51"/>
      <c r="C227" s="151"/>
      <c r="D227" s="151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51"/>
      <c r="C228" s="151"/>
      <c r="D228" s="151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51"/>
      <c r="C229" s="151"/>
      <c r="D229" s="151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51"/>
      <c r="C230" s="151"/>
      <c r="D230" s="151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51"/>
      <c r="C231" s="151"/>
      <c r="D231" s="151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51"/>
      <c r="C232" s="151"/>
      <c r="D232" s="151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51"/>
      <c r="C233" s="151"/>
      <c r="D233" s="151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51"/>
      <c r="C234" s="151"/>
      <c r="D234" s="151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51"/>
      <c r="C235" s="151"/>
      <c r="D235" s="151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51"/>
      <c r="C236" s="151"/>
      <c r="D236" s="151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51"/>
      <c r="C237" s="151"/>
      <c r="D237" s="151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51"/>
      <c r="C238" s="151"/>
      <c r="D238" s="151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51"/>
      <c r="C239" s="151"/>
      <c r="D239" s="151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51"/>
      <c r="C240" s="151"/>
      <c r="D240" s="151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51"/>
      <c r="C241" s="151"/>
      <c r="D241" s="151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51"/>
      <c r="C242" s="151"/>
      <c r="D242" s="151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51"/>
      <c r="C243" s="151"/>
      <c r="D243" s="151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51"/>
      <c r="C244" s="151"/>
      <c r="D244" s="151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51"/>
      <c r="C245" s="151"/>
      <c r="D245" s="151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51"/>
      <c r="C246" s="151"/>
      <c r="D246" s="151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51"/>
      <c r="C247" s="151"/>
      <c r="D247" s="151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51"/>
      <c r="C248" s="151"/>
      <c r="D248" s="151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51"/>
      <c r="C249" s="151"/>
      <c r="D249" s="151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51"/>
      <c r="C250" s="151"/>
      <c r="D250" s="151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51"/>
      <c r="C251" s="151"/>
      <c r="D251" s="151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51"/>
      <c r="C252" s="151"/>
      <c r="D252" s="151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51"/>
      <c r="C253" s="151"/>
      <c r="D253" s="151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51"/>
      <c r="C254" s="151"/>
      <c r="D254" s="151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51"/>
      <c r="C255" s="151"/>
      <c r="D255" s="151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51"/>
      <c r="C256" s="151"/>
      <c r="D256" s="151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51"/>
      <c r="C257" s="151"/>
      <c r="D257" s="151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51"/>
      <c r="C258" s="151"/>
      <c r="D258" s="151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51"/>
      <c r="C259" s="151"/>
      <c r="D259" s="151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51"/>
      <c r="C260" s="151"/>
      <c r="D260" s="151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51"/>
      <c r="C261" s="151"/>
      <c r="D261" s="151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51"/>
      <c r="C262" s="151"/>
      <c r="D262" s="151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51"/>
      <c r="C263" s="151"/>
      <c r="D263" s="151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51"/>
      <c r="C264" s="151"/>
      <c r="D264" s="151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51"/>
      <c r="C265" s="151"/>
      <c r="D265" s="151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51"/>
      <c r="C266" s="151"/>
      <c r="D266" s="151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51"/>
      <c r="C267" s="151"/>
      <c r="D267" s="151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51"/>
      <c r="C268" s="151"/>
      <c r="D268" s="151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51"/>
      <c r="C269" s="151"/>
      <c r="D269" s="151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51"/>
      <c r="C270" s="151"/>
      <c r="D270" s="151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51"/>
      <c r="C271" s="151"/>
      <c r="D271" s="151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51"/>
      <c r="C272" s="151"/>
      <c r="D272" s="151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51"/>
      <c r="C273" s="151"/>
      <c r="D273" s="151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51"/>
      <c r="C274" s="151"/>
      <c r="D274" s="151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51"/>
      <c r="C275" s="151"/>
      <c r="D275" s="151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51"/>
      <c r="C276" s="151"/>
      <c r="D276" s="151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51"/>
      <c r="C277" s="151"/>
      <c r="D277" s="151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51"/>
      <c r="C278" s="151"/>
      <c r="D278" s="151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51"/>
      <c r="C279" s="151"/>
      <c r="D279" s="151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51"/>
      <c r="C280" s="151"/>
      <c r="D280" s="151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51"/>
      <c r="C281" s="151"/>
      <c r="D281" s="151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51"/>
      <c r="C282" s="151"/>
      <c r="D282" s="151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</sheetData>
  <mergeCells count="48">
    <mergeCell ref="X4:X5"/>
    <mergeCell ref="B5:E5"/>
    <mergeCell ref="F5:G5"/>
    <mergeCell ref="B3:E4"/>
    <mergeCell ref="L3:P3"/>
    <mergeCell ref="T4:T5"/>
    <mergeCell ref="V4:V5"/>
    <mergeCell ref="W4:W5"/>
    <mergeCell ref="D30:E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D28:E28"/>
    <mergeCell ref="F28:G28"/>
    <mergeCell ref="H28:P28"/>
    <mergeCell ref="D29:E29"/>
    <mergeCell ref="F29:G29"/>
    <mergeCell ref="H29:P29"/>
    <mergeCell ref="B25:D25"/>
    <mergeCell ref="B26:X26"/>
    <mergeCell ref="D27:E27"/>
    <mergeCell ref="F27:G27"/>
    <mergeCell ref="H27:P27"/>
    <mergeCell ref="F30:G30"/>
    <mergeCell ref="H30:P30"/>
    <mergeCell ref="B32:B34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1:E31"/>
    <mergeCell ref="F31:G31"/>
    <mergeCell ref="H31:P31"/>
    <mergeCell ref="B28:B31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view="pageBreakPreview" topLeftCell="A7" zoomScale="90" zoomScaleNormal="100" zoomScaleSheetLayoutView="90" workbookViewId="0">
      <selection activeCell="D35" sqref="D35:E35"/>
    </sheetView>
  </sheetViews>
  <sheetFormatPr defaultRowHeight="13.5" x14ac:dyDescent="0.3"/>
  <cols>
    <col min="1" max="1" width="1.625" style="156" customWidth="1"/>
    <col min="2" max="2" width="4.625" style="156" bestFit="1" customWidth="1"/>
    <col min="3" max="3" width="7.625" style="156" bestFit="1" customWidth="1"/>
    <col min="4" max="4" width="8" style="156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56" customWidth="1"/>
    <col min="26" max="26" width="8.375" style="156" customWidth="1"/>
    <col min="27" max="27" width="7.25" style="156" customWidth="1"/>
    <col min="28" max="28" width="3.875" style="156" customWidth="1"/>
    <col min="29" max="29" width="0.5" style="156" customWidth="1"/>
    <col min="30" max="257" width="9" style="156"/>
    <col min="258" max="258" width="4.625" style="156" bestFit="1" customWidth="1"/>
    <col min="259" max="259" width="7.5" style="156" bestFit="1" customWidth="1"/>
    <col min="260" max="260" width="6.25" style="156" customWidth="1"/>
    <col min="261" max="261" width="11" style="156" bestFit="1" customWidth="1"/>
    <col min="262" max="263" width="9.625" style="156" bestFit="1" customWidth="1"/>
    <col min="264" max="264" width="8.25" style="156" bestFit="1" customWidth="1"/>
    <col min="265" max="266" width="9.625" style="156" bestFit="1" customWidth="1"/>
    <col min="267" max="267" width="8.25" style="156" bestFit="1" customWidth="1"/>
    <col min="268" max="269" width="9.625" style="156" bestFit="1" customWidth="1"/>
    <col min="270" max="271" width="8.25" style="156" bestFit="1" customWidth="1"/>
    <col min="272" max="272" width="11" style="156" bestFit="1" customWidth="1"/>
    <col min="273" max="273" width="8" style="156" bestFit="1" customWidth="1"/>
    <col min="274" max="274" width="7.75" style="156" bestFit="1" customWidth="1"/>
    <col min="275" max="276" width="9.625" style="156" bestFit="1" customWidth="1"/>
    <col min="277" max="278" width="9.625" style="156" customWidth="1"/>
    <col min="279" max="279" width="9.25" style="156" bestFit="1" customWidth="1"/>
    <col min="280" max="280" width="11" style="156" bestFit="1" customWidth="1"/>
    <col min="281" max="513" width="9" style="156"/>
    <col min="514" max="514" width="4.625" style="156" bestFit="1" customWidth="1"/>
    <col min="515" max="515" width="7.5" style="156" bestFit="1" customWidth="1"/>
    <col min="516" max="516" width="6.25" style="156" customWidth="1"/>
    <col min="517" max="517" width="11" style="156" bestFit="1" customWidth="1"/>
    <col min="518" max="519" width="9.625" style="156" bestFit="1" customWidth="1"/>
    <col min="520" max="520" width="8.25" style="156" bestFit="1" customWidth="1"/>
    <col min="521" max="522" width="9.625" style="156" bestFit="1" customWidth="1"/>
    <col min="523" max="523" width="8.25" style="156" bestFit="1" customWidth="1"/>
    <col min="524" max="525" width="9.625" style="156" bestFit="1" customWidth="1"/>
    <col min="526" max="527" width="8.25" style="156" bestFit="1" customWidth="1"/>
    <col min="528" max="528" width="11" style="156" bestFit="1" customWidth="1"/>
    <col min="529" max="529" width="8" style="156" bestFit="1" customWidth="1"/>
    <col min="530" max="530" width="7.75" style="156" bestFit="1" customWidth="1"/>
    <col min="531" max="532" width="9.625" style="156" bestFit="1" customWidth="1"/>
    <col min="533" max="534" width="9.625" style="156" customWidth="1"/>
    <col min="535" max="535" width="9.25" style="156" bestFit="1" customWidth="1"/>
    <col min="536" max="536" width="11" style="156" bestFit="1" customWidth="1"/>
    <col min="537" max="769" width="9" style="156"/>
    <col min="770" max="770" width="4.625" style="156" bestFit="1" customWidth="1"/>
    <col min="771" max="771" width="7.5" style="156" bestFit="1" customWidth="1"/>
    <col min="772" max="772" width="6.25" style="156" customWidth="1"/>
    <col min="773" max="773" width="11" style="156" bestFit="1" customWidth="1"/>
    <col min="774" max="775" width="9.625" style="156" bestFit="1" customWidth="1"/>
    <col min="776" max="776" width="8.25" style="156" bestFit="1" customWidth="1"/>
    <col min="777" max="778" width="9.625" style="156" bestFit="1" customWidth="1"/>
    <col min="779" max="779" width="8.25" style="156" bestFit="1" customWidth="1"/>
    <col min="780" max="781" width="9.625" style="156" bestFit="1" customWidth="1"/>
    <col min="782" max="783" width="8.25" style="156" bestFit="1" customWidth="1"/>
    <col min="784" max="784" width="11" style="156" bestFit="1" customWidth="1"/>
    <col min="785" max="785" width="8" style="156" bestFit="1" customWidth="1"/>
    <col min="786" max="786" width="7.75" style="156" bestFit="1" customWidth="1"/>
    <col min="787" max="788" width="9.625" style="156" bestFit="1" customWidth="1"/>
    <col min="789" max="790" width="9.625" style="156" customWidth="1"/>
    <col min="791" max="791" width="9.25" style="156" bestFit="1" customWidth="1"/>
    <col min="792" max="792" width="11" style="156" bestFit="1" customWidth="1"/>
    <col min="793" max="1025" width="9" style="156"/>
    <col min="1026" max="1026" width="4.625" style="156" bestFit="1" customWidth="1"/>
    <col min="1027" max="1027" width="7.5" style="156" bestFit="1" customWidth="1"/>
    <col min="1028" max="1028" width="6.25" style="156" customWidth="1"/>
    <col min="1029" max="1029" width="11" style="156" bestFit="1" customWidth="1"/>
    <col min="1030" max="1031" width="9.625" style="156" bestFit="1" customWidth="1"/>
    <col min="1032" max="1032" width="8.25" style="156" bestFit="1" customWidth="1"/>
    <col min="1033" max="1034" width="9.625" style="156" bestFit="1" customWidth="1"/>
    <col min="1035" max="1035" width="8.25" style="156" bestFit="1" customWidth="1"/>
    <col min="1036" max="1037" width="9.625" style="156" bestFit="1" customWidth="1"/>
    <col min="1038" max="1039" width="8.25" style="156" bestFit="1" customWidth="1"/>
    <col min="1040" max="1040" width="11" style="156" bestFit="1" customWidth="1"/>
    <col min="1041" max="1041" width="8" style="156" bestFit="1" customWidth="1"/>
    <col min="1042" max="1042" width="7.75" style="156" bestFit="1" customWidth="1"/>
    <col min="1043" max="1044" width="9.625" style="156" bestFit="1" customWidth="1"/>
    <col min="1045" max="1046" width="9.625" style="156" customWidth="1"/>
    <col min="1047" max="1047" width="9.25" style="156" bestFit="1" customWidth="1"/>
    <col min="1048" max="1048" width="11" style="156" bestFit="1" customWidth="1"/>
    <col min="1049" max="1281" width="9" style="156"/>
    <col min="1282" max="1282" width="4.625" style="156" bestFit="1" customWidth="1"/>
    <col min="1283" max="1283" width="7.5" style="156" bestFit="1" customWidth="1"/>
    <col min="1284" max="1284" width="6.25" style="156" customWidth="1"/>
    <col min="1285" max="1285" width="11" style="156" bestFit="1" customWidth="1"/>
    <col min="1286" max="1287" width="9.625" style="156" bestFit="1" customWidth="1"/>
    <col min="1288" max="1288" width="8.25" style="156" bestFit="1" customWidth="1"/>
    <col min="1289" max="1290" width="9.625" style="156" bestFit="1" customWidth="1"/>
    <col min="1291" max="1291" width="8.25" style="156" bestFit="1" customWidth="1"/>
    <col min="1292" max="1293" width="9.625" style="156" bestFit="1" customWidth="1"/>
    <col min="1294" max="1295" width="8.25" style="156" bestFit="1" customWidth="1"/>
    <col min="1296" max="1296" width="11" style="156" bestFit="1" customWidth="1"/>
    <col min="1297" max="1297" width="8" style="156" bestFit="1" customWidth="1"/>
    <col min="1298" max="1298" width="7.75" style="156" bestFit="1" customWidth="1"/>
    <col min="1299" max="1300" width="9.625" style="156" bestFit="1" customWidth="1"/>
    <col min="1301" max="1302" width="9.625" style="156" customWidth="1"/>
    <col min="1303" max="1303" width="9.25" style="156" bestFit="1" customWidth="1"/>
    <col min="1304" max="1304" width="11" style="156" bestFit="1" customWidth="1"/>
    <col min="1305" max="1537" width="9" style="156"/>
    <col min="1538" max="1538" width="4.625" style="156" bestFit="1" customWidth="1"/>
    <col min="1539" max="1539" width="7.5" style="156" bestFit="1" customWidth="1"/>
    <col min="1540" max="1540" width="6.25" style="156" customWidth="1"/>
    <col min="1541" max="1541" width="11" style="156" bestFit="1" customWidth="1"/>
    <col min="1542" max="1543" width="9.625" style="156" bestFit="1" customWidth="1"/>
    <col min="1544" max="1544" width="8.25" style="156" bestFit="1" customWidth="1"/>
    <col min="1545" max="1546" width="9.625" style="156" bestFit="1" customWidth="1"/>
    <col min="1547" max="1547" width="8.25" style="156" bestFit="1" customWidth="1"/>
    <col min="1548" max="1549" width="9.625" style="156" bestFit="1" customWidth="1"/>
    <col min="1550" max="1551" width="8.25" style="156" bestFit="1" customWidth="1"/>
    <col min="1552" max="1552" width="11" style="156" bestFit="1" customWidth="1"/>
    <col min="1553" max="1553" width="8" style="156" bestFit="1" customWidth="1"/>
    <col min="1554" max="1554" width="7.75" style="156" bestFit="1" customWidth="1"/>
    <col min="1555" max="1556" width="9.625" style="156" bestFit="1" customWidth="1"/>
    <col min="1557" max="1558" width="9.625" style="156" customWidth="1"/>
    <col min="1559" max="1559" width="9.25" style="156" bestFit="1" customWidth="1"/>
    <col min="1560" max="1560" width="11" style="156" bestFit="1" customWidth="1"/>
    <col min="1561" max="1793" width="9" style="156"/>
    <col min="1794" max="1794" width="4.625" style="156" bestFit="1" customWidth="1"/>
    <col min="1795" max="1795" width="7.5" style="156" bestFit="1" customWidth="1"/>
    <col min="1796" max="1796" width="6.25" style="156" customWidth="1"/>
    <col min="1797" max="1797" width="11" style="156" bestFit="1" customWidth="1"/>
    <col min="1798" max="1799" width="9.625" style="156" bestFit="1" customWidth="1"/>
    <col min="1800" max="1800" width="8.25" style="156" bestFit="1" customWidth="1"/>
    <col min="1801" max="1802" width="9.625" style="156" bestFit="1" customWidth="1"/>
    <col min="1803" max="1803" width="8.25" style="156" bestFit="1" customWidth="1"/>
    <col min="1804" max="1805" width="9.625" style="156" bestFit="1" customWidth="1"/>
    <col min="1806" max="1807" width="8.25" style="156" bestFit="1" customWidth="1"/>
    <col min="1808" max="1808" width="11" style="156" bestFit="1" customWidth="1"/>
    <col min="1809" max="1809" width="8" style="156" bestFit="1" customWidth="1"/>
    <col min="1810" max="1810" width="7.75" style="156" bestFit="1" customWidth="1"/>
    <col min="1811" max="1812" width="9.625" style="156" bestFit="1" customWidth="1"/>
    <col min="1813" max="1814" width="9.625" style="156" customWidth="1"/>
    <col min="1815" max="1815" width="9.25" style="156" bestFit="1" customWidth="1"/>
    <col min="1816" max="1816" width="11" style="156" bestFit="1" customWidth="1"/>
    <col min="1817" max="2049" width="9" style="156"/>
    <col min="2050" max="2050" width="4.625" style="156" bestFit="1" customWidth="1"/>
    <col min="2051" max="2051" width="7.5" style="156" bestFit="1" customWidth="1"/>
    <col min="2052" max="2052" width="6.25" style="156" customWidth="1"/>
    <col min="2053" max="2053" width="11" style="156" bestFit="1" customWidth="1"/>
    <col min="2054" max="2055" width="9.625" style="156" bestFit="1" customWidth="1"/>
    <col min="2056" max="2056" width="8.25" style="156" bestFit="1" customWidth="1"/>
    <col min="2057" max="2058" width="9.625" style="156" bestFit="1" customWidth="1"/>
    <col min="2059" max="2059" width="8.25" style="156" bestFit="1" customWidth="1"/>
    <col min="2060" max="2061" width="9.625" style="156" bestFit="1" customWidth="1"/>
    <col min="2062" max="2063" width="8.25" style="156" bestFit="1" customWidth="1"/>
    <col min="2064" max="2064" width="11" style="156" bestFit="1" customWidth="1"/>
    <col min="2065" max="2065" width="8" style="156" bestFit="1" customWidth="1"/>
    <col min="2066" max="2066" width="7.75" style="156" bestFit="1" customWidth="1"/>
    <col min="2067" max="2068" width="9.625" style="156" bestFit="1" customWidth="1"/>
    <col min="2069" max="2070" width="9.625" style="156" customWidth="1"/>
    <col min="2071" max="2071" width="9.25" style="156" bestFit="1" customWidth="1"/>
    <col min="2072" max="2072" width="11" style="156" bestFit="1" customWidth="1"/>
    <col min="2073" max="2305" width="9" style="156"/>
    <col min="2306" max="2306" width="4.625" style="156" bestFit="1" customWidth="1"/>
    <col min="2307" max="2307" width="7.5" style="156" bestFit="1" customWidth="1"/>
    <col min="2308" max="2308" width="6.25" style="156" customWidth="1"/>
    <col min="2309" max="2309" width="11" style="156" bestFit="1" customWidth="1"/>
    <col min="2310" max="2311" width="9.625" style="156" bestFit="1" customWidth="1"/>
    <col min="2312" max="2312" width="8.25" style="156" bestFit="1" customWidth="1"/>
    <col min="2313" max="2314" width="9.625" style="156" bestFit="1" customWidth="1"/>
    <col min="2315" max="2315" width="8.25" style="156" bestFit="1" customWidth="1"/>
    <col min="2316" max="2317" width="9.625" style="156" bestFit="1" customWidth="1"/>
    <col min="2318" max="2319" width="8.25" style="156" bestFit="1" customWidth="1"/>
    <col min="2320" max="2320" width="11" style="156" bestFit="1" customWidth="1"/>
    <col min="2321" max="2321" width="8" style="156" bestFit="1" customWidth="1"/>
    <col min="2322" max="2322" width="7.75" style="156" bestFit="1" customWidth="1"/>
    <col min="2323" max="2324" width="9.625" style="156" bestFit="1" customWidth="1"/>
    <col min="2325" max="2326" width="9.625" style="156" customWidth="1"/>
    <col min="2327" max="2327" width="9.25" style="156" bestFit="1" customWidth="1"/>
    <col min="2328" max="2328" width="11" style="156" bestFit="1" customWidth="1"/>
    <col min="2329" max="2561" width="9" style="156"/>
    <col min="2562" max="2562" width="4.625" style="156" bestFit="1" customWidth="1"/>
    <col min="2563" max="2563" width="7.5" style="156" bestFit="1" customWidth="1"/>
    <col min="2564" max="2564" width="6.25" style="156" customWidth="1"/>
    <col min="2565" max="2565" width="11" style="156" bestFit="1" customWidth="1"/>
    <col min="2566" max="2567" width="9.625" style="156" bestFit="1" customWidth="1"/>
    <col min="2568" max="2568" width="8.25" style="156" bestFit="1" customWidth="1"/>
    <col min="2569" max="2570" width="9.625" style="156" bestFit="1" customWidth="1"/>
    <col min="2571" max="2571" width="8.25" style="156" bestFit="1" customWidth="1"/>
    <col min="2572" max="2573" width="9.625" style="156" bestFit="1" customWidth="1"/>
    <col min="2574" max="2575" width="8.25" style="156" bestFit="1" customWidth="1"/>
    <col min="2576" max="2576" width="11" style="156" bestFit="1" customWidth="1"/>
    <col min="2577" max="2577" width="8" style="156" bestFit="1" customWidth="1"/>
    <col min="2578" max="2578" width="7.75" style="156" bestFit="1" customWidth="1"/>
    <col min="2579" max="2580" width="9.625" style="156" bestFit="1" customWidth="1"/>
    <col min="2581" max="2582" width="9.625" style="156" customWidth="1"/>
    <col min="2583" max="2583" width="9.25" style="156" bestFit="1" customWidth="1"/>
    <col min="2584" max="2584" width="11" style="156" bestFit="1" customWidth="1"/>
    <col min="2585" max="2817" width="9" style="156"/>
    <col min="2818" max="2818" width="4.625" style="156" bestFit="1" customWidth="1"/>
    <col min="2819" max="2819" width="7.5" style="156" bestFit="1" customWidth="1"/>
    <col min="2820" max="2820" width="6.25" style="156" customWidth="1"/>
    <col min="2821" max="2821" width="11" style="156" bestFit="1" customWidth="1"/>
    <col min="2822" max="2823" width="9.625" style="156" bestFit="1" customWidth="1"/>
    <col min="2824" max="2824" width="8.25" style="156" bestFit="1" customWidth="1"/>
    <col min="2825" max="2826" width="9.625" style="156" bestFit="1" customWidth="1"/>
    <col min="2827" max="2827" width="8.25" style="156" bestFit="1" customWidth="1"/>
    <col min="2828" max="2829" width="9.625" style="156" bestFit="1" customWidth="1"/>
    <col min="2830" max="2831" width="8.25" style="156" bestFit="1" customWidth="1"/>
    <col min="2832" max="2832" width="11" style="156" bestFit="1" customWidth="1"/>
    <col min="2833" max="2833" width="8" style="156" bestFit="1" customWidth="1"/>
    <col min="2834" max="2834" width="7.75" style="156" bestFit="1" customWidth="1"/>
    <col min="2835" max="2836" width="9.625" style="156" bestFit="1" customWidth="1"/>
    <col min="2837" max="2838" width="9.625" style="156" customWidth="1"/>
    <col min="2839" max="2839" width="9.25" style="156" bestFit="1" customWidth="1"/>
    <col min="2840" max="2840" width="11" style="156" bestFit="1" customWidth="1"/>
    <col min="2841" max="3073" width="9" style="156"/>
    <col min="3074" max="3074" width="4.625" style="156" bestFit="1" customWidth="1"/>
    <col min="3075" max="3075" width="7.5" style="156" bestFit="1" customWidth="1"/>
    <col min="3076" max="3076" width="6.25" style="156" customWidth="1"/>
    <col min="3077" max="3077" width="11" style="156" bestFit="1" customWidth="1"/>
    <col min="3078" max="3079" width="9.625" style="156" bestFit="1" customWidth="1"/>
    <col min="3080" max="3080" width="8.25" style="156" bestFit="1" customWidth="1"/>
    <col min="3081" max="3082" width="9.625" style="156" bestFit="1" customWidth="1"/>
    <col min="3083" max="3083" width="8.25" style="156" bestFit="1" customWidth="1"/>
    <col min="3084" max="3085" width="9.625" style="156" bestFit="1" customWidth="1"/>
    <col min="3086" max="3087" width="8.25" style="156" bestFit="1" customWidth="1"/>
    <col min="3088" max="3088" width="11" style="156" bestFit="1" customWidth="1"/>
    <col min="3089" max="3089" width="8" style="156" bestFit="1" customWidth="1"/>
    <col min="3090" max="3090" width="7.75" style="156" bestFit="1" customWidth="1"/>
    <col min="3091" max="3092" width="9.625" style="156" bestFit="1" customWidth="1"/>
    <col min="3093" max="3094" width="9.625" style="156" customWidth="1"/>
    <col min="3095" max="3095" width="9.25" style="156" bestFit="1" customWidth="1"/>
    <col min="3096" max="3096" width="11" style="156" bestFit="1" customWidth="1"/>
    <col min="3097" max="3329" width="9" style="156"/>
    <col min="3330" max="3330" width="4.625" style="156" bestFit="1" customWidth="1"/>
    <col min="3331" max="3331" width="7.5" style="156" bestFit="1" customWidth="1"/>
    <col min="3332" max="3332" width="6.25" style="156" customWidth="1"/>
    <col min="3333" max="3333" width="11" style="156" bestFit="1" customWidth="1"/>
    <col min="3334" max="3335" width="9.625" style="156" bestFit="1" customWidth="1"/>
    <col min="3336" max="3336" width="8.25" style="156" bestFit="1" customWidth="1"/>
    <col min="3337" max="3338" width="9.625" style="156" bestFit="1" customWidth="1"/>
    <col min="3339" max="3339" width="8.25" style="156" bestFit="1" customWidth="1"/>
    <col min="3340" max="3341" width="9.625" style="156" bestFit="1" customWidth="1"/>
    <col min="3342" max="3343" width="8.25" style="156" bestFit="1" customWidth="1"/>
    <col min="3344" max="3344" width="11" style="156" bestFit="1" customWidth="1"/>
    <col min="3345" max="3345" width="8" style="156" bestFit="1" customWidth="1"/>
    <col min="3346" max="3346" width="7.75" style="156" bestFit="1" customWidth="1"/>
    <col min="3347" max="3348" width="9.625" style="156" bestFit="1" customWidth="1"/>
    <col min="3349" max="3350" width="9.625" style="156" customWidth="1"/>
    <col min="3351" max="3351" width="9.25" style="156" bestFit="1" customWidth="1"/>
    <col min="3352" max="3352" width="11" style="156" bestFit="1" customWidth="1"/>
    <col min="3353" max="3585" width="9" style="156"/>
    <col min="3586" max="3586" width="4.625" style="156" bestFit="1" customWidth="1"/>
    <col min="3587" max="3587" width="7.5" style="156" bestFit="1" customWidth="1"/>
    <col min="3588" max="3588" width="6.25" style="156" customWidth="1"/>
    <col min="3589" max="3589" width="11" style="156" bestFit="1" customWidth="1"/>
    <col min="3590" max="3591" width="9.625" style="156" bestFit="1" customWidth="1"/>
    <col min="3592" max="3592" width="8.25" style="156" bestFit="1" customWidth="1"/>
    <col min="3593" max="3594" width="9.625" style="156" bestFit="1" customWidth="1"/>
    <col min="3595" max="3595" width="8.25" style="156" bestFit="1" customWidth="1"/>
    <col min="3596" max="3597" width="9.625" style="156" bestFit="1" customWidth="1"/>
    <col min="3598" max="3599" width="8.25" style="156" bestFit="1" customWidth="1"/>
    <col min="3600" max="3600" width="11" style="156" bestFit="1" customWidth="1"/>
    <col min="3601" max="3601" width="8" style="156" bestFit="1" customWidth="1"/>
    <col min="3602" max="3602" width="7.75" style="156" bestFit="1" customWidth="1"/>
    <col min="3603" max="3604" width="9.625" style="156" bestFit="1" customWidth="1"/>
    <col min="3605" max="3606" width="9.625" style="156" customWidth="1"/>
    <col min="3607" max="3607" width="9.25" style="156" bestFit="1" customWidth="1"/>
    <col min="3608" max="3608" width="11" style="156" bestFit="1" customWidth="1"/>
    <col min="3609" max="3841" width="9" style="156"/>
    <col min="3842" max="3842" width="4.625" style="156" bestFit="1" customWidth="1"/>
    <col min="3843" max="3843" width="7.5" style="156" bestFit="1" customWidth="1"/>
    <col min="3844" max="3844" width="6.25" style="156" customWidth="1"/>
    <col min="3845" max="3845" width="11" style="156" bestFit="1" customWidth="1"/>
    <col min="3846" max="3847" width="9.625" style="156" bestFit="1" customWidth="1"/>
    <col min="3848" max="3848" width="8.25" style="156" bestFit="1" customWidth="1"/>
    <col min="3849" max="3850" width="9.625" style="156" bestFit="1" customWidth="1"/>
    <col min="3851" max="3851" width="8.25" style="156" bestFit="1" customWidth="1"/>
    <col min="3852" max="3853" width="9.625" style="156" bestFit="1" customWidth="1"/>
    <col min="3854" max="3855" width="8.25" style="156" bestFit="1" customWidth="1"/>
    <col min="3856" max="3856" width="11" style="156" bestFit="1" customWidth="1"/>
    <col min="3857" max="3857" width="8" style="156" bestFit="1" customWidth="1"/>
    <col min="3858" max="3858" width="7.75" style="156" bestFit="1" customWidth="1"/>
    <col min="3859" max="3860" width="9.625" style="156" bestFit="1" customWidth="1"/>
    <col min="3861" max="3862" width="9.625" style="156" customWidth="1"/>
    <col min="3863" max="3863" width="9.25" style="156" bestFit="1" customWidth="1"/>
    <col min="3864" max="3864" width="11" style="156" bestFit="1" customWidth="1"/>
    <col min="3865" max="4097" width="9" style="156"/>
    <col min="4098" max="4098" width="4.625" style="156" bestFit="1" customWidth="1"/>
    <col min="4099" max="4099" width="7.5" style="156" bestFit="1" customWidth="1"/>
    <col min="4100" max="4100" width="6.25" style="156" customWidth="1"/>
    <col min="4101" max="4101" width="11" style="156" bestFit="1" customWidth="1"/>
    <col min="4102" max="4103" width="9.625" style="156" bestFit="1" customWidth="1"/>
    <col min="4104" max="4104" width="8.25" style="156" bestFit="1" customWidth="1"/>
    <col min="4105" max="4106" width="9.625" style="156" bestFit="1" customWidth="1"/>
    <col min="4107" max="4107" width="8.25" style="156" bestFit="1" customWidth="1"/>
    <col min="4108" max="4109" width="9.625" style="156" bestFit="1" customWidth="1"/>
    <col min="4110" max="4111" width="8.25" style="156" bestFit="1" customWidth="1"/>
    <col min="4112" max="4112" width="11" style="156" bestFit="1" customWidth="1"/>
    <col min="4113" max="4113" width="8" style="156" bestFit="1" customWidth="1"/>
    <col min="4114" max="4114" width="7.75" style="156" bestFit="1" customWidth="1"/>
    <col min="4115" max="4116" width="9.625" style="156" bestFit="1" customWidth="1"/>
    <col min="4117" max="4118" width="9.625" style="156" customWidth="1"/>
    <col min="4119" max="4119" width="9.25" style="156" bestFit="1" customWidth="1"/>
    <col min="4120" max="4120" width="11" style="156" bestFit="1" customWidth="1"/>
    <col min="4121" max="4353" width="9" style="156"/>
    <col min="4354" max="4354" width="4.625" style="156" bestFit="1" customWidth="1"/>
    <col min="4355" max="4355" width="7.5" style="156" bestFit="1" customWidth="1"/>
    <col min="4356" max="4356" width="6.25" style="156" customWidth="1"/>
    <col min="4357" max="4357" width="11" style="156" bestFit="1" customWidth="1"/>
    <col min="4358" max="4359" width="9.625" style="156" bestFit="1" customWidth="1"/>
    <col min="4360" max="4360" width="8.25" style="156" bestFit="1" customWidth="1"/>
    <col min="4361" max="4362" width="9.625" style="156" bestFit="1" customWidth="1"/>
    <col min="4363" max="4363" width="8.25" style="156" bestFit="1" customWidth="1"/>
    <col min="4364" max="4365" width="9.625" style="156" bestFit="1" customWidth="1"/>
    <col min="4366" max="4367" width="8.25" style="156" bestFit="1" customWidth="1"/>
    <col min="4368" max="4368" width="11" style="156" bestFit="1" customWidth="1"/>
    <col min="4369" max="4369" width="8" style="156" bestFit="1" customWidth="1"/>
    <col min="4370" max="4370" width="7.75" style="156" bestFit="1" customWidth="1"/>
    <col min="4371" max="4372" width="9.625" style="156" bestFit="1" customWidth="1"/>
    <col min="4373" max="4374" width="9.625" style="156" customWidth="1"/>
    <col min="4375" max="4375" width="9.25" style="156" bestFit="1" customWidth="1"/>
    <col min="4376" max="4376" width="11" style="156" bestFit="1" customWidth="1"/>
    <col min="4377" max="4609" width="9" style="156"/>
    <col min="4610" max="4610" width="4.625" style="156" bestFit="1" customWidth="1"/>
    <col min="4611" max="4611" width="7.5" style="156" bestFit="1" customWidth="1"/>
    <col min="4612" max="4612" width="6.25" style="156" customWidth="1"/>
    <col min="4613" max="4613" width="11" style="156" bestFit="1" customWidth="1"/>
    <col min="4614" max="4615" width="9.625" style="156" bestFit="1" customWidth="1"/>
    <col min="4616" max="4616" width="8.25" style="156" bestFit="1" customWidth="1"/>
    <col min="4617" max="4618" width="9.625" style="156" bestFit="1" customWidth="1"/>
    <col min="4619" max="4619" width="8.25" style="156" bestFit="1" customWidth="1"/>
    <col min="4620" max="4621" width="9.625" style="156" bestFit="1" customWidth="1"/>
    <col min="4622" max="4623" width="8.25" style="156" bestFit="1" customWidth="1"/>
    <col min="4624" max="4624" width="11" style="156" bestFit="1" customWidth="1"/>
    <col min="4625" max="4625" width="8" style="156" bestFit="1" customWidth="1"/>
    <col min="4626" max="4626" width="7.75" style="156" bestFit="1" customWidth="1"/>
    <col min="4627" max="4628" width="9.625" style="156" bestFit="1" customWidth="1"/>
    <col min="4629" max="4630" width="9.625" style="156" customWidth="1"/>
    <col min="4631" max="4631" width="9.25" style="156" bestFit="1" customWidth="1"/>
    <col min="4632" max="4632" width="11" style="156" bestFit="1" customWidth="1"/>
    <col min="4633" max="4865" width="9" style="156"/>
    <col min="4866" max="4866" width="4.625" style="156" bestFit="1" customWidth="1"/>
    <col min="4867" max="4867" width="7.5" style="156" bestFit="1" customWidth="1"/>
    <col min="4868" max="4868" width="6.25" style="156" customWidth="1"/>
    <col min="4869" max="4869" width="11" style="156" bestFit="1" customWidth="1"/>
    <col min="4870" max="4871" width="9.625" style="156" bestFit="1" customWidth="1"/>
    <col min="4872" max="4872" width="8.25" style="156" bestFit="1" customWidth="1"/>
    <col min="4873" max="4874" width="9.625" style="156" bestFit="1" customWidth="1"/>
    <col min="4875" max="4875" width="8.25" style="156" bestFit="1" customWidth="1"/>
    <col min="4876" max="4877" width="9.625" style="156" bestFit="1" customWidth="1"/>
    <col min="4878" max="4879" width="8.25" style="156" bestFit="1" customWidth="1"/>
    <col min="4880" max="4880" width="11" style="156" bestFit="1" customWidth="1"/>
    <col min="4881" max="4881" width="8" style="156" bestFit="1" customWidth="1"/>
    <col min="4882" max="4882" width="7.75" style="156" bestFit="1" customWidth="1"/>
    <col min="4883" max="4884" width="9.625" style="156" bestFit="1" customWidth="1"/>
    <col min="4885" max="4886" width="9.625" style="156" customWidth="1"/>
    <col min="4887" max="4887" width="9.25" style="156" bestFit="1" customWidth="1"/>
    <col min="4888" max="4888" width="11" style="156" bestFit="1" customWidth="1"/>
    <col min="4889" max="5121" width="9" style="156"/>
    <col min="5122" max="5122" width="4.625" style="156" bestFit="1" customWidth="1"/>
    <col min="5123" max="5123" width="7.5" style="156" bestFit="1" customWidth="1"/>
    <col min="5124" max="5124" width="6.25" style="156" customWidth="1"/>
    <col min="5125" max="5125" width="11" style="156" bestFit="1" customWidth="1"/>
    <col min="5126" max="5127" width="9.625" style="156" bestFit="1" customWidth="1"/>
    <col min="5128" max="5128" width="8.25" style="156" bestFit="1" customWidth="1"/>
    <col min="5129" max="5130" width="9.625" style="156" bestFit="1" customWidth="1"/>
    <col min="5131" max="5131" width="8.25" style="156" bestFit="1" customWidth="1"/>
    <col min="5132" max="5133" width="9.625" style="156" bestFit="1" customWidth="1"/>
    <col min="5134" max="5135" width="8.25" style="156" bestFit="1" customWidth="1"/>
    <col min="5136" max="5136" width="11" style="156" bestFit="1" customWidth="1"/>
    <col min="5137" max="5137" width="8" style="156" bestFit="1" customWidth="1"/>
    <col min="5138" max="5138" width="7.75" style="156" bestFit="1" customWidth="1"/>
    <col min="5139" max="5140" width="9.625" style="156" bestFit="1" customWidth="1"/>
    <col min="5141" max="5142" width="9.625" style="156" customWidth="1"/>
    <col min="5143" max="5143" width="9.25" style="156" bestFit="1" customWidth="1"/>
    <col min="5144" max="5144" width="11" style="156" bestFit="1" customWidth="1"/>
    <col min="5145" max="5377" width="9" style="156"/>
    <col min="5378" max="5378" width="4.625" style="156" bestFit="1" customWidth="1"/>
    <col min="5379" max="5379" width="7.5" style="156" bestFit="1" customWidth="1"/>
    <col min="5380" max="5380" width="6.25" style="156" customWidth="1"/>
    <col min="5381" max="5381" width="11" style="156" bestFit="1" customWidth="1"/>
    <col min="5382" max="5383" width="9.625" style="156" bestFit="1" customWidth="1"/>
    <col min="5384" max="5384" width="8.25" style="156" bestFit="1" customWidth="1"/>
    <col min="5385" max="5386" width="9.625" style="156" bestFit="1" customWidth="1"/>
    <col min="5387" max="5387" width="8.25" style="156" bestFit="1" customWidth="1"/>
    <col min="5388" max="5389" width="9.625" style="156" bestFit="1" customWidth="1"/>
    <col min="5390" max="5391" width="8.25" style="156" bestFit="1" customWidth="1"/>
    <col min="5392" max="5392" width="11" style="156" bestFit="1" customWidth="1"/>
    <col min="5393" max="5393" width="8" style="156" bestFit="1" customWidth="1"/>
    <col min="5394" max="5394" width="7.75" style="156" bestFit="1" customWidth="1"/>
    <col min="5395" max="5396" width="9.625" style="156" bestFit="1" customWidth="1"/>
    <col min="5397" max="5398" width="9.625" style="156" customWidth="1"/>
    <col min="5399" max="5399" width="9.25" style="156" bestFit="1" customWidth="1"/>
    <col min="5400" max="5400" width="11" style="156" bestFit="1" customWidth="1"/>
    <col min="5401" max="5633" width="9" style="156"/>
    <col min="5634" max="5634" width="4.625" style="156" bestFit="1" customWidth="1"/>
    <col min="5635" max="5635" width="7.5" style="156" bestFit="1" customWidth="1"/>
    <col min="5636" max="5636" width="6.25" style="156" customWidth="1"/>
    <col min="5637" max="5637" width="11" style="156" bestFit="1" customWidth="1"/>
    <col min="5638" max="5639" width="9.625" style="156" bestFit="1" customWidth="1"/>
    <col min="5640" max="5640" width="8.25" style="156" bestFit="1" customWidth="1"/>
    <col min="5641" max="5642" width="9.625" style="156" bestFit="1" customWidth="1"/>
    <col min="5643" max="5643" width="8.25" style="156" bestFit="1" customWidth="1"/>
    <col min="5644" max="5645" width="9.625" style="156" bestFit="1" customWidth="1"/>
    <col min="5646" max="5647" width="8.25" style="156" bestFit="1" customWidth="1"/>
    <col min="5648" max="5648" width="11" style="156" bestFit="1" customWidth="1"/>
    <col min="5649" max="5649" width="8" style="156" bestFit="1" customWidth="1"/>
    <col min="5650" max="5650" width="7.75" style="156" bestFit="1" customWidth="1"/>
    <col min="5651" max="5652" width="9.625" style="156" bestFit="1" customWidth="1"/>
    <col min="5653" max="5654" width="9.625" style="156" customWidth="1"/>
    <col min="5655" max="5655" width="9.25" style="156" bestFit="1" customWidth="1"/>
    <col min="5656" max="5656" width="11" style="156" bestFit="1" customWidth="1"/>
    <col min="5657" max="5889" width="9" style="156"/>
    <col min="5890" max="5890" width="4.625" style="156" bestFit="1" customWidth="1"/>
    <col min="5891" max="5891" width="7.5" style="156" bestFit="1" customWidth="1"/>
    <col min="5892" max="5892" width="6.25" style="156" customWidth="1"/>
    <col min="5893" max="5893" width="11" style="156" bestFit="1" customWidth="1"/>
    <col min="5894" max="5895" width="9.625" style="156" bestFit="1" customWidth="1"/>
    <col min="5896" max="5896" width="8.25" style="156" bestFit="1" customWidth="1"/>
    <col min="5897" max="5898" width="9.625" style="156" bestFit="1" customWidth="1"/>
    <col min="5899" max="5899" width="8.25" style="156" bestFit="1" customWidth="1"/>
    <col min="5900" max="5901" width="9.625" style="156" bestFit="1" customWidth="1"/>
    <col min="5902" max="5903" width="8.25" style="156" bestFit="1" customWidth="1"/>
    <col min="5904" max="5904" width="11" style="156" bestFit="1" customWidth="1"/>
    <col min="5905" max="5905" width="8" style="156" bestFit="1" customWidth="1"/>
    <col min="5906" max="5906" width="7.75" style="156" bestFit="1" customWidth="1"/>
    <col min="5907" max="5908" width="9.625" style="156" bestFit="1" customWidth="1"/>
    <col min="5909" max="5910" width="9.625" style="156" customWidth="1"/>
    <col min="5911" max="5911" width="9.25" style="156" bestFit="1" customWidth="1"/>
    <col min="5912" max="5912" width="11" style="156" bestFit="1" customWidth="1"/>
    <col min="5913" max="6145" width="9" style="156"/>
    <col min="6146" max="6146" width="4.625" style="156" bestFit="1" customWidth="1"/>
    <col min="6147" max="6147" width="7.5" style="156" bestFit="1" customWidth="1"/>
    <col min="6148" max="6148" width="6.25" style="156" customWidth="1"/>
    <col min="6149" max="6149" width="11" style="156" bestFit="1" customWidth="1"/>
    <col min="6150" max="6151" width="9.625" style="156" bestFit="1" customWidth="1"/>
    <col min="6152" max="6152" width="8.25" style="156" bestFit="1" customWidth="1"/>
    <col min="6153" max="6154" width="9.625" style="156" bestFit="1" customWidth="1"/>
    <col min="6155" max="6155" width="8.25" style="156" bestFit="1" customWidth="1"/>
    <col min="6156" max="6157" width="9.625" style="156" bestFit="1" customWidth="1"/>
    <col min="6158" max="6159" width="8.25" style="156" bestFit="1" customWidth="1"/>
    <col min="6160" max="6160" width="11" style="156" bestFit="1" customWidth="1"/>
    <col min="6161" max="6161" width="8" style="156" bestFit="1" customWidth="1"/>
    <col min="6162" max="6162" width="7.75" style="156" bestFit="1" customWidth="1"/>
    <col min="6163" max="6164" width="9.625" style="156" bestFit="1" customWidth="1"/>
    <col min="6165" max="6166" width="9.625" style="156" customWidth="1"/>
    <col min="6167" max="6167" width="9.25" style="156" bestFit="1" customWidth="1"/>
    <col min="6168" max="6168" width="11" style="156" bestFit="1" customWidth="1"/>
    <col min="6169" max="6401" width="9" style="156"/>
    <col min="6402" max="6402" width="4.625" style="156" bestFit="1" customWidth="1"/>
    <col min="6403" max="6403" width="7.5" style="156" bestFit="1" customWidth="1"/>
    <col min="6404" max="6404" width="6.25" style="156" customWidth="1"/>
    <col min="6405" max="6405" width="11" style="156" bestFit="1" customWidth="1"/>
    <col min="6406" max="6407" width="9.625" style="156" bestFit="1" customWidth="1"/>
    <col min="6408" max="6408" width="8.25" style="156" bestFit="1" customWidth="1"/>
    <col min="6409" max="6410" width="9.625" style="156" bestFit="1" customWidth="1"/>
    <col min="6411" max="6411" width="8.25" style="156" bestFit="1" customWidth="1"/>
    <col min="6412" max="6413" width="9.625" style="156" bestFit="1" customWidth="1"/>
    <col min="6414" max="6415" width="8.25" style="156" bestFit="1" customWidth="1"/>
    <col min="6416" max="6416" width="11" style="156" bestFit="1" customWidth="1"/>
    <col min="6417" max="6417" width="8" style="156" bestFit="1" customWidth="1"/>
    <col min="6418" max="6418" width="7.75" style="156" bestFit="1" customWidth="1"/>
    <col min="6419" max="6420" width="9.625" style="156" bestFit="1" customWidth="1"/>
    <col min="6421" max="6422" width="9.625" style="156" customWidth="1"/>
    <col min="6423" max="6423" width="9.25" style="156" bestFit="1" customWidth="1"/>
    <col min="6424" max="6424" width="11" style="156" bestFit="1" customWidth="1"/>
    <col min="6425" max="6657" width="9" style="156"/>
    <col min="6658" max="6658" width="4.625" style="156" bestFit="1" customWidth="1"/>
    <col min="6659" max="6659" width="7.5" style="156" bestFit="1" customWidth="1"/>
    <col min="6660" max="6660" width="6.25" style="156" customWidth="1"/>
    <col min="6661" max="6661" width="11" style="156" bestFit="1" customWidth="1"/>
    <col min="6662" max="6663" width="9.625" style="156" bestFit="1" customWidth="1"/>
    <col min="6664" max="6664" width="8.25" style="156" bestFit="1" customWidth="1"/>
    <col min="6665" max="6666" width="9.625" style="156" bestFit="1" customWidth="1"/>
    <col min="6667" max="6667" width="8.25" style="156" bestFit="1" customWidth="1"/>
    <col min="6668" max="6669" width="9.625" style="156" bestFit="1" customWidth="1"/>
    <col min="6670" max="6671" width="8.25" style="156" bestFit="1" customWidth="1"/>
    <col min="6672" max="6672" width="11" style="156" bestFit="1" customWidth="1"/>
    <col min="6673" max="6673" width="8" style="156" bestFit="1" customWidth="1"/>
    <col min="6674" max="6674" width="7.75" style="156" bestFit="1" customWidth="1"/>
    <col min="6675" max="6676" width="9.625" style="156" bestFit="1" customWidth="1"/>
    <col min="6677" max="6678" width="9.625" style="156" customWidth="1"/>
    <col min="6679" max="6679" width="9.25" style="156" bestFit="1" customWidth="1"/>
    <col min="6680" max="6680" width="11" style="156" bestFit="1" customWidth="1"/>
    <col min="6681" max="6913" width="9" style="156"/>
    <col min="6914" max="6914" width="4.625" style="156" bestFit="1" customWidth="1"/>
    <col min="6915" max="6915" width="7.5" style="156" bestFit="1" customWidth="1"/>
    <col min="6916" max="6916" width="6.25" style="156" customWidth="1"/>
    <col min="6917" max="6917" width="11" style="156" bestFit="1" customWidth="1"/>
    <col min="6918" max="6919" width="9.625" style="156" bestFit="1" customWidth="1"/>
    <col min="6920" max="6920" width="8.25" style="156" bestFit="1" customWidth="1"/>
    <col min="6921" max="6922" width="9.625" style="156" bestFit="1" customWidth="1"/>
    <col min="6923" max="6923" width="8.25" style="156" bestFit="1" customWidth="1"/>
    <col min="6924" max="6925" width="9.625" style="156" bestFit="1" customWidth="1"/>
    <col min="6926" max="6927" width="8.25" style="156" bestFit="1" customWidth="1"/>
    <col min="6928" max="6928" width="11" style="156" bestFit="1" customWidth="1"/>
    <col min="6929" max="6929" width="8" style="156" bestFit="1" customWidth="1"/>
    <col min="6930" max="6930" width="7.75" style="156" bestFit="1" customWidth="1"/>
    <col min="6931" max="6932" width="9.625" style="156" bestFit="1" customWidth="1"/>
    <col min="6933" max="6934" width="9.625" style="156" customWidth="1"/>
    <col min="6935" max="6935" width="9.25" style="156" bestFit="1" customWidth="1"/>
    <col min="6936" max="6936" width="11" style="156" bestFit="1" customWidth="1"/>
    <col min="6937" max="7169" width="9" style="156"/>
    <col min="7170" max="7170" width="4.625" style="156" bestFit="1" customWidth="1"/>
    <col min="7171" max="7171" width="7.5" style="156" bestFit="1" customWidth="1"/>
    <col min="7172" max="7172" width="6.25" style="156" customWidth="1"/>
    <col min="7173" max="7173" width="11" style="156" bestFit="1" customWidth="1"/>
    <col min="7174" max="7175" width="9.625" style="156" bestFit="1" customWidth="1"/>
    <col min="7176" max="7176" width="8.25" style="156" bestFit="1" customWidth="1"/>
    <col min="7177" max="7178" width="9.625" style="156" bestFit="1" customWidth="1"/>
    <col min="7179" max="7179" width="8.25" style="156" bestFit="1" customWidth="1"/>
    <col min="7180" max="7181" width="9.625" style="156" bestFit="1" customWidth="1"/>
    <col min="7182" max="7183" width="8.25" style="156" bestFit="1" customWidth="1"/>
    <col min="7184" max="7184" width="11" style="156" bestFit="1" customWidth="1"/>
    <col min="7185" max="7185" width="8" style="156" bestFit="1" customWidth="1"/>
    <col min="7186" max="7186" width="7.75" style="156" bestFit="1" customWidth="1"/>
    <col min="7187" max="7188" width="9.625" style="156" bestFit="1" customWidth="1"/>
    <col min="7189" max="7190" width="9.625" style="156" customWidth="1"/>
    <col min="7191" max="7191" width="9.25" style="156" bestFit="1" customWidth="1"/>
    <col min="7192" max="7192" width="11" style="156" bestFit="1" customWidth="1"/>
    <col min="7193" max="7425" width="9" style="156"/>
    <col min="7426" max="7426" width="4.625" style="156" bestFit="1" customWidth="1"/>
    <col min="7427" max="7427" width="7.5" style="156" bestFit="1" customWidth="1"/>
    <col min="7428" max="7428" width="6.25" style="156" customWidth="1"/>
    <col min="7429" max="7429" width="11" style="156" bestFit="1" customWidth="1"/>
    <col min="7430" max="7431" width="9.625" style="156" bestFit="1" customWidth="1"/>
    <col min="7432" max="7432" width="8.25" style="156" bestFit="1" customWidth="1"/>
    <col min="7433" max="7434" width="9.625" style="156" bestFit="1" customWidth="1"/>
    <col min="7435" max="7435" width="8.25" style="156" bestFit="1" customWidth="1"/>
    <col min="7436" max="7437" width="9.625" style="156" bestFit="1" customWidth="1"/>
    <col min="7438" max="7439" width="8.25" style="156" bestFit="1" customWidth="1"/>
    <col min="7440" max="7440" width="11" style="156" bestFit="1" customWidth="1"/>
    <col min="7441" max="7441" width="8" style="156" bestFit="1" customWidth="1"/>
    <col min="7442" max="7442" width="7.75" style="156" bestFit="1" customWidth="1"/>
    <col min="7443" max="7444" width="9.625" style="156" bestFit="1" customWidth="1"/>
    <col min="7445" max="7446" width="9.625" style="156" customWidth="1"/>
    <col min="7447" max="7447" width="9.25" style="156" bestFit="1" customWidth="1"/>
    <col min="7448" max="7448" width="11" style="156" bestFit="1" customWidth="1"/>
    <col min="7449" max="7681" width="9" style="156"/>
    <col min="7682" max="7682" width="4.625" style="156" bestFit="1" customWidth="1"/>
    <col min="7683" max="7683" width="7.5" style="156" bestFit="1" customWidth="1"/>
    <col min="7684" max="7684" width="6.25" style="156" customWidth="1"/>
    <col min="7685" max="7685" width="11" style="156" bestFit="1" customWidth="1"/>
    <col min="7686" max="7687" width="9.625" style="156" bestFit="1" customWidth="1"/>
    <col min="7688" max="7688" width="8.25" style="156" bestFit="1" customWidth="1"/>
    <col min="7689" max="7690" width="9.625" style="156" bestFit="1" customWidth="1"/>
    <col min="7691" max="7691" width="8.25" style="156" bestFit="1" customWidth="1"/>
    <col min="7692" max="7693" width="9.625" style="156" bestFit="1" customWidth="1"/>
    <col min="7694" max="7695" width="8.25" style="156" bestFit="1" customWidth="1"/>
    <col min="7696" max="7696" width="11" style="156" bestFit="1" customWidth="1"/>
    <col min="7697" max="7697" width="8" style="156" bestFit="1" customWidth="1"/>
    <col min="7698" max="7698" width="7.75" style="156" bestFit="1" customWidth="1"/>
    <col min="7699" max="7700" width="9.625" style="156" bestFit="1" customWidth="1"/>
    <col min="7701" max="7702" width="9.625" style="156" customWidth="1"/>
    <col min="7703" max="7703" width="9.25" style="156" bestFit="1" customWidth="1"/>
    <col min="7704" max="7704" width="11" style="156" bestFit="1" customWidth="1"/>
    <col min="7705" max="7937" width="9" style="156"/>
    <col min="7938" max="7938" width="4.625" style="156" bestFit="1" customWidth="1"/>
    <col min="7939" max="7939" width="7.5" style="156" bestFit="1" customWidth="1"/>
    <col min="7940" max="7940" width="6.25" style="156" customWidth="1"/>
    <col min="7941" max="7941" width="11" style="156" bestFit="1" customWidth="1"/>
    <col min="7942" max="7943" width="9.625" style="156" bestFit="1" customWidth="1"/>
    <col min="7944" max="7944" width="8.25" style="156" bestFit="1" customWidth="1"/>
    <col min="7945" max="7946" width="9.625" style="156" bestFit="1" customWidth="1"/>
    <col min="7947" max="7947" width="8.25" style="156" bestFit="1" customWidth="1"/>
    <col min="7948" max="7949" width="9.625" style="156" bestFit="1" customWidth="1"/>
    <col min="7950" max="7951" width="8.25" style="156" bestFit="1" customWidth="1"/>
    <col min="7952" max="7952" width="11" style="156" bestFit="1" customWidth="1"/>
    <col min="7953" max="7953" width="8" style="156" bestFit="1" customWidth="1"/>
    <col min="7954" max="7954" width="7.75" style="156" bestFit="1" customWidth="1"/>
    <col min="7955" max="7956" width="9.625" style="156" bestFit="1" customWidth="1"/>
    <col min="7957" max="7958" width="9.625" style="156" customWidth="1"/>
    <col min="7959" max="7959" width="9.25" style="156" bestFit="1" customWidth="1"/>
    <col min="7960" max="7960" width="11" style="156" bestFit="1" customWidth="1"/>
    <col min="7961" max="8193" width="9" style="156"/>
    <col min="8194" max="8194" width="4.625" style="156" bestFit="1" customWidth="1"/>
    <col min="8195" max="8195" width="7.5" style="156" bestFit="1" customWidth="1"/>
    <col min="8196" max="8196" width="6.25" style="156" customWidth="1"/>
    <col min="8197" max="8197" width="11" style="156" bestFit="1" customWidth="1"/>
    <col min="8198" max="8199" width="9.625" style="156" bestFit="1" customWidth="1"/>
    <col min="8200" max="8200" width="8.25" style="156" bestFit="1" customWidth="1"/>
    <col min="8201" max="8202" width="9.625" style="156" bestFit="1" customWidth="1"/>
    <col min="8203" max="8203" width="8.25" style="156" bestFit="1" customWidth="1"/>
    <col min="8204" max="8205" width="9.625" style="156" bestFit="1" customWidth="1"/>
    <col min="8206" max="8207" width="8.25" style="156" bestFit="1" customWidth="1"/>
    <col min="8208" max="8208" width="11" style="156" bestFit="1" customWidth="1"/>
    <col min="8209" max="8209" width="8" style="156" bestFit="1" customWidth="1"/>
    <col min="8210" max="8210" width="7.75" style="156" bestFit="1" customWidth="1"/>
    <col min="8211" max="8212" width="9.625" style="156" bestFit="1" customWidth="1"/>
    <col min="8213" max="8214" width="9.625" style="156" customWidth="1"/>
    <col min="8215" max="8215" width="9.25" style="156" bestFit="1" customWidth="1"/>
    <col min="8216" max="8216" width="11" style="156" bestFit="1" customWidth="1"/>
    <col min="8217" max="8449" width="9" style="156"/>
    <col min="8450" max="8450" width="4.625" style="156" bestFit="1" customWidth="1"/>
    <col min="8451" max="8451" width="7.5" style="156" bestFit="1" customWidth="1"/>
    <col min="8452" max="8452" width="6.25" style="156" customWidth="1"/>
    <col min="8453" max="8453" width="11" style="156" bestFit="1" customWidth="1"/>
    <col min="8454" max="8455" width="9.625" style="156" bestFit="1" customWidth="1"/>
    <col min="8456" max="8456" width="8.25" style="156" bestFit="1" customWidth="1"/>
    <col min="8457" max="8458" width="9.625" style="156" bestFit="1" customWidth="1"/>
    <col min="8459" max="8459" width="8.25" style="156" bestFit="1" customWidth="1"/>
    <col min="8460" max="8461" width="9.625" style="156" bestFit="1" customWidth="1"/>
    <col min="8462" max="8463" width="8.25" style="156" bestFit="1" customWidth="1"/>
    <col min="8464" max="8464" width="11" style="156" bestFit="1" customWidth="1"/>
    <col min="8465" max="8465" width="8" style="156" bestFit="1" customWidth="1"/>
    <col min="8466" max="8466" width="7.75" style="156" bestFit="1" customWidth="1"/>
    <col min="8467" max="8468" width="9.625" style="156" bestFit="1" customWidth="1"/>
    <col min="8469" max="8470" width="9.625" style="156" customWidth="1"/>
    <col min="8471" max="8471" width="9.25" style="156" bestFit="1" customWidth="1"/>
    <col min="8472" max="8472" width="11" style="156" bestFit="1" customWidth="1"/>
    <col min="8473" max="8705" width="9" style="156"/>
    <col min="8706" max="8706" width="4.625" style="156" bestFit="1" customWidth="1"/>
    <col min="8707" max="8707" width="7.5" style="156" bestFit="1" customWidth="1"/>
    <col min="8708" max="8708" width="6.25" style="156" customWidth="1"/>
    <col min="8709" max="8709" width="11" style="156" bestFit="1" customWidth="1"/>
    <col min="8710" max="8711" width="9.625" style="156" bestFit="1" customWidth="1"/>
    <col min="8712" max="8712" width="8.25" style="156" bestFit="1" customWidth="1"/>
    <col min="8713" max="8714" width="9.625" style="156" bestFit="1" customWidth="1"/>
    <col min="8715" max="8715" width="8.25" style="156" bestFit="1" customWidth="1"/>
    <col min="8716" max="8717" width="9.625" style="156" bestFit="1" customWidth="1"/>
    <col min="8718" max="8719" width="8.25" style="156" bestFit="1" customWidth="1"/>
    <col min="8720" max="8720" width="11" style="156" bestFit="1" customWidth="1"/>
    <col min="8721" max="8721" width="8" style="156" bestFit="1" customWidth="1"/>
    <col min="8722" max="8722" width="7.75" style="156" bestFit="1" customWidth="1"/>
    <col min="8723" max="8724" width="9.625" style="156" bestFit="1" customWidth="1"/>
    <col min="8725" max="8726" width="9.625" style="156" customWidth="1"/>
    <col min="8727" max="8727" width="9.25" style="156" bestFit="1" customWidth="1"/>
    <col min="8728" max="8728" width="11" style="156" bestFit="1" customWidth="1"/>
    <col min="8729" max="8961" width="9" style="156"/>
    <col min="8962" max="8962" width="4.625" style="156" bestFit="1" customWidth="1"/>
    <col min="8963" max="8963" width="7.5" style="156" bestFit="1" customWidth="1"/>
    <col min="8964" max="8964" width="6.25" style="156" customWidth="1"/>
    <col min="8965" max="8965" width="11" style="156" bestFit="1" customWidth="1"/>
    <col min="8966" max="8967" width="9.625" style="156" bestFit="1" customWidth="1"/>
    <col min="8968" max="8968" width="8.25" style="156" bestFit="1" customWidth="1"/>
    <col min="8969" max="8970" width="9.625" style="156" bestFit="1" customWidth="1"/>
    <col min="8971" max="8971" width="8.25" style="156" bestFit="1" customWidth="1"/>
    <col min="8972" max="8973" width="9.625" style="156" bestFit="1" customWidth="1"/>
    <col min="8974" max="8975" width="8.25" style="156" bestFit="1" customWidth="1"/>
    <col min="8976" max="8976" width="11" style="156" bestFit="1" customWidth="1"/>
    <col min="8977" max="8977" width="8" style="156" bestFit="1" customWidth="1"/>
    <col min="8978" max="8978" width="7.75" style="156" bestFit="1" customWidth="1"/>
    <col min="8979" max="8980" width="9.625" style="156" bestFit="1" customWidth="1"/>
    <col min="8981" max="8982" width="9.625" style="156" customWidth="1"/>
    <col min="8983" max="8983" width="9.25" style="156" bestFit="1" customWidth="1"/>
    <col min="8984" max="8984" width="11" style="156" bestFit="1" customWidth="1"/>
    <col min="8985" max="9217" width="9" style="156"/>
    <col min="9218" max="9218" width="4.625" style="156" bestFit="1" customWidth="1"/>
    <col min="9219" max="9219" width="7.5" style="156" bestFit="1" customWidth="1"/>
    <col min="9220" max="9220" width="6.25" style="156" customWidth="1"/>
    <col min="9221" max="9221" width="11" style="156" bestFit="1" customWidth="1"/>
    <col min="9222" max="9223" width="9.625" style="156" bestFit="1" customWidth="1"/>
    <col min="9224" max="9224" width="8.25" style="156" bestFit="1" customWidth="1"/>
    <col min="9225" max="9226" width="9.625" style="156" bestFit="1" customWidth="1"/>
    <col min="9227" max="9227" width="8.25" style="156" bestFit="1" customWidth="1"/>
    <col min="9228" max="9229" width="9.625" style="156" bestFit="1" customWidth="1"/>
    <col min="9230" max="9231" width="8.25" style="156" bestFit="1" customWidth="1"/>
    <col min="9232" max="9232" width="11" style="156" bestFit="1" customWidth="1"/>
    <col min="9233" max="9233" width="8" style="156" bestFit="1" customWidth="1"/>
    <col min="9234" max="9234" width="7.75" style="156" bestFit="1" customWidth="1"/>
    <col min="9235" max="9236" width="9.625" style="156" bestFit="1" customWidth="1"/>
    <col min="9237" max="9238" width="9.625" style="156" customWidth="1"/>
    <col min="9239" max="9239" width="9.25" style="156" bestFit="1" customWidth="1"/>
    <col min="9240" max="9240" width="11" style="156" bestFit="1" customWidth="1"/>
    <col min="9241" max="9473" width="9" style="156"/>
    <col min="9474" max="9474" width="4.625" style="156" bestFit="1" customWidth="1"/>
    <col min="9475" max="9475" width="7.5" style="156" bestFit="1" customWidth="1"/>
    <col min="9476" max="9476" width="6.25" style="156" customWidth="1"/>
    <col min="9477" max="9477" width="11" style="156" bestFit="1" customWidth="1"/>
    <col min="9478" max="9479" width="9.625" style="156" bestFit="1" customWidth="1"/>
    <col min="9480" max="9480" width="8.25" style="156" bestFit="1" customWidth="1"/>
    <col min="9481" max="9482" width="9.625" style="156" bestFit="1" customWidth="1"/>
    <col min="9483" max="9483" width="8.25" style="156" bestFit="1" customWidth="1"/>
    <col min="9484" max="9485" width="9.625" style="156" bestFit="1" customWidth="1"/>
    <col min="9486" max="9487" width="8.25" style="156" bestFit="1" customWidth="1"/>
    <col min="9488" max="9488" width="11" style="156" bestFit="1" customWidth="1"/>
    <col min="9489" max="9489" width="8" style="156" bestFit="1" customWidth="1"/>
    <col min="9490" max="9490" width="7.75" style="156" bestFit="1" customWidth="1"/>
    <col min="9491" max="9492" width="9.625" style="156" bestFit="1" customWidth="1"/>
    <col min="9493" max="9494" width="9.625" style="156" customWidth="1"/>
    <col min="9495" max="9495" width="9.25" style="156" bestFit="1" customWidth="1"/>
    <col min="9496" max="9496" width="11" style="156" bestFit="1" customWidth="1"/>
    <col min="9497" max="9729" width="9" style="156"/>
    <col min="9730" max="9730" width="4.625" style="156" bestFit="1" customWidth="1"/>
    <col min="9731" max="9731" width="7.5" style="156" bestFit="1" customWidth="1"/>
    <col min="9732" max="9732" width="6.25" style="156" customWidth="1"/>
    <col min="9733" max="9733" width="11" style="156" bestFit="1" customWidth="1"/>
    <col min="9734" max="9735" width="9.625" style="156" bestFit="1" customWidth="1"/>
    <col min="9736" max="9736" width="8.25" style="156" bestFit="1" customWidth="1"/>
    <col min="9737" max="9738" width="9.625" style="156" bestFit="1" customWidth="1"/>
    <col min="9739" max="9739" width="8.25" style="156" bestFit="1" customWidth="1"/>
    <col min="9740" max="9741" width="9.625" style="156" bestFit="1" customWidth="1"/>
    <col min="9742" max="9743" width="8.25" style="156" bestFit="1" customWidth="1"/>
    <col min="9744" max="9744" width="11" style="156" bestFit="1" customWidth="1"/>
    <col min="9745" max="9745" width="8" style="156" bestFit="1" customWidth="1"/>
    <col min="9746" max="9746" width="7.75" style="156" bestFit="1" customWidth="1"/>
    <col min="9747" max="9748" width="9.625" style="156" bestFit="1" customWidth="1"/>
    <col min="9749" max="9750" width="9.625" style="156" customWidth="1"/>
    <col min="9751" max="9751" width="9.25" style="156" bestFit="1" customWidth="1"/>
    <col min="9752" max="9752" width="11" style="156" bestFit="1" customWidth="1"/>
    <col min="9753" max="9985" width="9" style="156"/>
    <col min="9986" max="9986" width="4.625" style="156" bestFit="1" customWidth="1"/>
    <col min="9987" max="9987" width="7.5" style="156" bestFit="1" customWidth="1"/>
    <col min="9988" max="9988" width="6.25" style="156" customWidth="1"/>
    <col min="9989" max="9989" width="11" style="156" bestFit="1" customWidth="1"/>
    <col min="9990" max="9991" width="9.625" style="156" bestFit="1" customWidth="1"/>
    <col min="9992" max="9992" width="8.25" style="156" bestFit="1" customWidth="1"/>
    <col min="9993" max="9994" width="9.625" style="156" bestFit="1" customWidth="1"/>
    <col min="9995" max="9995" width="8.25" style="156" bestFit="1" customWidth="1"/>
    <col min="9996" max="9997" width="9.625" style="156" bestFit="1" customWidth="1"/>
    <col min="9998" max="9999" width="8.25" style="156" bestFit="1" customWidth="1"/>
    <col min="10000" max="10000" width="11" style="156" bestFit="1" customWidth="1"/>
    <col min="10001" max="10001" width="8" style="156" bestFit="1" customWidth="1"/>
    <col min="10002" max="10002" width="7.75" style="156" bestFit="1" customWidth="1"/>
    <col min="10003" max="10004" width="9.625" style="156" bestFit="1" customWidth="1"/>
    <col min="10005" max="10006" width="9.625" style="156" customWidth="1"/>
    <col min="10007" max="10007" width="9.25" style="156" bestFit="1" customWidth="1"/>
    <col min="10008" max="10008" width="11" style="156" bestFit="1" customWidth="1"/>
    <col min="10009" max="10241" width="9" style="156"/>
    <col min="10242" max="10242" width="4.625" style="156" bestFit="1" customWidth="1"/>
    <col min="10243" max="10243" width="7.5" style="156" bestFit="1" customWidth="1"/>
    <col min="10244" max="10244" width="6.25" style="156" customWidth="1"/>
    <col min="10245" max="10245" width="11" style="156" bestFit="1" customWidth="1"/>
    <col min="10246" max="10247" width="9.625" style="156" bestFit="1" customWidth="1"/>
    <col min="10248" max="10248" width="8.25" style="156" bestFit="1" customWidth="1"/>
    <col min="10249" max="10250" width="9.625" style="156" bestFit="1" customWidth="1"/>
    <col min="10251" max="10251" width="8.25" style="156" bestFit="1" customWidth="1"/>
    <col min="10252" max="10253" width="9.625" style="156" bestFit="1" customWidth="1"/>
    <col min="10254" max="10255" width="8.25" style="156" bestFit="1" customWidth="1"/>
    <col min="10256" max="10256" width="11" style="156" bestFit="1" customWidth="1"/>
    <col min="10257" max="10257" width="8" style="156" bestFit="1" customWidth="1"/>
    <col min="10258" max="10258" width="7.75" style="156" bestFit="1" customWidth="1"/>
    <col min="10259" max="10260" width="9.625" style="156" bestFit="1" customWidth="1"/>
    <col min="10261" max="10262" width="9.625" style="156" customWidth="1"/>
    <col min="10263" max="10263" width="9.25" style="156" bestFit="1" customWidth="1"/>
    <col min="10264" max="10264" width="11" style="156" bestFit="1" customWidth="1"/>
    <col min="10265" max="10497" width="9" style="156"/>
    <col min="10498" max="10498" width="4.625" style="156" bestFit="1" customWidth="1"/>
    <col min="10499" max="10499" width="7.5" style="156" bestFit="1" customWidth="1"/>
    <col min="10500" max="10500" width="6.25" style="156" customWidth="1"/>
    <col min="10501" max="10501" width="11" style="156" bestFit="1" customWidth="1"/>
    <col min="10502" max="10503" width="9.625" style="156" bestFit="1" customWidth="1"/>
    <col min="10504" max="10504" width="8.25" style="156" bestFit="1" customWidth="1"/>
    <col min="10505" max="10506" width="9.625" style="156" bestFit="1" customWidth="1"/>
    <col min="10507" max="10507" width="8.25" style="156" bestFit="1" customWidth="1"/>
    <col min="10508" max="10509" width="9.625" style="156" bestFit="1" customWidth="1"/>
    <col min="10510" max="10511" width="8.25" style="156" bestFit="1" customWidth="1"/>
    <col min="10512" max="10512" width="11" style="156" bestFit="1" customWidth="1"/>
    <col min="10513" max="10513" width="8" style="156" bestFit="1" customWidth="1"/>
    <col min="10514" max="10514" width="7.75" style="156" bestFit="1" customWidth="1"/>
    <col min="10515" max="10516" width="9.625" style="156" bestFit="1" customWidth="1"/>
    <col min="10517" max="10518" width="9.625" style="156" customWidth="1"/>
    <col min="10519" max="10519" width="9.25" style="156" bestFit="1" customWidth="1"/>
    <col min="10520" max="10520" width="11" style="156" bestFit="1" customWidth="1"/>
    <col min="10521" max="10753" width="9" style="156"/>
    <col min="10754" max="10754" width="4.625" style="156" bestFit="1" customWidth="1"/>
    <col min="10755" max="10755" width="7.5" style="156" bestFit="1" customWidth="1"/>
    <col min="10756" max="10756" width="6.25" style="156" customWidth="1"/>
    <col min="10757" max="10757" width="11" style="156" bestFit="1" customWidth="1"/>
    <col min="10758" max="10759" width="9.625" style="156" bestFit="1" customWidth="1"/>
    <col min="10760" max="10760" width="8.25" style="156" bestFit="1" customWidth="1"/>
    <col min="10761" max="10762" width="9.625" style="156" bestFit="1" customWidth="1"/>
    <col min="10763" max="10763" width="8.25" style="156" bestFit="1" customWidth="1"/>
    <col min="10764" max="10765" width="9.625" style="156" bestFit="1" customWidth="1"/>
    <col min="10766" max="10767" width="8.25" style="156" bestFit="1" customWidth="1"/>
    <col min="10768" max="10768" width="11" style="156" bestFit="1" customWidth="1"/>
    <col min="10769" max="10769" width="8" style="156" bestFit="1" customWidth="1"/>
    <col min="10770" max="10770" width="7.75" style="156" bestFit="1" customWidth="1"/>
    <col min="10771" max="10772" width="9.625" style="156" bestFit="1" customWidth="1"/>
    <col min="10773" max="10774" width="9.625" style="156" customWidth="1"/>
    <col min="10775" max="10775" width="9.25" style="156" bestFit="1" customWidth="1"/>
    <col min="10776" max="10776" width="11" style="156" bestFit="1" customWidth="1"/>
    <col min="10777" max="11009" width="9" style="156"/>
    <col min="11010" max="11010" width="4.625" style="156" bestFit="1" customWidth="1"/>
    <col min="11011" max="11011" width="7.5" style="156" bestFit="1" customWidth="1"/>
    <col min="11012" max="11012" width="6.25" style="156" customWidth="1"/>
    <col min="11013" max="11013" width="11" style="156" bestFit="1" customWidth="1"/>
    <col min="11014" max="11015" width="9.625" style="156" bestFit="1" customWidth="1"/>
    <col min="11016" max="11016" width="8.25" style="156" bestFit="1" customWidth="1"/>
    <col min="11017" max="11018" width="9.625" style="156" bestFit="1" customWidth="1"/>
    <col min="11019" max="11019" width="8.25" style="156" bestFit="1" customWidth="1"/>
    <col min="11020" max="11021" width="9.625" style="156" bestFit="1" customWidth="1"/>
    <col min="11022" max="11023" width="8.25" style="156" bestFit="1" customWidth="1"/>
    <col min="11024" max="11024" width="11" style="156" bestFit="1" customWidth="1"/>
    <col min="11025" max="11025" width="8" style="156" bestFit="1" customWidth="1"/>
    <col min="11026" max="11026" width="7.75" style="156" bestFit="1" customWidth="1"/>
    <col min="11027" max="11028" width="9.625" style="156" bestFit="1" customWidth="1"/>
    <col min="11029" max="11030" width="9.625" style="156" customWidth="1"/>
    <col min="11031" max="11031" width="9.25" style="156" bestFit="1" customWidth="1"/>
    <col min="11032" max="11032" width="11" style="156" bestFit="1" customWidth="1"/>
    <col min="11033" max="11265" width="9" style="156"/>
    <col min="11266" max="11266" width="4.625" style="156" bestFit="1" customWidth="1"/>
    <col min="11267" max="11267" width="7.5" style="156" bestFit="1" customWidth="1"/>
    <col min="11268" max="11268" width="6.25" style="156" customWidth="1"/>
    <col min="11269" max="11269" width="11" style="156" bestFit="1" customWidth="1"/>
    <col min="11270" max="11271" width="9.625" style="156" bestFit="1" customWidth="1"/>
    <col min="11272" max="11272" width="8.25" style="156" bestFit="1" customWidth="1"/>
    <col min="11273" max="11274" width="9.625" style="156" bestFit="1" customWidth="1"/>
    <col min="11275" max="11275" width="8.25" style="156" bestFit="1" customWidth="1"/>
    <col min="11276" max="11277" width="9.625" style="156" bestFit="1" customWidth="1"/>
    <col min="11278" max="11279" width="8.25" style="156" bestFit="1" customWidth="1"/>
    <col min="11280" max="11280" width="11" style="156" bestFit="1" customWidth="1"/>
    <col min="11281" max="11281" width="8" style="156" bestFit="1" customWidth="1"/>
    <col min="11282" max="11282" width="7.75" style="156" bestFit="1" customWidth="1"/>
    <col min="11283" max="11284" width="9.625" style="156" bestFit="1" customWidth="1"/>
    <col min="11285" max="11286" width="9.625" style="156" customWidth="1"/>
    <col min="11287" max="11287" width="9.25" style="156" bestFit="1" customWidth="1"/>
    <col min="11288" max="11288" width="11" style="156" bestFit="1" customWidth="1"/>
    <col min="11289" max="11521" width="9" style="156"/>
    <col min="11522" max="11522" width="4.625" style="156" bestFit="1" customWidth="1"/>
    <col min="11523" max="11523" width="7.5" style="156" bestFit="1" customWidth="1"/>
    <col min="11524" max="11524" width="6.25" style="156" customWidth="1"/>
    <col min="11525" max="11525" width="11" style="156" bestFit="1" customWidth="1"/>
    <col min="11526" max="11527" width="9.625" style="156" bestFit="1" customWidth="1"/>
    <col min="11528" max="11528" width="8.25" style="156" bestFit="1" customWidth="1"/>
    <col min="11529" max="11530" width="9.625" style="156" bestFit="1" customWidth="1"/>
    <col min="11531" max="11531" width="8.25" style="156" bestFit="1" customWidth="1"/>
    <col min="11532" max="11533" width="9.625" style="156" bestFit="1" customWidth="1"/>
    <col min="11534" max="11535" width="8.25" style="156" bestFit="1" customWidth="1"/>
    <col min="11536" max="11536" width="11" style="156" bestFit="1" customWidth="1"/>
    <col min="11537" max="11537" width="8" style="156" bestFit="1" customWidth="1"/>
    <col min="11538" max="11538" width="7.75" style="156" bestFit="1" customWidth="1"/>
    <col min="11539" max="11540" width="9.625" style="156" bestFit="1" customWidth="1"/>
    <col min="11541" max="11542" width="9.625" style="156" customWidth="1"/>
    <col min="11543" max="11543" width="9.25" style="156" bestFit="1" customWidth="1"/>
    <col min="11544" max="11544" width="11" style="156" bestFit="1" customWidth="1"/>
    <col min="11545" max="11777" width="9" style="156"/>
    <col min="11778" max="11778" width="4.625" style="156" bestFit="1" customWidth="1"/>
    <col min="11779" max="11779" width="7.5" style="156" bestFit="1" customWidth="1"/>
    <col min="11780" max="11780" width="6.25" style="156" customWidth="1"/>
    <col min="11781" max="11781" width="11" style="156" bestFit="1" customWidth="1"/>
    <col min="11782" max="11783" width="9.625" style="156" bestFit="1" customWidth="1"/>
    <col min="11784" max="11784" width="8.25" style="156" bestFit="1" customWidth="1"/>
    <col min="11785" max="11786" width="9.625" style="156" bestFit="1" customWidth="1"/>
    <col min="11787" max="11787" width="8.25" style="156" bestFit="1" customWidth="1"/>
    <col min="11788" max="11789" width="9.625" style="156" bestFit="1" customWidth="1"/>
    <col min="11790" max="11791" width="8.25" style="156" bestFit="1" customWidth="1"/>
    <col min="11792" max="11792" width="11" style="156" bestFit="1" customWidth="1"/>
    <col min="11793" max="11793" width="8" style="156" bestFit="1" customWidth="1"/>
    <col min="11794" max="11794" width="7.75" style="156" bestFit="1" customWidth="1"/>
    <col min="11795" max="11796" width="9.625" style="156" bestFit="1" customWidth="1"/>
    <col min="11797" max="11798" width="9.625" style="156" customWidth="1"/>
    <col min="11799" max="11799" width="9.25" style="156" bestFit="1" customWidth="1"/>
    <col min="11800" max="11800" width="11" style="156" bestFit="1" customWidth="1"/>
    <col min="11801" max="12033" width="9" style="156"/>
    <col min="12034" max="12034" width="4.625" style="156" bestFit="1" customWidth="1"/>
    <col min="12035" max="12035" width="7.5" style="156" bestFit="1" customWidth="1"/>
    <col min="12036" max="12036" width="6.25" style="156" customWidth="1"/>
    <col min="12037" max="12037" width="11" style="156" bestFit="1" customWidth="1"/>
    <col min="12038" max="12039" width="9.625" style="156" bestFit="1" customWidth="1"/>
    <col min="12040" max="12040" width="8.25" style="156" bestFit="1" customWidth="1"/>
    <col min="12041" max="12042" width="9.625" style="156" bestFit="1" customWidth="1"/>
    <col min="12043" max="12043" width="8.25" style="156" bestFit="1" customWidth="1"/>
    <col min="12044" max="12045" width="9.625" style="156" bestFit="1" customWidth="1"/>
    <col min="12046" max="12047" width="8.25" style="156" bestFit="1" customWidth="1"/>
    <col min="12048" max="12048" width="11" style="156" bestFit="1" customWidth="1"/>
    <col min="12049" max="12049" width="8" style="156" bestFit="1" customWidth="1"/>
    <col min="12050" max="12050" width="7.75" style="156" bestFit="1" customWidth="1"/>
    <col min="12051" max="12052" width="9.625" style="156" bestFit="1" customWidth="1"/>
    <col min="12053" max="12054" width="9.625" style="156" customWidth="1"/>
    <col min="12055" max="12055" width="9.25" style="156" bestFit="1" customWidth="1"/>
    <col min="12056" max="12056" width="11" style="156" bestFit="1" customWidth="1"/>
    <col min="12057" max="12289" width="9" style="156"/>
    <col min="12290" max="12290" width="4.625" style="156" bestFit="1" customWidth="1"/>
    <col min="12291" max="12291" width="7.5" style="156" bestFit="1" customWidth="1"/>
    <col min="12292" max="12292" width="6.25" style="156" customWidth="1"/>
    <col min="12293" max="12293" width="11" style="156" bestFit="1" customWidth="1"/>
    <col min="12294" max="12295" width="9.625" style="156" bestFit="1" customWidth="1"/>
    <col min="12296" max="12296" width="8.25" style="156" bestFit="1" customWidth="1"/>
    <col min="12297" max="12298" width="9.625" style="156" bestFit="1" customWidth="1"/>
    <col min="12299" max="12299" width="8.25" style="156" bestFit="1" customWidth="1"/>
    <col min="12300" max="12301" width="9.625" style="156" bestFit="1" customWidth="1"/>
    <col min="12302" max="12303" width="8.25" style="156" bestFit="1" customWidth="1"/>
    <col min="12304" max="12304" width="11" style="156" bestFit="1" customWidth="1"/>
    <col min="12305" max="12305" width="8" style="156" bestFit="1" customWidth="1"/>
    <col min="12306" max="12306" width="7.75" style="156" bestFit="1" customWidth="1"/>
    <col min="12307" max="12308" width="9.625" style="156" bestFit="1" customWidth="1"/>
    <col min="12309" max="12310" width="9.625" style="156" customWidth="1"/>
    <col min="12311" max="12311" width="9.25" style="156" bestFit="1" customWidth="1"/>
    <col min="12312" max="12312" width="11" style="156" bestFit="1" customWidth="1"/>
    <col min="12313" max="12545" width="9" style="156"/>
    <col min="12546" max="12546" width="4.625" style="156" bestFit="1" customWidth="1"/>
    <col min="12547" max="12547" width="7.5" style="156" bestFit="1" customWidth="1"/>
    <col min="12548" max="12548" width="6.25" style="156" customWidth="1"/>
    <col min="12549" max="12549" width="11" style="156" bestFit="1" customWidth="1"/>
    <col min="12550" max="12551" width="9.625" style="156" bestFit="1" customWidth="1"/>
    <col min="12552" max="12552" width="8.25" style="156" bestFit="1" customWidth="1"/>
    <col min="12553" max="12554" width="9.625" style="156" bestFit="1" customWidth="1"/>
    <col min="12555" max="12555" width="8.25" style="156" bestFit="1" customWidth="1"/>
    <col min="12556" max="12557" width="9.625" style="156" bestFit="1" customWidth="1"/>
    <col min="12558" max="12559" width="8.25" style="156" bestFit="1" customWidth="1"/>
    <col min="12560" max="12560" width="11" style="156" bestFit="1" customWidth="1"/>
    <col min="12561" max="12561" width="8" style="156" bestFit="1" customWidth="1"/>
    <col min="12562" max="12562" width="7.75" style="156" bestFit="1" customWidth="1"/>
    <col min="12563" max="12564" width="9.625" style="156" bestFit="1" customWidth="1"/>
    <col min="12565" max="12566" width="9.625" style="156" customWidth="1"/>
    <col min="12567" max="12567" width="9.25" style="156" bestFit="1" customWidth="1"/>
    <col min="12568" max="12568" width="11" style="156" bestFit="1" customWidth="1"/>
    <col min="12569" max="12801" width="9" style="156"/>
    <col min="12802" max="12802" width="4.625" style="156" bestFit="1" customWidth="1"/>
    <col min="12803" max="12803" width="7.5" style="156" bestFit="1" customWidth="1"/>
    <col min="12804" max="12804" width="6.25" style="156" customWidth="1"/>
    <col min="12805" max="12805" width="11" style="156" bestFit="1" customWidth="1"/>
    <col min="12806" max="12807" width="9.625" style="156" bestFit="1" customWidth="1"/>
    <col min="12808" max="12808" width="8.25" style="156" bestFit="1" customWidth="1"/>
    <col min="12809" max="12810" width="9.625" style="156" bestFit="1" customWidth="1"/>
    <col min="12811" max="12811" width="8.25" style="156" bestFit="1" customWidth="1"/>
    <col min="12812" max="12813" width="9.625" style="156" bestFit="1" customWidth="1"/>
    <col min="12814" max="12815" width="8.25" style="156" bestFit="1" customWidth="1"/>
    <col min="12816" max="12816" width="11" style="156" bestFit="1" customWidth="1"/>
    <col min="12817" max="12817" width="8" style="156" bestFit="1" customWidth="1"/>
    <col min="12818" max="12818" width="7.75" style="156" bestFit="1" customWidth="1"/>
    <col min="12819" max="12820" width="9.625" style="156" bestFit="1" customWidth="1"/>
    <col min="12821" max="12822" width="9.625" style="156" customWidth="1"/>
    <col min="12823" max="12823" width="9.25" style="156" bestFit="1" customWidth="1"/>
    <col min="12824" max="12824" width="11" style="156" bestFit="1" customWidth="1"/>
    <col min="12825" max="13057" width="9" style="156"/>
    <col min="13058" max="13058" width="4.625" style="156" bestFit="1" customWidth="1"/>
    <col min="13059" max="13059" width="7.5" style="156" bestFit="1" customWidth="1"/>
    <col min="13060" max="13060" width="6.25" style="156" customWidth="1"/>
    <col min="13061" max="13061" width="11" style="156" bestFit="1" customWidth="1"/>
    <col min="13062" max="13063" width="9.625" style="156" bestFit="1" customWidth="1"/>
    <col min="13064" max="13064" width="8.25" style="156" bestFit="1" customWidth="1"/>
    <col min="13065" max="13066" width="9.625" style="156" bestFit="1" customWidth="1"/>
    <col min="13067" max="13067" width="8.25" style="156" bestFit="1" customWidth="1"/>
    <col min="13068" max="13069" width="9.625" style="156" bestFit="1" customWidth="1"/>
    <col min="13070" max="13071" width="8.25" style="156" bestFit="1" customWidth="1"/>
    <col min="13072" max="13072" width="11" style="156" bestFit="1" customWidth="1"/>
    <col min="13073" max="13073" width="8" style="156" bestFit="1" customWidth="1"/>
    <col min="13074" max="13074" width="7.75" style="156" bestFit="1" customWidth="1"/>
    <col min="13075" max="13076" width="9.625" style="156" bestFit="1" customWidth="1"/>
    <col min="13077" max="13078" width="9.625" style="156" customWidth="1"/>
    <col min="13079" max="13079" width="9.25" style="156" bestFit="1" customWidth="1"/>
    <col min="13080" max="13080" width="11" style="156" bestFit="1" customWidth="1"/>
    <col min="13081" max="13313" width="9" style="156"/>
    <col min="13314" max="13314" width="4.625" style="156" bestFit="1" customWidth="1"/>
    <col min="13315" max="13315" width="7.5" style="156" bestFit="1" customWidth="1"/>
    <col min="13316" max="13316" width="6.25" style="156" customWidth="1"/>
    <col min="13317" max="13317" width="11" style="156" bestFit="1" customWidth="1"/>
    <col min="13318" max="13319" width="9.625" style="156" bestFit="1" customWidth="1"/>
    <col min="13320" max="13320" width="8.25" style="156" bestFit="1" customWidth="1"/>
    <col min="13321" max="13322" width="9.625" style="156" bestFit="1" customWidth="1"/>
    <col min="13323" max="13323" width="8.25" style="156" bestFit="1" customWidth="1"/>
    <col min="13324" max="13325" width="9.625" style="156" bestFit="1" customWidth="1"/>
    <col min="13326" max="13327" width="8.25" style="156" bestFit="1" customWidth="1"/>
    <col min="13328" max="13328" width="11" style="156" bestFit="1" customWidth="1"/>
    <col min="13329" max="13329" width="8" style="156" bestFit="1" customWidth="1"/>
    <col min="13330" max="13330" width="7.75" style="156" bestFit="1" customWidth="1"/>
    <col min="13331" max="13332" width="9.625" style="156" bestFit="1" customWidth="1"/>
    <col min="13333" max="13334" width="9.625" style="156" customWidth="1"/>
    <col min="13335" max="13335" width="9.25" style="156" bestFit="1" customWidth="1"/>
    <col min="13336" max="13336" width="11" style="156" bestFit="1" customWidth="1"/>
    <col min="13337" max="13569" width="9" style="156"/>
    <col min="13570" max="13570" width="4.625" style="156" bestFit="1" customWidth="1"/>
    <col min="13571" max="13571" width="7.5" style="156" bestFit="1" customWidth="1"/>
    <col min="13572" max="13572" width="6.25" style="156" customWidth="1"/>
    <col min="13573" max="13573" width="11" style="156" bestFit="1" customWidth="1"/>
    <col min="13574" max="13575" width="9.625" style="156" bestFit="1" customWidth="1"/>
    <col min="13576" max="13576" width="8.25" style="156" bestFit="1" customWidth="1"/>
    <col min="13577" max="13578" width="9.625" style="156" bestFit="1" customWidth="1"/>
    <col min="13579" max="13579" width="8.25" style="156" bestFit="1" customWidth="1"/>
    <col min="13580" max="13581" width="9.625" style="156" bestFit="1" customWidth="1"/>
    <col min="13582" max="13583" width="8.25" style="156" bestFit="1" customWidth="1"/>
    <col min="13584" max="13584" width="11" style="156" bestFit="1" customWidth="1"/>
    <col min="13585" max="13585" width="8" style="156" bestFit="1" customWidth="1"/>
    <col min="13586" max="13586" width="7.75" style="156" bestFit="1" customWidth="1"/>
    <col min="13587" max="13588" width="9.625" style="156" bestFit="1" customWidth="1"/>
    <col min="13589" max="13590" width="9.625" style="156" customWidth="1"/>
    <col min="13591" max="13591" width="9.25" style="156" bestFit="1" customWidth="1"/>
    <col min="13592" max="13592" width="11" style="156" bestFit="1" customWidth="1"/>
    <col min="13593" max="13825" width="9" style="156"/>
    <col min="13826" max="13826" width="4.625" style="156" bestFit="1" customWidth="1"/>
    <col min="13827" max="13827" width="7.5" style="156" bestFit="1" customWidth="1"/>
    <col min="13828" max="13828" width="6.25" style="156" customWidth="1"/>
    <col min="13829" max="13829" width="11" style="156" bestFit="1" customWidth="1"/>
    <col min="13830" max="13831" width="9.625" style="156" bestFit="1" customWidth="1"/>
    <col min="13832" max="13832" width="8.25" style="156" bestFit="1" customWidth="1"/>
    <col min="13833" max="13834" width="9.625" style="156" bestFit="1" customWidth="1"/>
    <col min="13835" max="13835" width="8.25" style="156" bestFit="1" customWidth="1"/>
    <col min="13836" max="13837" width="9.625" style="156" bestFit="1" customWidth="1"/>
    <col min="13838" max="13839" width="8.25" style="156" bestFit="1" customWidth="1"/>
    <col min="13840" max="13840" width="11" style="156" bestFit="1" customWidth="1"/>
    <col min="13841" max="13841" width="8" style="156" bestFit="1" customWidth="1"/>
    <col min="13842" max="13842" width="7.75" style="156" bestFit="1" customWidth="1"/>
    <col min="13843" max="13844" width="9.625" style="156" bestFit="1" customWidth="1"/>
    <col min="13845" max="13846" width="9.625" style="156" customWidth="1"/>
    <col min="13847" max="13847" width="9.25" style="156" bestFit="1" customWidth="1"/>
    <col min="13848" max="13848" width="11" style="156" bestFit="1" customWidth="1"/>
    <col min="13849" max="14081" width="9" style="156"/>
    <col min="14082" max="14082" width="4.625" style="156" bestFit="1" customWidth="1"/>
    <col min="14083" max="14083" width="7.5" style="156" bestFit="1" customWidth="1"/>
    <col min="14084" max="14084" width="6.25" style="156" customWidth="1"/>
    <col min="14085" max="14085" width="11" style="156" bestFit="1" customWidth="1"/>
    <col min="14086" max="14087" width="9.625" style="156" bestFit="1" customWidth="1"/>
    <col min="14088" max="14088" width="8.25" style="156" bestFit="1" customWidth="1"/>
    <col min="14089" max="14090" width="9.625" style="156" bestFit="1" customWidth="1"/>
    <col min="14091" max="14091" width="8.25" style="156" bestFit="1" customWidth="1"/>
    <col min="14092" max="14093" width="9.625" style="156" bestFit="1" customWidth="1"/>
    <col min="14094" max="14095" width="8.25" style="156" bestFit="1" customWidth="1"/>
    <col min="14096" max="14096" width="11" style="156" bestFit="1" customWidth="1"/>
    <col min="14097" max="14097" width="8" style="156" bestFit="1" customWidth="1"/>
    <col min="14098" max="14098" width="7.75" style="156" bestFit="1" customWidth="1"/>
    <col min="14099" max="14100" width="9.625" style="156" bestFit="1" customWidth="1"/>
    <col min="14101" max="14102" width="9.625" style="156" customWidth="1"/>
    <col min="14103" max="14103" width="9.25" style="156" bestFit="1" customWidth="1"/>
    <col min="14104" max="14104" width="11" style="156" bestFit="1" customWidth="1"/>
    <col min="14105" max="14337" width="9" style="156"/>
    <col min="14338" max="14338" width="4.625" style="156" bestFit="1" customWidth="1"/>
    <col min="14339" max="14339" width="7.5" style="156" bestFit="1" customWidth="1"/>
    <col min="14340" max="14340" width="6.25" style="156" customWidth="1"/>
    <col min="14341" max="14341" width="11" style="156" bestFit="1" customWidth="1"/>
    <col min="14342" max="14343" width="9.625" style="156" bestFit="1" customWidth="1"/>
    <col min="14344" max="14344" width="8.25" style="156" bestFit="1" customWidth="1"/>
    <col min="14345" max="14346" width="9.625" style="156" bestFit="1" customWidth="1"/>
    <col min="14347" max="14347" width="8.25" style="156" bestFit="1" customWidth="1"/>
    <col min="14348" max="14349" width="9.625" style="156" bestFit="1" customWidth="1"/>
    <col min="14350" max="14351" width="8.25" style="156" bestFit="1" customWidth="1"/>
    <col min="14352" max="14352" width="11" style="156" bestFit="1" customWidth="1"/>
    <col min="14353" max="14353" width="8" style="156" bestFit="1" customWidth="1"/>
    <col min="14354" max="14354" width="7.75" style="156" bestFit="1" customWidth="1"/>
    <col min="14355" max="14356" width="9.625" style="156" bestFit="1" customWidth="1"/>
    <col min="14357" max="14358" width="9.625" style="156" customWidth="1"/>
    <col min="14359" max="14359" width="9.25" style="156" bestFit="1" customWidth="1"/>
    <col min="14360" max="14360" width="11" style="156" bestFit="1" customWidth="1"/>
    <col min="14361" max="14593" width="9" style="156"/>
    <col min="14594" max="14594" width="4.625" style="156" bestFit="1" customWidth="1"/>
    <col min="14595" max="14595" width="7.5" style="156" bestFit="1" customWidth="1"/>
    <col min="14596" max="14596" width="6.25" style="156" customWidth="1"/>
    <col min="14597" max="14597" width="11" style="156" bestFit="1" customWidth="1"/>
    <col min="14598" max="14599" width="9.625" style="156" bestFit="1" customWidth="1"/>
    <col min="14600" max="14600" width="8.25" style="156" bestFit="1" customWidth="1"/>
    <col min="14601" max="14602" width="9.625" style="156" bestFit="1" customWidth="1"/>
    <col min="14603" max="14603" width="8.25" style="156" bestFit="1" customWidth="1"/>
    <col min="14604" max="14605" width="9.625" style="156" bestFit="1" customWidth="1"/>
    <col min="14606" max="14607" width="8.25" style="156" bestFit="1" customWidth="1"/>
    <col min="14608" max="14608" width="11" style="156" bestFit="1" customWidth="1"/>
    <col min="14609" max="14609" width="8" style="156" bestFit="1" customWidth="1"/>
    <col min="14610" max="14610" width="7.75" style="156" bestFit="1" customWidth="1"/>
    <col min="14611" max="14612" width="9.625" style="156" bestFit="1" customWidth="1"/>
    <col min="14613" max="14614" width="9.625" style="156" customWidth="1"/>
    <col min="14615" max="14615" width="9.25" style="156" bestFit="1" customWidth="1"/>
    <col min="14616" max="14616" width="11" style="156" bestFit="1" customWidth="1"/>
    <col min="14617" max="14849" width="9" style="156"/>
    <col min="14850" max="14850" width="4.625" style="156" bestFit="1" customWidth="1"/>
    <col min="14851" max="14851" width="7.5" style="156" bestFit="1" customWidth="1"/>
    <col min="14852" max="14852" width="6.25" style="156" customWidth="1"/>
    <col min="14853" max="14853" width="11" style="156" bestFit="1" customWidth="1"/>
    <col min="14854" max="14855" width="9.625" style="156" bestFit="1" customWidth="1"/>
    <col min="14856" max="14856" width="8.25" style="156" bestFit="1" customWidth="1"/>
    <col min="14857" max="14858" width="9.625" style="156" bestFit="1" customWidth="1"/>
    <col min="14859" max="14859" width="8.25" style="156" bestFit="1" customWidth="1"/>
    <col min="14860" max="14861" width="9.625" style="156" bestFit="1" customWidth="1"/>
    <col min="14862" max="14863" width="8.25" style="156" bestFit="1" customWidth="1"/>
    <col min="14864" max="14864" width="11" style="156" bestFit="1" customWidth="1"/>
    <col min="14865" max="14865" width="8" style="156" bestFit="1" customWidth="1"/>
    <col min="14866" max="14866" width="7.75" style="156" bestFit="1" customWidth="1"/>
    <col min="14867" max="14868" width="9.625" style="156" bestFit="1" customWidth="1"/>
    <col min="14869" max="14870" width="9.625" style="156" customWidth="1"/>
    <col min="14871" max="14871" width="9.25" style="156" bestFit="1" customWidth="1"/>
    <col min="14872" max="14872" width="11" style="156" bestFit="1" customWidth="1"/>
    <col min="14873" max="15105" width="9" style="156"/>
    <col min="15106" max="15106" width="4.625" style="156" bestFit="1" customWidth="1"/>
    <col min="15107" max="15107" width="7.5" style="156" bestFit="1" customWidth="1"/>
    <col min="15108" max="15108" width="6.25" style="156" customWidth="1"/>
    <col min="15109" max="15109" width="11" style="156" bestFit="1" customWidth="1"/>
    <col min="15110" max="15111" width="9.625" style="156" bestFit="1" customWidth="1"/>
    <col min="15112" max="15112" width="8.25" style="156" bestFit="1" customWidth="1"/>
    <col min="15113" max="15114" width="9.625" style="156" bestFit="1" customWidth="1"/>
    <col min="15115" max="15115" width="8.25" style="156" bestFit="1" customWidth="1"/>
    <col min="15116" max="15117" width="9.625" style="156" bestFit="1" customWidth="1"/>
    <col min="15118" max="15119" width="8.25" style="156" bestFit="1" customWidth="1"/>
    <col min="15120" max="15120" width="11" style="156" bestFit="1" customWidth="1"/>
    <col min="15121" max="15121" width="8" style="156" bestFit="1" customWidth="1"/>
    <col min="15122" max="15122" width="7.75" style="156" bestFit="1" customWidth="1"/>
    <col min="15123" max="15124" width="9.625" style="156" bestFit="1" customWidth="1"/>
    <col min="15125" max="15126" width="9.625" style="156" customWidth="1"/>
    <col min="15127" max="15127" width="9.25" style="156" bestFit="1" customWidth="1"/>
    <col min="15128" max="15128" width="11" style="156" bestFit="1" customWidth="1"/>
    <col min="15129" max="15361" width="9" style="156"/>
    <col min="15362" max="15362" width="4.625" style="156" bestFit="1" customWidth="1"/>
    <col min="15363" max="15363" width="7.5" style="156" bestFit="1" customWidth="1"/>
    <col min="15364" max="15364" width="6.25" style="156" customWidth="1"/>
    <col min="15365" max="15365" width="11" style="156" bestFit="1" customWidth="1"/>
    <col min="15366" max="15367" width="9.625" style="156" bestFit="1" customWidth="1"/>
    <col min="15368" max="15368" width="8.25" style="156" bestFit="1" customWidth="1"/>
    <col min="15369" max="15370" width="9.625" style="156" bestFit="1" customWidth="1"/>
    <col min="15371" max="15371" width="8.25" style="156" bestFit="1" customWidth="1"/>
    <col min="15372" max="15373" width="9.625" style="156" bestFit="1" customWidth="1"/>
    <col min="15374" max="15375" width="8.25" style="156" bestFit="1" customWidth="1"/>
    <col min="15376" max="15376" width="11" style="156" bestFit="1" customWidth="1"/>
    <col min="15377" max="15377" width="8" style="156" bestFit="1" customWidth="1"/>
    <col min="15378" max="15378" width="7.75" style="156" bestFit="1" customWidth="1"/>
    <col min="15379" max="15380" width="9.625" style="156" bestFit="1" customWidth="1"/>
    <col min="15381" max="15382" width="9.625" style="156" customWidth="1"/>
    <col min="15383" max="15383" width="9.25" style="156" bestFit="1" customWidth="1"/>
    <col min="15384" max="15384" width="11" style="156" bestFit="1" customWidth="1"/>
    <col min="15385" max="15617" width="9" style="156"/>
    <col min="15618" max="15618" width="4.625" style="156" bestFit="1" customWidth="1"/>
    <col min="15619" max="15619" width="7.5" style="156" bestFit="1" customWidth="1"/>
    <col min="15620" max="15620" width="6.25" style="156" customWidth="1"/>
    <col min="15621" max="15621" width="11" style="156" bestFit="1" customWidth="1"/>
    <col min="15622" max="15623" width="9.625" style="156" bestFit="1" customWidth="1"/>
    <col min="15624" max="15624" width="8.25" style="156" bestFit="1" customWidth="1"/>
    <col min="15625" max="15626" width="9.625" style="156" bestFit="1" customWidth="1"/>
    <col min="15627" max="15627" width="8.25" style="156" bestFit="1" customWidth="1"/>
    <col min="15628" max="15629" width="9.625" style="156" bestFit="1" customWidth="1"/>
    <col min="15630" max="15631" width="8.25" style="156" bestFit="1" customWidth="1"/>
    <col min="15632" max="15632" width="11" style="156" bestFit="1" customWidth="1"/>
    <col min="15633" max="15633" width="8" style="156" bestFit="1" customWidth="1"/>
    <col min="15634" max="15634" width="7.75" style="156" bestFit="1" customWidth="1"/>
    <col min="15635" max="15636" width="9.625" style="156" bestFit="1" customWidth="1"/>
    <col min="15637" max="15638" width="9.625" style="156" customWidth="1"/>
    <col min="15639" max="15639" width="9.25" style="156" bestFit="1" customWidth="1"/>
    <col min="15640" max="15640" width="11" style="156" bestFit="1" customWidth="1"/>
    <col min="15641" max="15873" width="9" style="156"/>
    <col min="15874" max="15874" width="4.625" style="156" bestFit="1" customWidth="1"/>
    <col min="15875" max="15875" width="7.5" style="156" bestFit="1" customWidth="1"/>
    <col min="15876" max="15876" width="6.25" style="156" customWidth="1"/>
    <col min="15877" max="15877" width="11" style="156" bestFit="1" customWidth="1"/>
    <col min="15878" max="15879" width="9.625" style="156" bestFit="1" customWidth="1"/>
    <col min="15880" max="15880" width="8.25" style="156" bestFit="1" customWidth="1"/>
    <col min="15881" max="15882" width="9.625" style="156" bestFit="1" customWidth="1"/>
    <col min="15883" max="15883" width="8.25" style="156" bestFit="1" customWidth="1"/>
    <col min="15884" max="15885" width="9.625" style="156" bestFit="1" customWidth="1"/>
    <col min="15886" max="15887" width="8.25" style="156" bestFit="1" customWidth="1"/>
    <col min="15888" max="15888" width="11" style="156" bestFit="1" customWidth="1"/>
    <col min="15889" max="15889" width="8" style="156" bestFit="1" customWidth="1"/>
    <col min="15890" max="15890" width="7.75" style="156" bestFit="1" customWidth="1"/>
    <col min="15891" max="15892" width="9.625" style="156" bestFit="1" customWidth="1"/>
    <col min="15893" max="15894" width="9.625" style="156" customWidth="1"/>
    <col min="15895" max="15895" width="9.25" style="156" bestFit="1" customWidth="1"/>
    <col min="15896" max="15896" width="11" style="156" bestFit="1" customWidth="1"/>
    <col min="15897" max="16129" width="9" style="156"/>
    <col min="16130" max="16130" width="4.625" style="156" bestFit="1" customWidth="1"/>
    <col min="16131" max="16131" width="7.5" style="156" bestFit="1" customWidth="1"/>
    <col min="16132" max="16132" width="6.25" style="156" customWidth="1"/>
    <col min="16133" max="16133" width="11" style="156" bestFit="1" customWidth="1"/>
    <col min="16134" max="16135" width="9.625" style="156" bestFit="1" customWidth="1"/>
    <col min="16136" max="16136" width="8.25" style="156" bestFit="1" customWidth="1"/>
    <col min="16137" max="16138" width="9.625" style="156" bestFit="1" customWidth="1"/>
    <col min="16139" max="16139" width="8.25" style="156" bestFit="1" customWidth="1"/>
    <col min="16140" max="16141" width="9.625" style="156" bestFit="1" customWidth="1"/>
    <col min="16142" max="16143" width="8.25" style="156" bestFit="1" customWidth="1"/>
    <col min="16144" max="16144" width="11" style="156" bestFit="1" customWidth="1"/>
    <col min="16145" max="16145" width="8" style="156" bestFit="1" customWidth="1"/>
    <col min="16146" max="16146" width="7.75" style="156" bestFit="1" customWidth="1"/>
    <col min="16147" max="16148" width="9.625" style="156" bestFit="1" customWidth="1"/>
    <col min="16149" max="16150" width="9.625" style="156" customWidth="1"/>
    <col min="16151" max="16151" width="9.25" style="156" bestFit="1" customWidth="1"/>
    <col min="16152" max="16152" width="11" style="156" bestFit="1" customWidth="1"/>
    <col min="16153" max="16384" width="9" style="156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229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54"/>
      <c r="V4" s="252"/>
      <c r="W4" s="252"/>
      <c r="X4" s="252"/>
    </row>
    <row r="5" spans="2:29" ht="20.25" customHeight="1" x14ac:dyDescent="0.3">
      <c r="B5" s="253" t="s">
        <v>228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55"/>
      <c r="Q5" s="69"/>
      <c r="R5" s="69"/>
      <c r="S5" s="69"/>
      <c r="T5" s="252"/>
      <c r="U5" s="154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:S12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>
        <f t="shared" si="8"/>
        <v>99000</v>
      </c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229290</v>
      </c>
      <c r="X12" s="128">
        <f t="shared" si="7"/>
        <v>2270710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">
        <v>171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s="157" customFormat="1" ht="20.100000000000001" customHeight="1" x14ac:dyDescent="0.3">
      <c r="B15" s="101">
        <v>14</v>
      </c>
      <c r="C15" s="87" t="s">
        <v>234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" si="10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1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" si="12">IFERROR(IF(D15&lt;&gt;"대표이사",ROUNDDOWN((P15-AC15)*고용보험율,-1),0),)</f>
        <v>17600</v>
      </c>
      <c r="W15" s="124">
        <f t="shared" ref="W15" si="13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" si="14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119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ref="AC16:AC24" si="15">IF(N16&gt;=100000,100000,N16)+IF(O16&gt;=200000,200000,O16)</f>
        <v>300000</v>
      </c>
    </row>
    <row r="17" spans="2:29" ht="20.100000000000001" customHeight="1" x14ac:dyDescent="0.3">
      <c r="B17" s="101">
        <v>9</v>
      </c>
      <c r="C17" s="87" t="s">
        <v>132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19" si="16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7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ref="V17:V24" si="18">IFERROR(IF(D17&lt;&gt;"대표이사",ROUNDDOWN((P17-AC17)*고용보험율,-1),0),)</f>
        <v>17600</v>
      </c>
      <c r="W17" s="124">
        <f t="shared" ref="W17:W24" si="19">SUM(Q17:V17)</f>
        <v>229290</v>
      </c>
      <c r="X17" s="128">
        <f t="shared" si="7"/>
        <v>2270710</v>
      </c>
      <c r="Z17" s="98">
        <v>1</v>
      </c>
      <c r="AA17" s="99"/>
      <c r="AC17" s="100">
        <f t="shared" si="15"/>
        <v>300000</v>
      </c>
    </row>
    <row r="18" spans="2:29" ht="20.100000000000001" customHeight="1" x14ac:dyDescent="0.3">
      <c r="B18" s="101">
        <v>10</v>
      </c>
      <c r="C18" s="87" t="s">
        <v>143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6"/>
        <v>2500000</v>
      </c>
      <c r="Q18" s="125">
        <f t="shared" si="1"/>
        <v>25950</v>
      </c>
      <c r="R18" s="126">
        <f t="shared" si="2"/>
        <v>2590</v>
      </c>
      <c r="S18" s="126">
        <f t="shared" si="17"/>
        <v>99000</v>
      </c>
      <c r="T18" s="95">
        <f t="shared" si="3"/>
        <v>75460</v>
      </c>
      <c r="U18" s="96">
        <f t="shared" si="4"/>
        <v>8690</v>
      </c>
      <c r="V18" s="127">
        <f t="shared" si="18"/>
        <v>17600</v>
      </c>
      <c r="W18" s="124">
        <f t="shared" si="19"/>
        <v>229290</v>
      </c>
      <c r="X18" s="128">
        <f t="shared" si="7"/>
        <v>2270710</v>
      </c>
      <c r="Z18" s="98">
        <v>1</v>
      </c>
      <c r="AA18" s="99"/>
      <c r="AC18" s="100">
        <f t="shared" si="15"/>
        <v>300000</v>
      </c>
    </row>
    <row r="19" spans="2:29" ht="20.100000000000001" customHeight="1" x14ac:dyDescent="0.3">
      <c r="B19" s="101">
        <v>11</v>
      </c>
      <c r="C19" s="87" t="s">
        <v>213</v>
      </c>
      <c r="D19" s="88" t="s">
        <v>45</v>
      </c>
      <c r="E19" s="89">
        <v>4300000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6"/>
        <v>4700000</v>
      </c>
      <c r="Q19" s="125">
        <v>268770</v>
      </c>
      <c r="R19" s="126">
        <v>26870</v>
      </c>
      <c r="S19" s="126">
        <v>193500</v>
      </c>
      <c r="T19" s="95">
        <v>152430</v>
      </c>
      <c r="U19" s="96">
        <v>19730</v>
      </c>
      <c r="V19" s="127">
        <v>38700</v>
      </c>
      <c r="W19" s="124">
        <v>700000</v>
      </c>
      <c r="X19" s="128">
        <f t="shared" si="7"/>
        <v>4000000</v>
      </c>
      <c r="Z19" s="98">
        <v>1</v>
      </c>
      <c r="AA19" s="99"/>
      <c r="AC19" s="100">
        <f t="shared" si="15"/>
        <v>300000</v>
      </c>
    </row>
    <row r="20" spans="2:29" ht="20.100000000000001" customHeight="1" x14ac:dyDescent="0.3">
      <c r="B20" s="101">
        <v>12</v>
      </c>
      <c r="C20" s="87" t="s">
        <v>165</v>
      </c>
      <c r="D20" s="88" t="s">
        <v>45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ref="P20" si="20">SUM(E20:O20)</f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219</v>
      </c>
      <c r="D21" s="88" t="s">
        <v>50</v>
      </c>
      <c r="E21" s="89">
        <v>2100000</v>
      </c>
      <c r="F21" s="106"/>
      <c r="G21" s="106"/>
      <c r="H21" s="106"/>
      <c r="I21" s="106"/>
      <c r="J21" s="107"/>
      <c r="K21" s="107"/>
      <c r="L21" s="107"/>
      <c r="M21" s="107"/>
      <c r="N21" s="89">
        <v>200000</v>
      </c>
      <c r="O21" s="130">
        <v>200000</v>
      </c>
      <c r="P21" s="124">
        <f t="shared" ref="P21" si="21">SUM(E21:O21)</f>
        <v>2500000</v>
      </c>
      <c r="Q21" s="125">
        <f t="shared" ref="Q21" si="22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>
        <f t="shared" ref="S21" si="23">IFERROR(IF(AND(P21-AC21&gt;=월액최저,P21-AC21&lt;=월액최고),ROUNDDOWN((P21-AC21)*국민연금,-1),IF(P21-AC21&gt;=월액최고,최고연금,IF(AND(P21-AC21&lt;=월액최저,P21-AC21&gt;=1),최저연금,))),)</f>
        <v>99000</v>
      </c>
      <c r="T21" s="95">
        <f t="shared" ref="T21" si="24">IFERROR(ROUNDDOWN((P21-AC21)*3.43%,-1),)</f>
        <v>75460</v>
      </c>
      <c r="U21" s="96">
        <f t="shared" si="4"/>
        <v>8690</v>
      </c>
      <c r="V21" s="127">
        <f t="shared" ref="V21" si="25">IFERROR(IF(D21&lt;&gt;"대표이사",ROUNDDOWN((P21-AC21)*고용보험율,-1),0),)</f>
        <v>17600</v>
      </c>
      <c r="W21" s="124">
        <f t="shared" ref="W21" si="26">SUM(Q21:V21)</f>
        <v>229290</v>
      </c>
      <c r="X21" s="128">
        <f t="shared" si="7"/>
        <v>2270710</v>
      </c>
      <c r="Z21" s="98">
        <v>1</v>
      </c>
      <c r="AA21" s="99"/>
      <c r="AC21" s="100">
        <f t="shared" ref="AC21" si="27">IF(N21&gt;=100000,100000,N21)+IF(O21&gt;=200000,200000,O21)</f>
        <v>300000</v>
      </c>
    </row>
    <row r="22" spans="2:29" s="157" customFormat="1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28">SUM(E22:O22)</f>
        <v>2500000</v>
      </c>
      <c r="Q22" s="94">
        <v>25950</v>
      </c>
      <c r="R22" s="126">
        <f t="shared" ref="R22" si="29">ROUNDDOWN(Q22*10%,-1)</f>
        <v>2590</v>
      </c>
      <c r="S22" s="126">
        <v>99000</v>
      </c>
      <c r="T22" s="95">
        <v>75460</v>
      </c>
      <c r="U22" s="96">
        <f t="shared" ref="U22" si="30">ROUNDDOWN(T22*11.52%,-1)</f>
        <v>8690</v>
      </c>
      <c r="V22" s="127">
        <v>17600</v>
      </c>
      <c r="W22" s="124">
        <f>SUM(Q22:V22)</f>
        <v>229290</v>
      </c>
      <c r="X22" s="97">
        <f t="shared" ref="X22" si="31">P22-W22</f>
        <v>2270710</v>
      </c>
      <c r="Z22" s="98">
        <v>1</v>
      </c>
      <c r="AA22" s="99"/>
      <c r="AC22" s="100"/>
    </row>
    <row r="23" spans="2:29" ht="20.100000000000001" customHeight="1" x14ac:dyDescent="0.3">
      <c r="B23" s="101"/>
      <c r="C23" s="87"/>
      <c r="D23" s="88"/>
      <c r="E23" s="89"/>
      <c r="F23" s="106"/>
      <c r="G23" s="106"/>
      <c r="H23" s="106"/>
      <c r="I23" s="106"/>
      <c r="J23" s="107"/>
      <c r="K23" s="107"/>
      <c r="L23" s="107"/>
      <c r="M23" s="107"/>
      <c r="N23" s="89"/>
      <c r="O23" s="130"/>
      <c r="P23" s="124"/>
      <c r="Q23" s="94"/>
      <c r="R23" s="126"/>
      <c r="S23" s="126"/>
      <c r="T23" s="95"/>
      <c r="U23" s="96"/>
      <c r="V23" s="127"/>
      <c r="W23" s="124"/>
      <c r="X23" s="97"/>
      <c r="Z23" s="98"/>
      <c r="AA23" s="99"/>
      <c r="AC23" s="100"/>
    </row>
    <row r="24" spans="2:29" ht="20.100000000000001" customHeight="1" x14ac:dyDescent="0.3">
      <c r="B24" s="101"/>
      <c r="C24" s="87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>
        <f t="shared" si="1"/>
        <v>0</v>
      </c>
      <c r="R24" s="126">
        <f t="shared" si="2"/>
        <v>0</v>
      </c>
      <c r="S24" s="126">
        <f t="shared" si="17"/>
        <v>0</v>
      </c>
      <c r="T24" s="95">
        <f t="shared" si="3"/>
        <v>0</v>
      </c>
      <c r="U24" s="96">
        <f t="shared" si="4"/>
        <v>0</v>
      </c>
      <c r="V24" s="127">
        <f t="shared" si="18"/>
        <v>0</v>
      </c>
      <c r="W24" s="124">
        <f t="shared" si="19"/>
        <v>0</v>
      </c>
      <c r="X24" s="128">
        <f t="shared" si="7"/>
        <v>0</v>
      </c>
      <c r="Z24" s="98">
        <v>1</v>
      </c>
      <c r="AA24" s="99"/>
      <c r="AC24" s="100">
        <f t="shared" si="15"/>
        <v>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32">SUM(E9:E24)</f>
        <v>31600000</v>
      </c>
      <c r="F25" s="132">
        <f t="shared" si="32"/>
        <v>0</v>
      </c>
      <c r="G25" s="132">
        <f t="shared" si="32"/>
        <v>0</v>
      </c>
      <c r="H25" s="132">
        <f t="shared" si="32"/>
        <v>0</v>
      </c>
      <c r="I25" s="132">
        <f t="shared" si="32"/>
        <v>0</v>
      </c>
      <c r="J25" s="132">
        <f t="shared" si="32"/>
        <v>0</v>
      </c>
      <c r="K25" s="132">
        <f t="shared" si="32"/>
        <v>0</v>
      </c>
      <c r="L25" s="132">
        <f t="shared" si="32"/>
        <v>0</v>
      </c>
      <c r="M25" s="133">
        <f t="shared" si="32"/>
        <v>0</v>
      </c>
      <c r="N25" s="131">
        <f t="shared" si="32"/>
        <v>2800000</v>
      </c>
      <c r="O25" s="134">
        <f t="shared" si="32"/>
        <v>2800000</v>
      </c>
      <c r="P25" s="135">
        <f t="shared" si="32"/>
        <v>37200000</v>
      </c>
      <c r="Q25" s="131">
        <f t="shared" si="32"/>
        <v>606120</v>
      </c>
      <c r="R25" s="132">
        <f t="shared" si="32"/>
        <v>60540</v>
      </c>
      <c r="S25" s="132">
        <f t="shared" si="32"/>
        <v>1084500</v>
      </c>
      <c r="T25" s="132">
        <f t="shared" si="32"/>
        <v>1133410</v>
      </c>
      <c r="U25" s="133">
        <f t="shared" si="32"/>
        <v>132700</v>
      </c>
      <c r="V25" s="133">
        <f t="shared" si="32"/>
        <v>267500</v>
      </c>
      <c r="W25" s="135">
        <f t="shared" si="32"/>
        <v>3284770</v>
      </c>
      <c r="X25" s="136">
        <f t="shared" si="32"/>
        <v>33915230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/>
      <c r="D28" s="197"/>
      <c r="E28" s="198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 t="s">
        <v>236</v>
      </c>
      <c r="D32" s="197" t="s">
        <v>239</v>
      </c>
      <c r="E32" s="198"/>
      <c r="F32" s="199" t="s">
        <v>242</v>
      </c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4" ht="15" customHeight="1" thickTop="1" x14ac:dyDescent="0.3">
      <c r="B33" s="195"/>
      <c r="C33" s="120" t="s">
        <v>237</v>
      </c>
      <c r="D33" s="197" t="s">
        <v>238</v>
      </c>
      <c r="E33" s="198"/>
      <c r="F33" s="204" t="s">
        <v>242</v>
      </c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4" s="160" customFormat="1" ht="15" customHeight="1" thickBot="1" x14ac:dyDescent="0.35">
      <c r="B34" s="195"/>
      <c r="C34" s="147" t="s">
        <v>240</v>
      </c>
      <c r="D34" s="197" t="s">
        <v>216</v>
      </c>
      <c r="E34" s="198"/>
      <c r="F34" s="204" t="s">
        <v>242</v>
      </c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  <c r="W34" s="64"/>
      <c r="X34" s="64"/>
    </row>
    <row r="35" spans="2:24" ht="15" customHeight="1" thickBot="1" x14ac:dyDescent="0.35">
      <c r="B35" s="196"/>
      <c r="C35" s="122" t="s">
        <v>241</v>
      </c>
      <c r="D35" s="197" t="s">
        <v>220</v>
      </c>
      <c r="E35" s="198"/>
      <c r="F35" s="204" t="s">
        <v>242</v>
      </c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4" ht="20.100000000000001" customHeight="1" x14ac:dyDescent="0.3">
      <c r="Q36" s="64"/>
      <c r="R36" s="64"/>
      <c r="S36" s="64"/>
      <c r="T36" s="64"/>
      <c r="U36" s="64"/>
      <c r="V36" s="64"/>
    </row>
    <row r="37" spans="2:24" s="64" customFormat="1" ht="20.100000000000001" customHeight="1" x14ac:dyDescent="0.3">
      <c r="B37" s="156"/>
      <c r="C37" s="156"/>
      <c r="D37" s="156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4" s="64" customFormat="1" ht="20.100000000000001" customHeight="1" x14ac:dyDescent="0.3">
      <c r="B38" s="156"/>
      <c r="C38" s="156"/>
      <c r="D38" s="156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4" s="64" customFormat="1" ht="20.100000000000001" customHeight="1" x14ac:dyDescent="0.3">
      <c r="B39" s="156"/>
      <c r="C39" s="156"/>
      <c r="D39" s="156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4" s="64" customFormat="1" ht="20.100000000000001" customHeight="1" x14ac:dyDescent="0.3">
      <c r="B40" s="156"/>
      <c r="C40" s="156"/>
      <c r="D40" s="156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4" s="64" customFormat="1" ht="20.100000000000001" customHeight="1" x14ac:dyDescent="0.3">
      <c r="B41" s="156"/>
      <c r="C41" s="156"/>
      <c r="D41" s="156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4" s="64" customFormat="1" ht="20.100000000000001" customHeight="1" x14ac:dyDescent="0.3">
      <c r="B42" s="156"/>
      <c r="C42" s="156"/>
      <c r="D42" s="156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4" s="64" customFormat="1" ht="20.100000000000001" customHeight="1" x14ac:dyDescent="0.3">
      <c r="B43" s="156"/>
      <c r="C43" s="156"/>
      <c r="D43" s="156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4" s="64" customFormat="1" ht="20.100000000000001" customHeight="1" x14ac:dyDescent="0.3">
      <c r="B44" s="156"/>
      <c r="C44" s="156"/>
      <c r="D44" s="156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4" s="64" customFormat="1" ht="20.100000000000001" customHeight="1" x14ac:dyDescent="0.3">
      <c r="B45" s="156"/>
      <c r="C45" s="156"/>
      <c r="D45" s="156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4" s="64" customFormat="1" ht="20.100000000000001" customHeight="1" x14ac:dyDescent="0.3">
      <c r="B46" s="156"/>
      <c r="C46" s="156"/>
      <c r="D46" s="156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4" s="64" customFormat="1" ht="20.100000000000001" customHeight="1" x14ac:dyDescent="0.3">
      <c r="B47" s="156"/>
      <c r="C47" s="156"/>
      <c r="D47" s="156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4" s="64" customFormat="1" ht="20.100000000000001" customHeight="1" x14ac:dyDescent="0.3">
      <c r="B48" s="156"/>
      <c r="C48" s="156"/>
      <c r="D48" s="156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56"/>
      <c r="C49" s="156"/>
      <c r="D49" s="156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56"/>
      <c r="C50" s="156"/>
      <c r="D50" s="156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56"/>
      <c r="C51" s="156"/>
      <c r="D51" s="156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56"/>
      <c r="C52" s="156"/>
      <c r="D52" s="156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56"/>
      <c r="C53" s="156"/>
      <c r="D53" s="156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56"/>
      <c r="C54" s="156"/>
      <c r="D54" s="156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56"/>
      <c r="C55" s="156"/>
      <c r="D55" s="156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56"/>
      <c r="C56" s="156"/>
      <c r="D56" s="156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56"/>
      <c r="C57" s="156"/>
      <c r="D57" s="156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56"/>
      <c r="C58" s="156"/>
      <c r="D58" s="156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56"/>
      <c r="C59" s="156"/>
      <c r="D59" s="156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56"/>
      <c r="C60" s="156"/>
      <c r="D60" s="156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56"/>
      <c r="C61" s="156"/>
      <c r="D61" s="156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56"/>
      <c r="C62" s="156"/>
      <c r="D62" s="156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56"/>
      <c r="C63" s="156"/>
      <c r="D63" s="156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56"/>
      <c r="C64" s="156"/>
      <c r="D64" s="156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56"/>
      <c r="C65" s="156"/>
      <c r="D65" s="156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56"/>
      <c r="C66" s="156"/>
      <c r="D66" s="156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56"/>
      <c r="C67" s="156"/>
      <c r="D67" s="156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56"/>
      <c r="C68" s="156"/>
      <c r="D68" s="156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56"/>
      <c r="C69" s="156"/>
      <c r="D69" s="156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56"/>
      <c r="C70" s="156"/>
      <c r="D70" s="156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56"/>
      <c r="C71" s="156"/>
      <c r="D71" s="156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56"/>
      <c r="C72" s="156"/>
      <c r="D72" s="156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56"/>
      <c r="C73" s="156"/>
      <c r="D73" s="156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56"/>
      <c r="C74" s="156"/>
      <c r="D74" s="156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56"/>
      <c r="C75" s="156"/>
      <c r="D75" s="156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56"/>
      <c r="C76" s="156"/>
      <c r="D76" s="156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56"/>
      <c r="C77" s="156"/>
      <c r="D77" s="156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56"/>
      <c r="C78" s="156"/>
      <c r="D78" s="156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56"/>
      <c r="C79" s="156"/>
      <c r="D79" s="156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56"/>
      <c r="C80" s="156"/>
      <c r="D80" s="156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56"/>
      <c r="C81" s="156"/>
      <c r="D81" s="156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56"/>
      <c r="C82" s="156"/>
      <c r="D82" s="156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56"/>
      <c r="C83" s="156"/>
      <c r="D83" s="156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56"/>
      <c r="C84" s="156"/>
      <c r="D84" s="156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56"/>
      <c r="C85" s="156"/>
      <c r="D85" s="156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56"/>
      <c r="C86" s="156"/>
      <c r="D86" s="156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56"/>
      <c r="C87" s="156"/>
      <c r="D87" s="156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56"/>
      <c r="C88" s="156"/>
      <c r="D88" s="156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56"/>
      <c r="C89" s="156"/>
      <c r="D89" s="156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56"/>
      <c r="C90" s="156"/>
      <c r="D90" s="156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56"/>
      <c r="C91" s="156"/>
      <c r="D91" s="156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56"/>
      <c r="C92" s="156"/>
      <c r="D92" s="156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56"/>
      <c r="C93" s="156"/>
      <c r="D93" s="156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56"/>
      <c r="C94" s="156"/>
      <c r="D94" s="156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56"/>
      <c r="C95" s="156"/>
      <c r="D95" s="156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56"/>
      <c r="C96" s="156"/>
      <c r="D96" s="156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56"/>
      <c r="C97" s="156"/>
      <c r="D97" s="156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56"/>
      <c r="C98" s="156"/>
      <c r="D98" s="156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56"/>
      <c r="C99" s="156"/>
      <c r="D99" s="156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56"/>
      <c r="C100" s="156"/>
      <c r="D100" s="156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56"/>
      <c r="C101" s="156"/>
      <c r="D101" s="156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56"/>
      <c r="C102" s="156"/>
      <c r="D102" s="156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56"/>
      <c r="C103" s="156"/>
      <c r="D103" s="156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56"/>
      <c r="C104" s="156"/>
      <c r="D104" s="156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56"/>
      <c r="C105" s="156"/>
      <c r="D105" s="156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56"/>
      <c r="C106" s="156"/>
      <c r="D106" s="156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56"/>
      <c r="C107" s="156"/>
      <c r="D107" s="156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56"/>
      <c r="C108" s="156"/>
      <c r="D108" s="156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56"/>
      <c r="C109" s="156"/>
      <c r="D109" s="156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56"/>
      <c r="C110" s="156"/>
      <c r="D110" s="156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56"/>
      <c r="C111" s="156"/>
      <c r="D111" s="156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56"/>
      <c r="C112" s="156"/>
      <c r="D112" s="156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56"/>
      <c r="C113" s="156"/>
      <c r="D113" s="156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56"/>
      <c r="C114" s="156"/>
      <c r="D114" s="156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56"/>
      <c r="C115" s="156"/>
      <c r="D115" s="156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56"/>
      <c r="C116" s="156"/>
      <c r="D116" s="156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56"/>
      <c r="C117" s="156"/>
      <c r="D117" s="156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56"/>
      <c r="C118" s="156"/>
      <c r="D118" s="156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56"/>
      <c r="C119" s="156"/>
      <c r="D119" s="156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56"/>
      <c r="C120" s="156"/>
      <c r="D120" s="156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56"/>
      <c r="C121" s="156"/>
      <c r="D121" s="156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56"/>
      <c r="C122" s="156"/>
      <c r="D122" s="156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56"/>
      <c r="C123" s="156"/>
      <c r="D123" s="156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56"/>
      <c r="C124" s="156"/>
      <c r="D124" s="156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56"/>
      <c r="C125" s="156"/>
      <c r="D125" s="156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56"/>
      <c r="C126" s="156"/>
      <c r="D126" s="156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56"/>
      <c r="C127" s="156"/>
      <c r="D127" s="156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56"/>
      <c r="C128" s="156"/>
      <c r="D128" s="156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56"/>
      <c r="C129" s="156"/>
      <c r="D129" s="156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56"/>
      <c r="C130" s="156"/>
      <c r="D130" s="156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56"/>
      <c r="C131" s="156"/>
      <c r="D131" s="156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56"/>
      <c r="C132" s="156"/>
      <c r="D132" s="156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56"/>
      <c r="C133" s="156"/>
      <c r="D133" s="156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56"/>
      <c r="C134" s="156"/>
      <c r="D134" s="156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56"/>
      <c r="C135" s="156"/>
      <c r="D135" s="156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56"/>
      <c r="C136" s="156"/>
      <c r="D136" s="156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56"/>
      <c r="C137" s="156"/>
      <c r="D137" s="156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56"/>
      <c r="C138" s="156"/>
      <c r="D138" s="156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56"/>
      <c r="C139" s="156"/>
      <c r="D139" s="156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56"/>
      <c r="C140" s="156"/>
      <c r="D140" s="156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56"/>
      <c r="C141" s="156"/>
      <c r="D141" s="156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56"/>
      <c r="C142" s="156"/>
      <c r="D142" s="156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56"/>
      <c r="C143" s="156"/>
      <c r="D143" s="156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56"/>
      <c r="C144" s="156"/>
      <c r="D144" s="156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56"/>
      <c r="C145" s="156"/>
      <c r="D145" s="156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56"/>
      <c r="C146" s="156"/>
      <c r="D146" s="156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56"/>
      <c r="C147" s="156"/>
      <c r="D147" s="156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56"/>
      <c r="C148" s="156"/>
      <c r="D148" s="156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56"/>
      <c r="C149" s="156"/>
      <c r="D149" s="156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56"/>
      <c r="C150" s="156"/>
      <c r="D150" s="156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56"/>
      <c r="C151" s="156"/>
      <c r="D151" s="156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56"/>
      <c r="C152" s="156"/>
      <c r="D152" s="156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56"/>
      <c r="C153" s="156"/>
      <c r="D153" s="156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56"/>
      <c r="C154" s="156"/>
      <c r="D154" s="156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56"/>
      <c r="C155" s="156"/>
      <c r="D155" s="156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56"/>
      <c r="C156" s="156"/>
      <c r="D156" s="156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56"/>
      <c r="C157" s="156"/>
      <c r="D157" s="156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56"/>
      <c r="C158" s="156"/>
      <c r="D158" s="156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56"/>
      <c r="C159" s="156"/>
      <c r="D159" s="156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56"/>
      <c r="C160" s="156"/>
      <c r="D160" s="156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56"/>
      <c r="C161" s="156"/>
      <c r="D161" s="156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56"/>
      <c r="C162" s="156"/>
      <c r="D162" s="156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56"/>
      <c r="C163" s="156"/>
      <c r="D163" s="156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56"/>
      <c r="C164" s="156"/>
      <c r="D164" s="156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56"/>
      <c r="C165" s="156"/>
      <c r="D165" s="156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56"/>
      <c r="C166" s="156"/>
      <c r="D166" s="156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56"/>
      <c r="C167" s="156"/>
      <c r="D167" s="156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56"/>
      <c r="C168" s="156"/>
      <c r="D168" s="156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56"/>
      <c r="C169" s="156"/>
      <c r="D169" s="156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56"/>
      <c r="C170" s="156"/>
      <c r="D170" s="156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56"/>
      <c r="C171" s="156"/>
      <c r="D171" s="156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56"/>
      <c r="C172" s="156"/>
      <c r="D172" s="156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56"/>
      <c r="C173" s="156"/>
      <c r="D173" s="156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56"/>
      <c r="C174" s="156"/>
      <c r="D174" s="156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56"/>
      <c r="C175" s="156"/>
      <c r="D175" s="156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56"/>
      <c r="C176" s="156"/>
      <c r="D176" s="156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56"/>
      <c r="C177" s="156"/>
      <c r="D177" s="156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56"/>
      <c r="C178" s="156"/>
      <c r="D178" s="156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56"/>
      <c r="C179" s="156"/>
      <c r="D179" s="156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56"/>
      <c r="C180" s="156"/>
      <c r="D180" s="156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56"/>
      <c r="C181" s="156"/>
      <c r="D181" s="156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56"/>
      <c r="C182" s="156"/>
      <c r="D182" s="156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56"/>
      <c r="C183" s="156"/>
      <c r="D183" s="156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56"/>
      <c r="C184" s="156"/>
      <c r="D184" s="156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56"/>
      <c r="C185" s="156"/>
      <c r="D185" s="156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56"/>
      <c r="C186" s="156"/>
      <c r="D186" s="156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56"/>
      <c r="C187" s="156"/>
      <c r="D187" s="156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56"/>
      <c r="C188" s="156"/>
      <c r="D188" s="156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56"/>
      <c r="C189" s="156"/>
      <c r="D189" s="156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56"/>
      <c r="C190" s="156"/>
      <c r="D190" s="156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56"/>
      <c r="C191" s="156"/>
      <c r="D191" s="156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56"/>
      <c r="C192" s="156"/>
      <c r="D192" s="156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56"/>
      <c r="C193" s="156"/>
      <c r="D193" s="156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56"/>
      <c r="C194" s="156"/>
      <c r="D194" s="156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56"/>
      <c r="C195" s="156"/>
      <c r="D195" s="156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56"/>
      <c r="C196" s="156"/>
      <c r="D196" s="156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56"/>
      <c r="C197" s="156"/>
      <c r="D197" s="156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56"/>
      <c r="C198" s="156"/>
      <c r="D198" s="156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56"/>
      <c r="C199" s="156"/>
      <c r="D199" s="156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56"/>
      <c r="C200" s="156"/>
      <c r="D200" s="156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56"/>
      <c r="C201" s="156"/>
      <c r="D201" s="156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56"/>
      <c r="C202" s="156"/>
      <c r="D202" s="156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56"/>
      <c r="C203" s="156"/>
      <c r="D203" s="156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56"/>
      <c r="C204" s="156"/>
      <c r="D204" s="156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56"/>
      <c r="C205" s="156"/>
      <c r="D205" s="156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56"/>
      <c r="C206" s="156"/>
      <c r="D206" s="156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56"/>
      <c r="C207" s="156"/>
      <c r="D207" s="156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56"/>
      <c r="C208" s="156"/>
      <c r="D208" s="156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56"/>
      <c r="C209" s="156"/>
      <c r="D209" s="156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56"/>
      <c r="C210" s="156"/>
      <c r="D210" s="156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56"/>
      <c r="C211" s="156"/>
      <c r="D211" s="156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56"/>
      <c r="C212" s="156"/>
      <c r="D212" s="156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56"/>
      <c r="C213" s="156"/>
      <c r="D213" s="156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56"/>
      <c r="C214" s="156"/>
      <c r="D214" s="156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56"/>
      <c r="C215" s="156"/>
      <c r="D215" s="156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56"/>
      <c r="C216" s="156"/>
      <c r="D216" s="156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56"/>
      <c r="C217" s="156"/>
      <c r="D217" s="156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56"/>
      <c r="C218" s="156"/>
      <c r="D218" s="156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56"/>
      <c r="C219" s="156"/>
      <c r="D219" s="156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56"/>
      <c r="C220" s="156"/>
      <c r="D220" s="156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56"/>
      <c r="C221" s="156"/>
      <c r="D221" s="156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56"/>
      <c r="C222" s="156"/>
      <c r="D222" s="156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56"/>
      <c r="C223" s="156"/>
      <c r="D223" s="156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56"/>
      <c r="C224" s="156"/>
      <c r="D224" s="156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56"/>
      <c r="C225" s="156"/>
      <c r="D225" s="156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56"/>
      <c r="C226" s="156"/>
      <c r="D226" s="156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56"/>
      <c r="C227" s="156"/>
      <c r="D227" s="156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56"/>
      <c r="C228" s="156"/>
      <c r="D228" s="156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56"/>
      <c r="C229" s="156"/>
      <c r="D229" s="156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56"/>
      <c r="C230" s="156"/>
      <c r="D230" s="156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56"/>
      <c r="C231" s="156"/>
      <c r="D231" s="156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56"/>
      <c r="C232" s="156"/>
      <c r="D232" s="156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56"/>
      <c r="C233" s="156"/>
      <c r="D233" s="156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56"/>
      <c r="C234" s="156"/>
      <c r="D234" s="156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56"/>
      <c r="C235" s="156"/>
      <c r="D235" s="156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56"/>
      <c r="C236" s="156"/>
      <c r="D236" s="156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56"/>
      <c r="C237" s="156"/>
      <c r="D237" s="156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56"/>
      <c r="C238" s="156"/>
      <c r="D238" s="156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56"/>
      <c r="C239" s="156"/>
      <c r="D239" s="156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56"/>
      <c r="C240" s="156"/>
      <c r="D240" s="156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56"/>
      <c r="C241" s="156"/>
      <c r="D241" s="156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56"/>
      <c r="C242" s="156"/>
      <c r="D242" s="156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56"/>
      <c r="C243" s="156"/>
      <c r="D243" s="156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56"/>
      <c r="C244" s="156"/>
      <c r="D244" s="156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56"/>
      <c r="C245" s="156"/>
      <c r="D245" s="156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56"/>
      <c r="C246" s="156"/>
      <c r="D246" s="156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56"/>
      <c r="C247" s="156"/>
      <c r="D247" s="156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56"/>
      <c r="C248" s="156"/>
      <c r="D248" s="156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56"/>
      <c r="C249" s="156"/>
      <c r="D249" s="156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56"/>
      <c r="C250" s="156"/>
      <c r="D250" s="156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56"/>
      <c r="C251" s="156"/>
      <c r="D251" s="156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56"/>
      <c r="C252" s="156"/>
      <c r="D252" s="156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56"/>
      <c r="C253" s="156"/>
      <c r="D253" s="156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56"/>
      <c r="C254" s="156"/>
      <c r="D254" s="156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56"/>
      <c r="C255" s="156"/>
      <c r="D255" s="156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56"/>
      <c r="C256" s="156"/>
      <c r="D256" s="156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56"/>
      <c r="C257" s="156"/>
      <c r="D257" s="156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56"/>
      <c r="C258" s="156"/>
      <c r="D258" s="156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56"/>
      <c r="C259" s="156"/>
      <c r="D259" s="156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56"/>
      <c r="C260" s="156"/>
      <c r="D260" s="156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56"/>
      <c r="C261" s="156"/>
      <c r="D261" s="156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56"/>
      <c r="C262" s="156"/>
      <c r="D262" s="156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56"/>
      <c r="C263" s="156"/>
      <c r="D263" s="156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56"/>
      <c r="C264" s="156"/>
      <c r="D264" s="156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56"/>
      <c r="C265" s="156"/>
      <c r="D265" s="156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56"/>
      <c r="C266" s="156"/>
      <c r="D266" s="156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56"/>
      <c r="C267" s="156"/>
      <c r="D267" s="156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56"/>
      <c r="C268" s="156"/>
      <c r="D268" s="156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56"/>
      <c r="C269" s="156"/>
      <c r="D269" s="156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56"/>
      <c r="C270" s="156"/>
      <c r="D270" s="156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56"/>
      <c r="C271" s="156"/>
      <c r="D271" s="156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56"/>
      <c r="C272" s="156"/>
      <c r="D272" s="156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56"/>
      <c r="C273" s="156"/>
      <c r="D273" s="156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56"/>
      <c r="C274" s="156"/>
      <c r="D274" s="156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56"/>
      <c r="C275" s="156"/>
      <c r="D275" s="156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56"/>
      <c r="C276" s="156"/>
      <c r="D276" s="156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56"/>
      <c r="C277" s="156"/>
      <c r="D277" s="156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56"/>
      <c r="C278" s="156"/>
      <c r="D278" s="156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56"/>
      <c r="C279" s="156"/>
      <c r="D279" s="156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56"/>
      <c r="C280" s="156"/>
      <c r="D280" s="156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56"/>
      <c r="C281" s="156"/>
      <c r="D281" s="156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56"/>
      <c r="C282" s="156"/>
      <c r="D282" s="156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56"/>
      <c r="C283" s="156"/>
      <c r="D283" s="156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D31:E31"/>
    <mergeCell ref="F31:G31"/>
    <mergeCell ref="B32:B35"/>
    <mergeCell ref="D32:E32"/>
    <mergeCell ref="F32:G32"/>
    <mergeCell ref="H32:P32"/>
    <mergeCell ref="D33:E33"/>
    <mergeCell ref="F33:G33"/>
    <mergeCell ref="H33:P33"/>
    <mergeCell ref="D35:E35"/>
    <mergeCell ref="F35:G35"/>
    <mergeCell ref="H35:P35"/>
    <mergeCell ref="D34:E34"/>
    <mergeCell ref="F34:G34"/>
    <mergeCell ref="H34:P34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topLeftCell="A7" workbookViewId="0">
      <selection activeCell="D32" sqref="D32:E32"/>
    </sheetView>
  </sheetViews>
  <sheetFormatPr defaultRowHeight="13.5" x14ac:dyDescent="0.3"/>
  <cols>
    <col min="1" max="1" width="1.625" style="160" customWidth="1"/>
    <col min="2" max="2" width="4.625" style="160" bestFit="1" customWidth="1"/>
    <col min="3" max="3" width="7.625" style="160" bestFit="1" customWidth="1"/>
    <col min="4" max="4" width="8" style="160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60" customWidth="1"/>
    <col min="26" max="26" width="8.375" style="160" customWidth="1"/>
    <col min="27" max="27" width="7.25" style="160" customWidth="1"/>
    <col min="28" max="28" width="3.875" style="160" customWidth="1"/>
    <col min="29" max="29" width="0.5" style="160" customWidth="1"/>
    <col min="30" max="257" width="9" style="160"/>
    <col min="258" max="258" width="4.625" style="160" bestFit="1" customWidth="1"/>
    <col min="259" max="259" width="7.5" style="160" bestFit="1" customWidth="1"/>
    <col min="260" max="260" width="6.25" style="160" customWidth="1"/>
    <col min="261" max="261" width="11" style="160" bestFit="1" customWidth="1"/>
    <col min="262" max="263" width="9.625" style="160" bestFit="1" customWidth="1"/>
    <col min="264" max="264" width="8.25" style="160" bestFit="1" customWidth="1"/>
    <col min="265" max="266" width="9.625" style="160" bestFit="1" customWidth="1"/>
    <col min="267" max="267" width="8.25" style="160" bestFit="1" customWidth="1"/>
    <col min="268" max="269" width="9.625" style="160" bestFit="1" customWidth="1"/>
    <col min="270" max="271" width="8.25" style="160" bestFit="1" customWidth="1"/>
    <col min="272" max="272" width="11" style="160" bestFit="1" customWidth="1"/>
    <col min="273" max="273" width="8" style="160" bestFit="1" customWidth="1"/>
    <col min="274" max="274" width="7.75" style="160" bestFit="1" customWidth="1"/>
    <col min="275" max="276" width="9.625" style="160" bestFit="1" customWidth="1"/>
    <col min="277" max="278" width="9.625" style="160" customWidth="1"/>
    <col min="279" max="279" width="9.25" style="160" bestFit="1" customWidth="1"/>
    <col min="280" max="280" width="11" style="160" bestFit="1" customWidth="1"/>
    <col min="281" max="513" width="9" style="160"/>
    <col min="514" max="514" width="4.625" style="160" bestFit="1" customWidth="1"/>
    <col min="515" max="515" width="7.5" style="160" bestFit="1" customWidth="1"/>
    <col min="516" max="516" width="6.25" style="160" customWidth="1"/>
    <col min="517" max="517" width="11" style="160" bestFit="1" customWidth="1"/>
    <col min="518" max="519" width="9.625" style="160" bestFit="1" customWidth="1"/>
    <col min="520" max="520" width="8.25" style="160" bestFit="1" customWidth="1"/>
    <col min="521" max="522" width="9.625" style="160" bestFit="1" customWidth="1"/>
    <col min="523" max="523" width="8.25" style="160" bestFit="1" customWidth="1"/>
    <col min="524" max="525" width="9.625" style="160" bestFit="1" customWidth="1"/>
    <col min="526" max="527" width="8.25" style="160" bestFit="1" customWidth="1"/>
    <col min="528" max="528" width="11" style="160" bestFit="1" customWidth="1"/>
    <col min="529" max="529" width="8" style="160" bestFit="1" customWidth="1"/>
    <col min="530" max="530" width="7.75" style="160" bestFit="1" customWidth="1"/>
    <col min="531" max="532" width="9.625" style="160" bestFit="1" customWidth="1"/>
    <col min="533" max="534" width="9.625" style="160" customWidth="1"/>
    <col min="535" max="535" width="9.25" style="160" bestFit="1" customWidth="1"/>
    <col min="536" max="536" width="11" style="160" bestFit="1" customWidth="1"/>
    <col min="537" max="769" width="9" style="160"/>
    <col min="770" max="770" width="4.625" style="160" bestFit="1" customWidth="1"/>
    <col min="771" max="771" width="7.5" style="160" bestFit="1" customWidth="1"/>
    <col min="772" max="772" width="6.25" style="160" customWidth="1"/>
    <col min="773" max="773" width="11" style="160" bestFit="1" customWidth="1"/>
    <col min="774" max="775" width="9.625" style="160" bestFit="1" customWidth="1"/>
    <col min="776" max="776" width="8.25" style="160" bestFit="1" customWidth="1"/>
    <col min="777" max="778" width="9.625" style="160" bestFit="1" customWidth="1"/>
    <col min="779" max="779" width="8.25" style="160" bestFit="1" customWidth="1"/>
    <col min="780" max="781" width="9.625" style="160" bestFit="1" customWidth="1"/>
    <col min="782" max="783" width="8.25" style="160" bestFit="1" customWidth="1"/>
    <col min="784" max="784" width="11" style="160" bestFit="1" customWidth="1"/>
    <col min="785" max="785" width="8" style="160" bestFit="1" customWidth="1"/>
    <col min="786" max="786" width="7.75" style="160" bestFit="1" customWidth="1"/>
    <col min="787" max="788" width="9.625" style="160" bestFit="1" customWidth="1"/>
    <col min="789" max="790" width="9.625" style="160" customWidth="1"/>
    <col min="791" max="791" width="9.25" style="160" bestFit="1" customWidth="1"/>
    <col min="792" max="792" width="11" style="160" bestFit="1" customWidth="1"/>
    <col min="793" max="1025" width="9" style="160"/>
    <col min="1026" max="1026" width="4.625" style="160" bestFit="1" customWidth="1"/>
    <col min="1027" max="1027" width="7.5" style="160" bestFit="1" customWidth="1"/>
    <col min="1028" max="1028" width="6.25" style="160" customWidth="1"/>
    <col min="1029" max="1029" width="11" style="160" bestFit="1" customWidth="1"/>
    <col min="1030" max="1031" width="9.625" style="160" bestFit="1" customWidth="1"/>
    <col min="1032" max="1032" width="8.25" style="160" bestFit="1" customWidth="1"/>
    <col min="1033" max="1034" width="9.625" style="160" bestFit="1" customWidth="1"/>
    <col min="1035" max="1035" width="8.25" style="160" bestFit="1" customWidth="1"/>
    <col min="1036" max="1037" width="9.625" style="160" bestFit="1" customWidth="1"/>
    <col min="1038" max="1039" width="8.25" style="160" bestFit="1" customWidth="1"/>
    <col min="1040" max="1040" width="11" style="160" bestFit="1" customWidth="1"/>
    <col min="1041" max="1041" width="8" style="160" bestFit="1" customWidth="1"/>
    <col min="1042" max="1042" width="7.75" style="160" bestFit="1" customWidth="1"/>
    <col min="1043" max="1044" width="9.625" style="160" bestFit="1" customWidth="1"/>
    <col min="1045" max="1046" width="9.625" style="160" customWidth="1"/>
    <col min="1047" max="1047" width="9.25" style="160" bestFit="1" customWidth="1"/>
    <col min="1048" max="1048" width="11" style="160" bestFit="1" customWidth="1"/>
    <col min="1049" max="1281" width="9" style="160"/>
    <col min="1282" max="1282" width="4.625" style="160" bestFit="1" customWidth="1"/>
    <col min="1283" max="1283" width="7.5" style="160" bestFit="1" customWidth="1"/>
    <col min="1284" max="1284" width="6.25" style="160" customWidth="1"/>
    <col min="1285" max="1285" width="11" style="160" bestFit="1" customWidth="1"/>
    <col min="1286" max="1287" width="9.625" style="160" bestFit="1" customWidth="1"/>
    <col min="1288" max="1288" width="8.25" style="160" bestFit="1" customWidth="1"/>
    <col min="1289" max="1290" width="9.625" style="160" bestFit="1" customWidth="1"/>
    <col min="1291" max="1291" width="8.25" style="160" bestFit="1" customWidth="1"/>
    <col min="1292" max="1293" width="9.625" style="160" bestFit="1" customWidth="1"/>
    <col min="1294" max="1295" width="8.25" style="160" bestFit="1" customWidth="1"/>
    <col min="1296" max="1296" width="11" style="160" bestFit="1" customWidth="1"/>
    <col min="1297" max="1297" width="8" style="160" bestFit="1" customWidth="1"/>
    <col min="1298" max="1298" width="7.75" style="160" bestFit="1" customWidth="1"/>
    <col min="1299" max="1300" width="9.625" style="160" bestFit="1" customWidth="1"/>
    <col min="1301" max="1302" width="9.625" style="160" customWidth="1"/>
    <col min="1303" max="1303" width="9.25" style="160" bestFit="1" customWidth="1"/>
    <col min="1304" max="1304" width="11" style="160" bestFit="1" customWidth="1"/>
    <col min="1305" max="1537" width="9" style="160"/>
    <col min="1538" max="1538" width="4.625" style="160" bestFit="1" customWidth="1"/>
    <col min="1539" max="1539" width="7.5" style="160" bestFit="1" customWidth="1"/>
    <col min="1540" max="1540" width="6.25" style="160" customWidth="1"/>
    <col min="1541" max="1541" width="11" style="160" bestFit="1" customWidth="1"/>
    <col min="1542" max="1543" width="9.625" style="160" bestFit="1" customWidth="1"/>
    <col min="1544" max="1544" width="8.25" style="160" bestFit="1" customWidth="1"/>
    <col min="1545" max="1546" width="9.625" style="160" bestFit="1" customWidth="1"/>
    <col min="1547" max="1547" width="8.25" style="160" bestFit="1" customWidth="1"/>
    <col min="1548" max="1549" width="9.625" style="160" bestFit="1" customWidth="1"/>
    <col min="1550" max="1551" width="8.25" style="160" bestFit="1" customWidth="1"/>
    <col min="1552" max="1552" width="11" style="160" bestFit="1" customWidth="1"/>
    <col min="1553" max="1553" width="8" style="160" bestFit="1" customWidth="1"/>
    <col min="1554" max="1554" width="7.75" style="160" bestFit="1" customWidth="1"/>
    <col min="1555" max="1556" width="9.625" style="160" bestFit="1" customWidth="1"/>
    <col min="1557" max="1558" width="9.625" style="160" customWidth="1"/>
    <col min="1559" max="1559" width="9.25" style="160" bestFit="1" customWidth="1"/>
    <col min="1560" max="1560" width="11" style="160" bestFit="1" customWidth="1"/>
    <col min="1561" max="1793" width="9" style="160"/>
    <col min="1794" max="1794" width="4.625" style="160" bestFit="1" customWidth="1"/>
    <col min="1795" max="1795" width="7.5" style="160" bestFit="1" customWidth="1"/>
    <col min="1796" max="1796" width="6.25" style="160" customWidth="1"/>
    <col min="1797" max="1797" width="11" style="160" bestFit="1" customWidth="1"/>
    <col min="1798" max="1799" width="9.625" style="160" bestFit="1" customWidth="1"/>
    <col min="1800" max="1800" width="8.25" style="160" bestFit="1" customWidth="1"/>
    <col min="1801" max="1802" width="9.625" style="160" bestFit="1" customWidth="1"/>
    <col min="1803" max="1803" width="8.25" style="160" bestFit="1" customWidth="1"/>
    <col min="1804" max="1805" width="9.625" style="160" bestFit="1" customWidth="1"/>
    <col min="1806" max="1807" width="8.25" style="160" bestFit="1" customWidth="1"/>
    <col min="1808" max="1808" width="11" style="160" bestFit="1" customWidth="1"/>
    <col min="1809" max="1809" width="8" style="160" bestFit="1" customWidth="1"/>
    <col min="1810" max="1810" width="7.75" style="160" bestFit="1" customWidth="1"/>
    <col min="1811" max="1812" width="9.625" style="160" bestFit="1" customWidth="1"/>
    <col min="1813" max="1814" width="9.625" style="160" customWidth="1"/>
    <col min="1815" max="1815" width="9.25" style="160" bestFit="1" customWidth="1"/>
    <col min="1816" max="1816" width="11" style="160" bestFit="1" customWidth="1"/>
    <col min="1817" max="2049" width="9" style="160"/>
    <col min="2050" max="2050" width="4.625" style="160" bestFit="1" customWidth="1"/>
    <col min="2051" max="2051" width="7.5" style="160" bestFit="1" customWidth="1"/>
    <col min="2052" max="2052" width="6.25" style="160" customWidth="1"/>
    <col min="2053" max="2053" width="11" style="160" bestFit="1" customWidth="1"/>
    <col min="2054" max="2055" width="9.625" style="160" bestFit="1" customWidth="1"/>
    <col min="2056" max="2056" width="8.25" style="160" bestFit="1" customWidth="1"/>
    <col min="2057" max="2058" width="9.625" style="160" bestFit="1" customWidth="1"/>
    <col min="2059" max="2059" width="8.25" style="160" bestFit="1" customWidth="1"/>
    <col min="2060" max="2061" width="9.625" style="160" bestFit="1" customWidth="1"/>
    <col min="2062" max="2063" width="8.25" style="160" bestFit="1" customWidth="1"/>
    <col min="2064" max="2064" width="11" style="160" bestFit="1" customWidth="1"/>
    <col min="2065" max="2065" width="8" style="160" bestFit="1" customWidth="1"/>
    <col min="2066" max="2066" width="7.75" style="160" bestFit="1" customWidth="1"/>
    <col min="2067" max="2068" width="9.625" style="160" bestFit="1" customWidth="1"/>
    <col min="2069" max="2070" width="9.625" style="160" customWidth="1"/>
    <col min="2071" max="2071" width="9.25" style="160" bestFit="1" customWidth="1"/>
    <col min="2072" max="2072" width="11" style="160" bestFit="1" customWidth="1"/>
    <col min="2073" max="2305" width="9" style="160"/>
    <col min="2306" max="2306" width="4.625" style="160" bestFit="1" customWidth="1"/>
    <col min="2307" max="2307" width="7.5" style="160" bestFit="1" customWidth="1"/>
    <col min="2308" max="2308" width="6.25" style="160" customWidth="1"/>
    <col min="2309" max="2309" width="11" style="160" bestFit="1" customWidth="1"/>
    <col min="2310" max="2311" width="9.625" style="160" bestFit="1" customWidth="1"/>
    <col min="2312" max="2312" width="8.25" style="160" bestFit="1" customWidth="1"/>
    <col min="2313" max="2314" width="9.625" style="160" bestFit="1" customWidth="1"/>
    <col min="2315" max="2315" width="8.25" style="160" bestFit="1" customWidth="1"/>
    <col min="2316" max="2317" width="9.625" style="160" bestFit="1" customWidth="1"/>
    <col min="2318" max="2319" width="8.25" style="160" bestFit="1" customWidth="1"/>
    <col min="2320" max="2320" width="11" style="160" bestFit="1" customWidth="1"/>
    <col min="2321" max="2321" width="8" style="160" bestFit="1" customWidth="1"/>
    <col min="2322" max="2322" width="7.75" style="160" bestFit="1" customWidth="1"/>
    <col min="2323" max="2324" width="9.625" style="160" bestFit="1" customWidth="1"/>
    <col min="2325" max="2326" width="9.625" style="160" customWidth="1"/>
    <col min="2327" max="2327" width="9.25" style="160" bestFit="1" customWidth="1"/>
    <col min="2328" max="2328" width="11" style="160" bestFit="1" customWidth="1"/>
    <col min="2329" max="2561" width="9" style="160"/>
    <col min="2562" max="2562" width="4.625" style="160" bestFit="1" customWidth="1"/>
    <col min="2563" max="2563" width="7.5" style="160" bestFit="1" customWidth="1"/>
    <col min="2564" max="2564" width="6.25" style="160" customWidth="1"/>
    <col min="2565" max="2565" width="11" style="160" bestFit="1" customWidth="1"/>
    <col min="2566" max="2567" width="9.625" style="160" bestFit="1" customWidth="1"/>
    <col min="2568" max="2568" width="8.25" style="160" bestFit="1" customWidth="1"/>
    <col min="2569" max="2570" width="9.625" style="160" bestFit="1" customWidth="1"/>
    <col min="2571" max="2571" width="8.25" style="160" bestFit="1" customWidth="1"/>
    <col min="2572" max="2573" width="9.625" style="160" bestFit="1" customWidth="1"/>
    <col min="2574" max="2575" width="8.25" style="160" bestFit="1" customWidth="1"/>
    <col min="2576" max="2576" width="11" style="160" bestFit="1" customWidth="1"/>
    <col min="2577" max="2577" width="8" style="160" bestFit="1" customWidth="1"/>
    <col min="2578" max="2578" width="7.75" style="160" bestFit="1" customWidth="1"/>
    <col min="2579" max="2580" width="9.625" style="160" bestFit="1" customWidth="1"/>
    <col min="2581" max="2582" width="9.625" style="160" customWidth="1"/>
    <col min="2583" max="2583" width="9.25" style="160" bestFit="1" customWidth="1"/>
    <col min="2584" max="2584" width="11" style="160" bestFit="1" customWidth="1"/>
    <col min="2585" max="2817" width="9" style="160"/>
    <col min="2818" max="2818" width="4.625" style="160" bestFit="1" customWidth="1"/>
    <col min="2819" max="2819" width="7.5" style="160" bestFit="1" customWidth="1"/>
    <col min="2820" max="2820" width="6.25" style="160" customWidth="1"/>
    <col min="2821" max="2821" width="11" style="160" bestFit="1" customWidth="1"/>
    <col min="2822" max="2823" width="9.625" style="160" bestFit="1" customWidth="1"/>
    <col min="2824" max="2824" width="8.25" style="160" bestFit="1" customWidth="1"/>
    <col min="2825" max="2826" width="9.625" style="160" bestFit="1" customWidth="1"/>
    <col min="2827" max="2827" width="8.25" style="160" bestFit="1" customWidth="1"/>
    <col min="2828" max="2829" width="9.625" style="160" bestFit="1" customWidth="1"/>
    <col min="2830" max="2831" width="8.25" style="160" bestFit="1" customWidth="1"/>
    <col min="2832" max="2832" width="11" style="160" bestFit="1" customWidth="1"/>
    <col min="2833" max="2833" width="8" style="160" bestFit="1" customWidth="1"/>
    <col min="2834" max="2834" width="7.75" style="160" bestFit="1" customWidth="1"/>
    <col min="2835" max="2836" width="9.625" style="160" bestFit="1" customWidth="1"/>
    <col min="2837" max="2838" width="9.625" style="160" customWidth="1"/>
    <col min="2839" max="2839" width="9.25" style="160" bestFit="1" customWidth="1"/>
    <col min="2840" max="2840" width="11" style="160" bestFit="1" customWidth="1"/>
    <col min="2841" max="3073" width="9" style="160"/>
    <col min="3074" max="3074" width="4.625" style="160" bestFit="1" customWidth="1"/>
    <col min="3075" max="3075" width="7.5" style="160" bestFit="1" customWidth="1"/>
    <col min="3076" max="3076" width="6.25" style="160" customWidth="1"/>
    <col min="3077" max="3077" width="11" style="160" bestFit="1" customWidth="1"/>
    <col min="3078" max="3079" width="9.625" style="160" bestFit="1" customWidth="1"/>
    <col min="3080" max="3080" width="8.25" style="160" bestFit="1" customWidth="1"/>
    <col min="3081" max="3082" width="9.625" style="160" bestFit="1" customWidth="1"/>
    <col min="3083" max="3083" width="8.25" style="160" bestFit="1" customWidth="1"/>
    <col min="3084" max="3085" width="9.625" style="160" bestFit="1" customWidth="1"/>
    <col min="3086" max="3087" width="8.25" style="160" bestFit="1" customWidth="1"/>
    <col min="3088" max="3088" width="11" style="160" bestFit="1" customWidth="1"/>
    <col min="3089" max="3089" width="8" style="160" bestFit="1" customWidth="1"/>
    <col min="3090" max="3090" width="7.75" style="160" bestFit="1" customWidth="1"/>
    <col min="3091" max="3092" width="9.625" style="160" bestFit="1" customWidth="1"/>
    <col min="3093" max="3094" width="9.625" style="160" customWidth="1"/>
    <col min="3095" max="3095" width="9.25" style="160" bestFit="1" customWidth="1"/>
    <col min="3096" max="3096" width="11" style="160" bestFit="1" customWidth="1"/>
    <col min="3097" max="3329" width="9" style="160"/>
    <col min="3330" max="3330" width="4.625" style="160" bestFit="1" customWidth="1"/>
    <col min="3331" max="3331" width="7.5" style="160" bestFit="1" customWidth="1"/>
    <col min="3332" max="3332" width="6.25" style="160" customWidth="1"/>
    <col min="3333" max="3333" width="11" style="160" bestFit="1" customWidth="1"/>
    <col min="3334" max="3335" width="9.625" style="160" bestFit="1" customWidth="1"/>
    <col min="3336" max="3336" width="8.25" style="160" bestFit="1" customWidth="1"/>
    <col min="3337" max="3338" width="9.625" style="160" bestFit="1" customWidth="1"/>
    <col min="3339" max="3339" width="8.25" style="160" bestFit="1" customWidth="1"/>
    <col min="3340" max="3341" width="9.625" style="160" bestFit="1" customWidth="1"/>
    <col min="3342" max="3343" width="8.25" style="160" bestFit="1" customWidth="1"/>
    <col min="3344" max="3344" width="11" style="160" bestFit="1" customWidth="1"/>
    <col min="3345" max="3345" width="8" style="160" bestFit="1" customWidth="1"/>
    <col min="3346" max="3346" width="7.75" style="160" bestFit="1" customWidth="1"/>
    <col min="3347" max="3348" width="9.625" style="160" bestFit="1" customWidth="1"/>
    <col min="3349" max="3350" width="9.625" style="160" customWidth="1"/>
    <col min="3351" max="3351" width="9.25" style="160" bestFit="1" customWidth="1"/>
    <col min="3352" max="3352" width="11" style="160" bestFit="1" customWidth="1"/>
    <col min="3353" max="3585" width="9" style="160"/>
    <col min="3586" max="3586" width="4.625" style="160" bestFit="1" customWidth="1"/>
    <col min="3587" max="3587" width="7.5" style="160" bestFit="1" customWidth="1"/>
    <col min="3588" max="3588" width="6.25" style="160" customWidth="1"/>
    <col min="3589" max="3589" width="11" style="160" bestFit="1" customWidth="1"/>
    <col min="3590" max="3591" width="9.625" style="160" bestFit="1" customWidth="1"/>
    <col min="3592" max="3592" width="8.25" style="160" bestFit="1" customWidth="1"/>
    <col min="3593" max="3594" width="9.625" style="160" bestFit="1" customWidth="1"/>
    <col min="3595" max="3595" width="8.25" style="160" bestFit="1" customWidth="1"/>
    <col min="3596" max="3597" width="9.625" style="160" bestFit="1" customWidth="1"/>
    <col min="3598" max="3599" width="8.25" style="160" bestFit="1" customWidth="1"/>
    <col min="3600" max="3600" width="11" style="160" bestFit="1" customWidth="1"/>
    <col min="3601" max="3601" width="8" style="160" bestFit="1" customWidth="1"/>
    <col min="3602" max="3602" width="7.75" style="160" bestFit="1" customWidth="1"/>
    <col min="3603" max="3604" width="9.625" style="160" bestFit="1" customWidth="1"/>
    <col min="3605" max="3606" width="9.625" style="160" customWidth="1"/>
    <col min="3607" max="3607" width="9.25" style="160" bestFit="1" customWidth="1"/>
    <col min="3608" max="3608" width="11" style="160" bestFit="1" customWidth="1"/>
    <col min="3609" max="3841" width="9" style="160"/>
    <col min="3842" max="3842" width="4.625" style="160" bestFit="1" customWidth="1"/>
    <col min="3843" max="3843" width="7.5" style="160" bestFit="1" customWidth="1"/>
    <col min="3844" max="3844" width="6.25" style="160" customWidth="1"/>
    <col min="3845" max="3845" width="11" style="160" bestFit="1" customWidth="1"/>
    <col min="3846" max="3847" width="9.625" style="160" bestFit="1" customWidth="1"/>
    <col min="3848" max="3848" width="8.25" style="160" bestFit="1" customWidth="1"/>
    <col min="3849" max="3850" width="9.625" style="160" bestFit="1" customWidth="1"/>
    <col min="3851" max="3851" width="8.25" style="160" bestFit="1" customWidth="1"/>
    <col min="3852" max="3853" width="9.625" style="160" bestFit="1" customWidth="1"/>
    <col min="3854" max="3855" width="8.25" style="160" bestFit="1" customWidth="1"/>
    <col min="3856" max="3856" width="11" style="160" bestFit="1" customWidth="1"/>
    <col min="3857" max="3857" width="8" style="160" bestFit="1" customWidth="1"/>
    <col min="3858" max="3858" width="7.75" style="160" bestFit="1" customWidth="1"/>
    <col min="3859" max="3860" width="9.625" style="160" bestFit="1" customWidth="1"/>
    <col min="3861" max="3862" width="9.625" style="160" customWidth="1"/>
    <col min="3863" max="3863" width="9.25" style="160" bestFit="1" customWidth="1"/>
    <col min="3864" max="3864" width="11" style="160" bestFit="1" customWidth="1"/>
    <col min="3865" max="4097" width="9" style="160"/>
    <col min="4098" max="4098" width="4.625" style="160" bestFit="1" customWidth="1"/>
    <col min="4099" max="4099" width="7.5" style="160" bestFit="1" customWidth="1"/>
    <col min="4100" max="4100" width="6.25" style="160" customWidth="1"/>
    <col min="4101" max="4101" width="11" style="160" bestFit="1" customWidth="1"/>
    <col min="4102" max="4103" width="9.625" style="160" bestFit="1" customWidth="1"/>
    <col min="4104" max="4104" width="8.25" style="160" bestFit="1" customWidth="1"/>
    <col min="4105" max="4106" width="9.625" style="160" bestFit="1" customWidth="1"/>
    <col min="4107" max="4107" width="8.25" style="160" bestFit="1" customWidth="1"/>
    <col min="4108" max="4109" width="9.625" style="160" bestFit="1" customWidth="1"/>
    <col min="4110" max="4111" width="8.25" style="160" bestFit="1" customWidth="1"/>
    <col min="4112" max="4112" width="11" style="160" bestFit="1" customWidth="1"/>
    <col min="4113" max="4113" width="8" style="160" bestFit="1" customWidth="1"/>
    <col min="4114" max="4114" width="7.75" style="160" bestFit="1" customWidth="1"/>
    <col min="4115" max="4116" width="9.625" style="160" bestFit="1" customWidth="1"/>
    <col min="4117" max="4118" width="9.625" style="160" customWidth="1"/>
    <col min="4119" max="4119" width="9.25" style="160" bestFit="1" customWidth="1"/>
    <col min="4120" max="4120" width="11" style="160" bestFit="1" customWidth="1"/>
    <col min="4121" max="4353" width="9" style="160"/>
    <col min="4354" max="4354" width="4.625" style="160" bestFit="1" customWidth="1"/>
    <col min="4355" max="4355" width="7.5" style="160" bestFit="1" customWidth="1"/>
    <col min="4356" max="4356" width="6.25" style="160" customWidth="1"/>
    <col min="4357" max="4357" width="11" style="160" bestFit="1" customWidth="1"/>
    <col min="4358" max="4359" width="9.625" style="160" bestFit="1" customWidth="1"/>
    <col min="4360" max="4360" width="8.25" style="160" bestFit="1" customWidth="1"/>
    <col min="4361" max="4362" width="9.625" style="160" bestFit="1" customWidth="1"/>
    <col min="4363" max="4363" width="8.25" style="160" bestFit="1" customWidth="1"/>
    <col min="4364" max="4365" width="9.625" style="160" bestFit="1" customWidth="1"/>
    <col min="4366" max="4367" width="8.25" style="160" bestFit="1" customWidth="1"/>
    <col min="4368" max="4368" width="11" style="160" bestFit="1" customWidth="1"/>
    <col min="4369" max="4369" width="8" style="160" bestFit="1" customWidth="1"/>
    <col min="4370" max="4370" width="7.75" style="160" bestFit="1" customWidth="1"/>
    <col min="4371" max="4372" width="9.625" style="160" bestFit="1" customWidth="1"/>
    <col min="4373" max="4374" width="9.625" style="160" customWidth="1"/>
    <col min="4375" max="4375" width="9.25" style="160" bestFit="1" customWidth="1"/>
    <col min="4376" max="4376" width="11" style="160" bestFit="1" customWidth="1"/>
    <col min="4377" max="4609" width="9" style="160"/>
    <col min="4610" max="4610" width="4.625" style="160" bestFit="1" customWidth="1"/>
    <col min="4611" max="4611" width="7.5" style="160" bestFit="1" customWidth="1"/>
    <col min="4612" max="4612" width="6.25" style="160" customWidth="1"/>
    <col min="4613" max="4613" width="11" style="160" bestFit="1" customWidth="1"/>
    <col min="4614" max="4615" width="9.625" style="160" bestFit="1" customWidth="1"/>
    <col min="4616" max="4616" width="8.25" style="160" bestFit="1" customWidth="1"/>
    <col min="4617" max="4618" width="9.625" style="160" bestFit="1" customWidth="1"/>
    <col min="4619" max="4619" width="8.25" style="160" bestFit="1" customWidth="1"/>
    <col min="4620" max="4621" width="9.625" style="160" bestFit="1" customWidth="1"/>
    <col min="4622" max="4623" width="8.25" style="160" bestFit="1" customWidth="1"/>
    <col min="4624" max="4624" width="11" style="160" bestFit="1" customWidth="1"/>
    <col min="4625" max="4625" width="8" style="160" bestFit="1" customWidth="1"/>
    <col min="4626" max="4626" width="7.75" style="160" bestFit="1" customWidth="1"/>
    <col min="4627" max="4628" width="9.625" style="160" bestFit="1" customWidth="1"/>
    <col min="4629" max="4630" width="9.625" style="160" customWidth="1"/>
    <col min="4631" max="4631" width="9.25" style="160" bestFit="1" customWidth="1"/>
    <col min="4632" max="4632" width="11" style="160" bestFit="1" customWidth="1"/>
    <col min="4633" max="4865" width="9" style="160"/>
    <col min="4866" max="4866" width="4.625" style="160" bestFit="1" customWidth="1"/>
    <col min="4867" max="4867" width="7.5" style="160" bestFit="1" customWidth="1"/>
    <col min="4868" max="4868" width="6.25" style="160" customWidth="1"/>
    <col min="4869" max="4869" width="11" style="160" bestFit="1" customWidth="1"/>
    <col min="4870" max="4871" width="9.625" style="160" bestFit="1" customWidth="1"/>
    <col min="4872" max="4872" width="8.25" style="160" bestFit="1" customWidth="1"/>
    <col min="4873" max="4874" width="9.625" style="160" bestFit="1" customWidth="1"/>
    <col min="4875" max="4875" width="8.25" style="160" bestFit="1" customWidth="1"/>
    <col min="4876" max="4877" width="9.625" style="160" bestFit="1" customWidth="1"/>
    <col min="4878" max="4879" width="8.25" style="160" bestFit="1" customWidth="1"/>
    <col min="4880" max="4880" width="11" style="160" bestFit="1" customWidth="1"/>
    <col min="4881" max="4881" width="8" style="160" bestFit="1" customWidth="1"/>
    <col min="4882" max="4882" width="7.75" style="160" bestFit="1" customWidth="1"/>
    <col min="4883" max="4884" width="9.625" style="160" bestFit="1" customWidth="1"/>
    <col min="4885" max="4886" width="9.625" style="160" customWidth="1"/>
    <col min="4887" max="4887" width="9.25" style="160" bestFit="1" customWidth="1"/>
    <col min="4888" max="4888" width="11" style="160" bestFit="1" customWidth="1"/>
    <col min="4889" max="5121" width="9" style="160"/>
    <col min="5122" max="5122" width="4.625" style="160" bestFit="1" customWidth="1"/>
    <col min="5123" max="5123" width="7.5" style="160" bestFit="1" customWidth="1"/>
    <col min="5124" max="5124" width="6.25" style="160" customWidth="1"/>
    <col min="5125" max="5125" width="11" style="160" bestFit="1" customWidth="1"/>
    <col min="5126" max="5127" width="9.625" style="160" bestFit="1" customWidth="1"/>
    <col min="5128" max="5128" width="8.25" style="160" bestFit="1" customWidth="1"/>
    <col min="5129" max="5130" width="9.625" style="160" bestFit="1" customWidth="1"/>
    <col min="5131" max="5131" width="8.25" style="160" bestFit="1" customWidth="1"/>
    <col min="5132" max="5133" width="9.625" style="160" bestFit="1" customWidth="1"/>
    <col min="5134" max="5135" width="8.25" style="160" bestFit="1" customWidth="1"/>
    <col min="5136" max="5136" width="11" style="160" bestFit="1" customWidth="1"/>
    <col min="5137" max="5137" width="8" style="160" bestFit="1" customWidth="1"/>
    <col min="5138" max="5138" width="7.75" style="160" bestFit="1" customWidth="1"/>
    <col min="5139" max="5140" width="9.625" style="160" bestFit="1" customWidth="1"/>
    <col min="5141" max="5142" width="9.625" style="160" customWidth="1"/>
    <col min="5143" max="5143" width="9.25" style="160" bestFit="1" customWidth="1"/>
    <col min="5144" max="5144" width="11" style="160" bestFit="1" customWidth="1"/>
    <col min="5145" max="5377" width="9" style="160"/>
    <col min="5378" max="5378" width="4.625" style="160" bestFit="1" customWidth="1"/>
    <col min="5379" max="5379" width="7.5" style="160" bestFit="1" customWidth="1"/>
    <col min="5380" max="5380" width="6.25" style="160" customWidth="1"/>
    <col min="5381" max="5381" width="11" style="160" bestFit="1" customWidth="1"/>
    <col min="5382" max="5383" width="9.625" style="160" bestFit="1" customWidth="1"/>
    <col min="5384" max="5384" width="8.25" style="160" bestFit="1" customWidth="1"/>
    <col min="5385" max="5386" width="9.625" style="160" bestFit="1" customWidth="1"/>
    <col min="5387" max="5387" width="8.25" style="160" bestFit="1" customWidth="1"/>
    <col min="5388" max="5389" width="9.625" style="160" bestFit="1" customWidth="1"/>
    <col min="5390" max="5391" width="8.25" style="160" bestFit="1" customWidth="1"/>
    <col min="5392" max="5392" width="11" style="160" bestFit="1" customWidth="1"/>
    <col min="5393" max="5393" width="8" style="160" bestFit="1" customWidth="1"/>
    <col min="5394" max="5394" width="7.75" style="160" bestFit="1" customWidth="1"/>
    <col min="5395" max="5396" width="9.625" style="160" bestFit="1" customWidth="1"/>
    <col min="5397" max="5398" width="9.625" style="160" customWidth="1"/>
    <col min="5399" max="5399" width="9.25" style="160" bestFit="1" customWidth="1"/>
    <col min="5400" max="5400" width="11" style="160" bestFit="1" customWidth="1"/>
    <col min="5401" max="5633" width="9" style="160"/>
    <col min="5634" max="5634" width="4.625" style="160" bestFit="1" customWidth="1"/>
    <col min="5635" max="5635" width="7.5" style="160" bestFit="1" customWidth="1"/>
    <col min="5636" max="5636" width="6.25" style="160" customWidth="1"/>
    <col min="5637" max="5637" width="11" style="160" bestFit="1" customWidth="1"/>
    <col min="5638" max="5639" width="9.625" style="160" bestFit="1" customWidth="1"/>
    <col min="5640" max="5640" width="8.25" style="160" bestFit="1" customWidth="1"/>
    <col min="5641" max="5642" width="9.625" style="160" bestFit="1" customWidth="1"/>
    <col min="5643" max="5643" width="8.25" style="160" bestFit="1" customWidth="1"/>
    <col min="5644" max="5645" width="9.625" style="160" bestFit="1" customWidth="1"/>
    <col min="5646" max="5647" width="8.25" style="160" bestFit="1" customWidth="1"/>
    <col min="5648" max="5648" width="11" style="160" bestFit="1" customWidth="1"/>
    <col min="5649" max="5649" width="8" style="160" bestFit="1" customWidth="1"/>
    <col min="5650" max="5650" width="7.75" style="160" bestFit="1" customWidth="1"/>
    <col min="5651" max="5652" width="9.625" style="160" bestFit="1" customWidth="1"/>
    <col min="5653" max="5654" width="9.625" style="160" customWidth="1"/>
    <col min="5655" max="5655" width="9.25" style="160" bestFit="1" customWidth="1"/>
    <col min="5656" max="5656" width="11" style="160" bestFit="1" customWidth="1"/>
    <col min="5657" max="5889" width="9" style="160"/>
    <col min="5890" max="5890" width="4.625" style="160" bestFit="1" customWidth="1"/>
    <col min="5891" max="5891" width="7.5" style="160" bestFit="1" customWidth="1"/>
    <col min="5892" max="5892" width="6.25" style="160" customWidth="1"/>
    <col min="5893" max="5893" width="11" style="160" bestFit="1" customWidth="1"/>
    <col min="5894" max="5895" width="9.625" style="160" bestFit="1" customWidth="1"/>
    <col min="5896" max="5896" width="8.25" style="160" bestFit="1" customWidth="1"/>
    <col min="5897" max="5898" width="9.625" style="160" bestFit="1" customWidth="1"/>
    <col min="5899" max="5899" width="8.25" style="160" bestFit="1" customWidth="1"/>
    <col min="5900" max="5901" width="9.625" style="160" bestFit="1" customWidth="1"/>
    <col min="5902" max="5903" width="8.25" style="160" bestFit="1" customWidth="1"/>
    <col min="5904" max="5904" width="11" style="160" bestFit="1" customWidth="1"/>
    <col min="5905" max="5905" width="8" style="160" bestFit="1" customWidth="1"/>
    <col min="5906" max="5906" width="7.75" style="160" bestFit="1" customWidth="1"/>
    <col min="5907" max="5908" width="9.625" style="160" bestFit="1" customWidth="1"/>
    <col min="5909" max="5910" width="9.625" style="160" customWidth="1"/>
    <col min="5911" max="5911" width="9.25" style="160" bestFit="1" customWidth="1"/>
    <col min="5912" max="5912" width="11" style="160" bestFit="1" customWidth="1"/>
    <col min="5913" max="6145" width="9" style="160"/>
    <col min="6146" max="6146" width="4.625" style="160" bestFit="1" customWidth="1"/>
    <col min="6147" max="6147" width="7.5" style="160" bestFit="1" customWidth="1"/>
    <col min="6148" max="6148" width="6.25" style="160" customWidth="1"/>
    <col min="6149" max="6149" width="11" style="160" bestFit="1" customWidth="1"/>
    <col min="6150" max="6151" width="9.625" style="160" bestFit="1" customWidth="1"/>
    <col min="6152" max="6152" width="8.25" style="160" bestFit="1" customWidth="1"/>
    <col min="6153" max="6154" width="9.625" style="160" bestFit="1" customWidth="1"/>
    <col min="6155" max="6155" width="8.25" style="160" bestFit="1" customWidth="1"/>
    <col min="6156" max="6157" width="9.625" style="160" bestFit="1" customWidth="1"/>
    <col min="6158" max="6159" width="8.25" style="160" bestFit="1" customWidth="1"/>
    <col min="6160" max="6160" width="11" style="160" bestFit="1" customWidth="1"/>
    <col min="6161" max="6161" width="8" style="160" bestFit="1" customWidth="1"/>
    <col min="6162" max="6162" width="7.75" style="160" bestFit="1" customWidth="1"/>
    <col min="6163" max="6164" width="9.625" style="160" bestFit="1" customWidth="1"/>
    <col min="6165" max="6166" width="9.625" style="160" customWidth="1"/>
    <col min="6167" max="6167" width="9.25" style="160" bestFit="1" customWidth="1"/>
    <col min="6168" max="6168" width="11" style="160" bestFit="1" customWidth="1"/>
    <col min="6169" max="6401" width="9" style="160"/>
    <col min="6402" max="6402" width="4.625" style="160" bestFit="1" customWidth="1"/>
    <col min="6403" max="6403" width="7.5" style="160" bestFit="1" customWidth="1"/>
    <col min="6404" max="6404" width="6.25" style="160" customWidth="1"/>
    <col min="6405" max="6405" width="11" style="160" bestFit="1" customWidth="1"/>
    <col min="6406" max="6407" width="9.625" style="160" bestFit="1" customWidth="1"/>
    <col min="6408" max="6408" width="8.25" style="160" bestFit="1" customWidth="1"/>
    <col min="6409" max="6410" width="9.625" style="160" bestFit="1" customWidth="1"/>
    <col min="6411" max="6411" width="8.25" style="160" bestFit="1" customWidth="1"/>
    <col min="6412" max="6413" width="9.625" style="160" bestFit="1" customWidth="1"/>
    <col min="6414" max="6415" width="8.25" style="160" bestFit="1" customWidth="1"/>
    <col min="6416" max="6416" width="11" style="160" bestFit="1" customWidth="1"/>
    <col min="6417" max="6417" width="8" style="160" bestFit="1" customWidth="1"/>
    <col min="6418" max="6418" width="7.75" style="160" bestFit="1" customWidth="1"/>
    <col min="6419" max="6420" width="9.625" style="160" bestFit="1" customWidth="1"/>
    <col min="6421" max="6422" width="9.625" style="160" customWidth="1"/>
    <col min="6423" max="6423" width="9.25" style="160" bestFit="1" customWidth="1"/>
    <col min="6424" max="6424" width="11" style="160" bestFit="1" customWidth="1"/>
    <col min="6425" max="6657" width="9" style="160"/>
    <col min="6658" max="6658" width="4.625" style="160" bestFit="1" customWidth="1"/>
    <col min="6659" max="6659" width="7.5" style="160" bestFit="1" customWidth="1"/>
    <col min="6660" max="6660" width="6.25" style="160" customWidth="1"/>
    <col min="6661" max="6661" width="11" style="160" bestFit="1" customWidth="1"/>
    <col min="6662" max="6663" width="9.625" style="160" bestFit="1" customWidth="1"/>
    <col min="6664" max="6664" width="8.25" style="160" bestFit="1" customWidth="1"/>
    <col min="6665" max="6666" width="9.625" style="160" bestFit="1" customWidth="1"/>
    <col min="6667" max="6667" width="8.25" style="160" bestFit="1" customWidth="1"/>
    <col min="6668" max="6669" width="9.625" style="160" bestFit="1" customWidth="1"/>
    <col min="6670" max="6671" width="8.25" style="160" bestFit="1" customWidth="1"/>
    <col min="6672" max="6672" width="11" style="160" bestFit="1" customWidth="1"/>
    <col min="6673" max="6673" width="8" style="160" bestFit="1" customWidth="1"/>
    <col min="6674" max="6674" width="7.75" style="160" bestFit="1" customWidth="1"/>
    <col min="6675" max="6676" width="9.625" style="160" bestFit="1" customWidth="1"/>
    <col min="6677" max="6678" width="9.625" style="160" customWidth="1"/>
    <col min="6679" max="6679" width="9.25" style="160" bestFit="1" customWidth="1"/>
    <col min="6680" max="6680" width="11" style="160" bestFit="1" customWidth="1"/>
    <col min="6681" max="6913" width="9" style="160"/>
    <col min="6914" max="6914" width="4.625" style="160" bestFit="1" customWidth="1"/>
    <col min="6915" max="6915" width="7.5" style="160" bestFit="1" customWidth="1"/>
    <col min="6916" max="6916" width="6.25" style="160" customWidth="1"/>
    <col min="6917" max="6917" width="11" style="160" bestFit="1" customWidth="1"/>
    <col min="6918" max="6919" width="9.625" style="160" bestFit="1" customWidth="1"/>
    <col min="6920" max="6920" width="8.25" style="160" bestFit="1" customWidth="1"/>
    <col min="6921" max="6922" width="9.625" style="160" bestFit="1" customWidth="1"/>
    <col min="6923" max="6923" width="8.25" style="160" bestFit="1" customWidth="1"/>
    <col min="6924" max="6925" width="9.625" style="160" bestFit="1" customWidth="1"/>
    <col min="6926" max="6927" width="8.25" style="160" bestFit="1" customWidth="1"/>
    <col min="6928" max="6928" width="11" style="160" bestFit="1" customWidth="1"/>
    <col min="6929" max="6929" width="8" style="160" bestFit="1" customWidth="1"/>
    <col min="6930" max="6930" width="7.75" style="160" bestFit="1" customWidth="1"/>
    <col min="6931" max="6932" width="9.625" style="160" bestFit="1" customWidth="1"/>
    <col min="6933" max="6934" width="9.625" style="160" customWidth="1"/>
    <col min="6935" max="6935" width="9.25" style="160" bestFit="1" customWidth="1"/>
    <col min="6936" max="6936" width="11" style="160" bestFit="1" customWidth="1"/>
    <col min="6937" max="7169" width="9" style="160"/>
    <col min="7170" max="7170" width="4.625" style="160" bestFit="1" customWidth="1"/>
    <col min="7171" max="7171" width="7.5" style="160" bestFit="1" customWidth="1"/>
    <col min="7172" max="7172" width="6.25" style="160" customWidth="1"/>
    <col min="7173" max="7173" width="11" style="160" bestFit="1" customWidth="1"/>
    <col min="7174" max="7175" width="9.625" style="160" bestFit="1" customWidth="1"/>
    <col min="7176" max="7176" width="8.25" style="160" bestFit="1" customWidth="1"/>
    <col min="7177" max="7178" width="9.625" style="160" bestFit="1" customWidth="1"/>
    <col min="7179" max="7179" width="8.25" style="160" bestFit="1" customWidth="1"/>
    <col min="7180" max="7181" width="9.625" style="160" bestFit="1" customWidth="1"/>
    <col min="7182" max="7183" width="8.25" style="160" bestFit="1" customWidth="1"/>
    <col min="7184" max="7184" width="11" style="160" bestFit="1" customWidth="1"/>
    <col min="7185" max="7185" width="8" style="160" bestFit="1" customWidth="1"/>
    <col min="7186" max="7186" width="7.75" style="160" bestFit="1" customWidth="1"/>
    <col min="7187" max="7188" width="9.625" style="160" bestFit="1" customWidth="1"/>
    <col min="7189" max="7190" width="9.625" style="160" customWidth="1"/>
    <col min="7191" max="7191" width="9.25" style="160" bestFit="1" customWidth="1"/>
    <col min="7192" max="7192" width="11" style="160" bestFit="1" customWidth="1"/>
    <col min="7193" max="7425" width="9" style="160"/>
    <col min="7426" max="7426" width="4.625" style="160" bestFit="1" customWidth="1"/>
    <col min="7427" max="7427" width="7.5" style="160" bestFit="1" customWidth="1"/>
    <col min="7428" max="7428" width="6.25" style="160" customWidth="1"/>
    <col min="7429" max="7429" width="11" style="160" bestFit="1" customWidth="1"/>
    <col min="7430" max="7431" width="9.625" style="160" bestFit="1" customWidth="1"/>
    <col min="7432" max="7432" width="8.25" style="160" bestFit="1" customWidth="1"/>
    <col min="7433" max="7434" width="9.625" style="160" bestFit="1" customWidth="1"/>
    <col min="7435" max="7435" width="8.25" style="160" bestFit="1" customWidth="1"/>
    <col min="7436" max="7437" width="9.625" style="160" bestFit="1" customWidth="1"/>
    <col min="7438" max="7439" width="8.25" style="160" bestFit="1" customWidth="1"/>
    <col min="7440" max="7440" width="11" style="160" bestFit="1" customWidth="1"/>
    <col min="7441" max="7441" width="8" style="160" bestFit="1" customWidth="1"/>
    <col min="7442" max="7442" width="7.75" style="160" bestFit="1" customWidth="1"/>
    <col min="7443" max="7444" width="9.625" style="160" bestFit="1" customWidth="1"/>
    <col min="7445" max="7446" width="9.625" style="160" customWidth="1"/>
    <col min="7447" max="7447" width="9.25" style="160" bestFit="1" customWidth="1"/>
    <col min="7448" max="7448" width="11" style="160" bestFit="1" customWidth="1"/>
    <col min="7449" max="7681" width="9" style="160"/>
    <col min="7682" max="7682" width="4.625" style="160" bestFit="1" customWidth="1"/>
    <col min="7683" max="7683" width="7.5" style="160" bestFit="1" customWidth="1"/>
    <col min="7684" max="7684" width="6.25" style="160" customWidth="1"/>
    <col min="7685" max="7685" width="11" style="160" bestFit="1" customWidth="1"/>
    <col min="7686" max="7687" width="9.625" style="160" bestFit="1" customWidth="1"/>
    <col min="7688" max="7688" width="8.25" style="160" bestFit="1" customWidth="1"/>
    <col min="7689" max="7690" width="9.625" style="160" bestFit="1" customWidth="1"/>
    <col min="7691" max="7691" width="8.25" style="160" bestFit="1" customWidth="1"/>
    <col min="7692" max="7693" width="9.625" style="160" bestFit="1" customWidth="1"/>
    <col min="7694" max="7695" width="8.25" style="160" bestFit="1" customWidth="1"/>
    <col min="7696" max="7696" width="11" style="160" bestFit="1" customWidth="1"/>
    <col min="7697" max="7697" width="8" style="160" bestFit="1" customWidth="1"/>
    <col min="7698" max="7698" width="7.75" style="160" bestFit="1" customWidth="1"/>
    <col min="7699" max="7700" width="9.625" style="160" bestFit="1" customWidth="1"/>
    <col min="7701" max="7702" width="9.625" style="160" customWidth="1"/>
    <col min="7703" max="7703" width="9.25" style="160" bestFit="1" customWidth="1"/>
    <col min="7704" max="7704" width="11" style="160" bestFit="1" customWidth="1"/>
    <col min="7705" max="7937" width="9" style="160"/>
    <col min="7938" max="7938" width="4.625" style="160" bestFit="1" customWidth="1"/>
    <col min="7939" max="7939" width="7.5" style="160" bestFit="1" customWidth="1"/>
    <col min="7940" max="7940" width="6.25" style="160" customWidth="1"/>
    <col min="7941" max="7941" width="11" style="160" bestFit="1" customWidth="1"/>
    <col min="7942" max="7943" width="9.625" style="160" bestFit="1" customWidth="1"/>
    <col min="7944" max="7944" width="8.25" style="160" bestFit="1" customWidth="1"/>
    <col min="7945" max="7946" width="9.625" style="160" bestFit="1" customWidth="1"/>
    <col min="7947" max="7947" width="8.25" style="160" bestFit="1" customWidth="1"/>
    <col min="7948" max="7949" width="9.625" style="160" bestFit="1" customWidth="1"/>
    <col min="7950" max="7951" width="8.25" style="160" bestFit="1" customWidth="1"/>
    <col min="7952" max="7952" width="11" style="160" bestFit="1" customWidth="1"/>
    <col min="7953" max="7953" width="8" style="160" bestFit="1" customWidth="1"/>
    <col min="7954" max="7954" width="7.75" style="160" bestFit="1" customWidth="1"/>
    <col min="7955" max="7956" width="9.625" style="160" bestFit="1" customWidth="1"/>
    <col min="7957" max="7958" width="9.625" style="160" customWidth="1"/>
    <col min="7959" max="7959" width="9.25" style="160" bestFit="1" customWidth="1"/>
    <col min="7960" max="7960" width="11" style="160" bestFit="1" customWidth="1"/>
    <col min="7961" max="8193" width="9" style="160"/>
    <col min="8194" max="8194" width="4.625" style="160" bestFit="1" customWidth="1"/>
    <col min="8195" max="8195" width="7.5" style="160" bestFit="1" customWidth="1"/>
    <col min="8196" max="8196" width="6.25" style="160" customWidth="1"/>
    <col min="8197" max="8197" width="11" style="160" bestFit="1" customWidth="1"/>
    <col min="8198" max="8199" width="9.625" style="160" bestFit="1" customWidth="1"/>
    <col min="8200" max="8200" width="8.25" style="160" bestFit="1" customWidth="1"/>
    <col min="8201" max="8202" width="9.625" style="160" bestFit="1" customWidth="1"/>
    <col min="8203" max="8203" width="8.25" style="160" bestFit="1" customWidth="1"/>
    <col min="8204" max="8205" width="9.625" style="160" bestFit="1" customWidth="1"/>
    <col min="8206" max="8207" width="8.25" style="160" bestFit="1" customWidth="1"/>
    <col min="8208" max="8208" width="11" style="160" bestFit="1" customWidth="1"/>
    <col min="8209" max="8209" width="8" style="160" bestFit="1" customWidth="1"/>
    <col min="8210" max="8210" width="7.75" style="160" bestFit="1" customWidth="1"/>
    <col min="8211" max="8212" width="9.625" style="160" bestFit="1" customWidth="1"/>
    <col min="8213" max="8214" width="9.625" style="160" customWidth="1"/>
    <col min="8215" max="8215" width="9.25" style="160" bestFit="1" customWidth="1"/>
    <col min="8216" max="8216" width="11" style="160" bestFit="1" customWidth="1"/>
    <col min="8217" max="8449" width="9" style="160"/>
    <col min="8450" max="8450" width="4.625" style="160" bestFit="1" customWidth="1"/>
    <col min="8451" max="8451" width="7.5" style="160" bestFit="1" customWidth="1"/>
    <col min="8452" max="8452" width="6.25" style="160" customWidth="1"/>
    <col min="8453" max="8453" width="11" style="160" bestFit="1" customWidth="1"/>
    <col min="8454" max="8455" width="9.625" style="160" bestFit="1" customWidth="1"/>
    <col min="8456" max="8456" width="8.25" style="160" bestFit="1" customWidth="1"/>
    <col min="8457" max="8458" width="9.625" style="160" bestFit="1" customWidth="1"/>
    <col min="8459" max="8459" width="8.25" style="160" bestFit="1" customWidth="1"/>
    <col min="8460" max="8461" width="9.625" style="160" bestFit="1" customWidth="1"/>
    <col min="8462" max="8463" width="8.25" style="160" bestFit="1" customWidth="1"/>
    <col min="8464" max="8464" width="11" style="160" bestFit="1" customWidth="1"/>
    <col min="8465" max="8465" width="8" style="160" bestFit="1" customWidth="1"/>
    <col min="8466" max="8466" width="7.75" style="160" bestFit="1" customWidth="1"/>
    <col min="8467" max="8468" width="9.625" style="160" bestFit="1" customWidth="1"/>
    <col min="8469" max="8470" width="9.625" style="160" customWidth="1"/>
    <col min="8471" max="8471" width="9.25" style="160" bestFit="1" customWidth="1"/>
    <col min="8472" max="8472" width="11" style="160" bestFit="1" customWidth="1"/>
    <col min="8473" max="8705" width="9" style="160"/>
    <col min="8706" max="8706" width="4.625" style="160" bestFit="1" customWidth="1"/>
    <col min="8707" max="8707" width="7.5" style="160" bestFit="1" customWidth="1"/>
    <col min="8708" max="8708" width="6.25" style="160" customWidth="1"/>
    <col min="8709" max="8709" width="11" style="160" bestFit="1" customWidth="1"/>
    <col min="8710" max="8711" width="9.625" style="160" bestFit="1" customWidth="1"/>
    <col min="8712" max="8712" width="8.25" style="160" bestFit="1" customWidth="1"/>
    <col min="8713" max="8714" width="9.625" style="160" bestFit="1" customWidth="1"/>
    <col min="8715" max="8715" width="8.25" style="160" bestFit="1" customWidth="1"/>
    <col min="8716" max="8717" width="9.625" style="160" bestFit="1" customWidth="1"/>
    <col min="8718" max="8719" width="8.25" style="160" bestFit="1" customWidth="1"/>
    <col min="8720" max="8720" width="11" style="160" bestFit="1" customWidth="1"/>
    <col min="8721" max="8721" width="8" style="160" bestFit="1" customWidth="1"/>
    <col min="8722" max="8722" width="7.75" style="160" bestFit="1" customWidth="1"/>
    <col min="8723" max="8724" width="9.625" style="160" bestFit="1" customWidth="1"/>
    <col min="8725" max="8726" width="9.625" style="160" customWidth="1"/>
    <col min="8727" max="8727" width="9.25" style="160" bestFit="1" customWidth="1"/>
    <col min="8728" max="8728" width="11" style="160" bestFit="1" customWidth="1"/>
    <col min="8729" max="8961" width="9" style="160"/>
    <col min="8962" max="8962" width="4.625" style="160" bestFit="1" customWidth="1"/>
    <col min="8963" max="8963" width="7.5" style="160" bestFit="1" customWidth="1"/>
    <col min="8964" max="8964" width="6.25" style="160" customWidth="1"/>
    <col min="8965" max="8965" width="11" style="160" bestFit="1" customWidth="1"/>
    <col min="8966" max="8967" width="9.625" style="160" bestFit="1" customWidth="1"/>
    <col min="8968" max="8968" width="8.25" style="160" bestFit="1" customWidth="1"/>
    <col min="8969" max="8970" width="9.625" style="160" bestFit="1" customWidth="1"/>
    <col min="8971" max="8971" width="8.25" style="160" bestFit="1" customWidth="1"/>
    <col min="8972" max="8973" width="9.625" style="160" bestFit="1" customWidth="1"/>
    <col min="8974" max="8975" width="8.25" style="160" bestFit="1" customWidth="1"/>
    <col min="8976" max="8976" width="11" style="160" bestFit="1" customWidth="1"/>
    <col min="8977" max="8977" width="8" style="160" bestFit="1" customWidth="1"/>
    <col min="8978" max="8978" width="7.75" style="160" bestFit="1" customWidth="1"/>
    <col min="8979" max="8980" width="9.625" style="160" bestFit="1" customWidth="1"/>
    <col min="8981" max="8982" width="9.625" style="160" customWidth="1"/>
    <col min="8983" max="8983" width="9.25" style="160" bestFit="1" customWidth="1"/>
    <col min="8984" max="8984" width="11" style="160" bestFit="1" customWidth="1"/>
    <col min="8985" max="9217" width="9" style="160"/>
    <col min="9218" max="9218" width="4.625" style="160" bestFit="1" customWidth="1"/>
    <col min="9219" max="9219" width="7.5" style="160" bestFit="1" customWidth="1"/>
    <col min="9220" max="9220" width="6.25" style="160" customWidth="1"/>
    <col min="9221" max="9221" width="11" style="160" bestFit="1" customWidth="1"/>
    <col min="9222" max="9223" width="9.625" style="160" bestFit="1" customWidth="1"/>
    <col min="9224" max="9224" width="8.25" style="160" bestFit="1" customWidth="1"/>
    <col min="9225" max="9226" width="9.625" style="160" bestFit="1" customWidth="1"/>
    <col min="9227" max="9227" width="8.25" style="160" bestFit="1" customWidth="1"/>
    <col min="9228" max="9229" width="9.625" style="160" bestFit="1" customWidth="1"/>
    <col min="9230" max="9231" width="8.25" style="160" bestFit="1" customWidth="1"/>
    <col min="9232" max="9232" width="11" style="160" bestFit="1" customWidth="1"/>
    <col min="9233" max="9233" width="8" style="160" bestFit="1" customWidth="1"/>
    <col min="9234" max="9234" width="7.75" style="160" bestFit="1" customWidth="1"/>
    <col min="9235" max="9236" width="9.625" style="160" bestFit="1" customWidth="1"/>
    <col min="9237" max="9238" width="9.625" style="160" customWidth="1"/>
    <col min="9239" max="9239" width="9.25" style="160" bestFit="1" customWidth="1"/>
    <col min="9240" max="9240" width="11" style="160" bestFit="1" customWidth="1"/>
    <col min="9241" max="9473" width="9" style="160"/>
    <col min="9474" max="9474" width="4.625" style="160" bestFit="1" customWidth="1"/>
    <col min="9475" max="9475" width="7.5" style="160" bestFit="1" customWidth="1"/>
    <col min="9476" max="9476" width="6.25" style="160" customWidth="1"/>
    <col min="9477" max="9477" width="11" style="160" bestFit="1" customWidth="1"/>
    <col min="9478" max="9479" width="9.625" style="160" bestFit="1" customWidth="1"/>
    <col min="9480" max="9480" width="8.25" style="160" bestFit="1" customWidth="1"/>
    <col min="9481" max="9482" width="9.625" style="160" bestFit="1" customWidth="1"/>
    <col min="9483" max="9483" width="8.25" style="160" bestFit="1" customWidth="1"/>
    <col min="9484" max="9485" width="9.625" style="160" bestFit="1" customWidth="1"/>
    <col min="9486" max="9487" width="8.25" style="160" bestFit="1" customWidth="1"/>
    <col min="9488" max="9488" width="11" style="160" bestFit="1" customWidth="1"/>
    <col min="9489" max="9489" width="8" style="160" bestFit="1" customWidth="1"/>
    <col min="9490" max="9490" width="7.75" style="160" bestFit="1" customWidth="1"/>
    <col min="9491" max="9492" width="9.625" style="160" bestFit="1" customWidth="1"/>
    <col min="9493" max="9494" width="9.625" style="160" customWidth="1"/>
    <col min="9495" max="9495" width="9.25" style="160" bestFit="1" customWidth="1"/>
    <col min="9496" max="9496" width="11" style="160" bestFit="1" customWidth="1"/>
    <col min="9497" max="9729" width="9" style="160"/>
    <col min="9730" max="9730" width="4.625" style="160" bestFit="1" customWidth="1"/>
    <col min="9731" max="9731" width="7.5" style="160" bestFit="1" customWidth="1"/>
    <col min="9732" max="9732" width="6.25" style="160" customWidth="1"/>
    <col min="9733" max="9733" width="11" style="160" bestFit="1" customWidth="1"/>
    <col min="9734" max="9735" width="9.625" style="160" bestFit="1" customWidth="1"/>
    <col min="9736" max="9736" width="8.25" style="160" bestFit="1" customWidth="1"/>
    <col min="9737" max="9738" width="9.625" style="160" bestFit="1" customWidth="1"/>
    <col min="9739" max="9739" width="8.25" style="160" bestFit="1" customWidth="1"/>
    <col min="9740" max="9741" width="9.625" style="160" bestFit="1" customWidth="1"/>
    <col min="9742" max="9743" width="8.25" style="160" bestFit="1" customWidth="1"/>
    <col min="9744" max="9744" width="11" style="160" bestFit="1" customWidth="1"/>
    <col min="9745" max="9745" width="8" style="160" bestFit="1" customWidth="1"/>
    <col min="9746" max="9746" width="7.75" style="160" bestFit="1" customWidth="1"/>
    <col min="9747" max="9748" width="9.625" style="160" bestFit="1" customWidth="1"/>
    <col min="9749" max="9750" width="9.625" style="160" customWidth="1"/>
    <col min="9751" max="9751" width="9.25" style="160" bestFit="1" customWidth="1"/>
    <col min="9752" max="9752" width="11" style="160" bestFit="1" customWidth="1"/>
    <col min="9753" max="9985" width="9" style="160"/>
    <col min="9986" max="9986" width="4.625" style="160" bestFit="1" customWidth="1"/>
    <col min="9987" max="9987" width="7.5" style="160" bestFit="1" customWidth="1"/>
    <col min="9988" max="9988" width="6.25" style="160" customWidth="1"/>
    <col min="9989" max="9989" width="11" style="160" bestFit="1" customWidth="1"/>
    <col min="9990" max="9991" width="9.625" style="160" bestFit="1" customWidth="1"/>
    <col min="9992" max="9992" width="8.25" style="160" bestFit="1" customWidth="1"/>
    <col min="9993" max="9994" width="9.625" style="160" bestFit="1" customWidth="1"/>
    <col min="9995" max="9995" width="8.25" style="160" bestFit="1" customWidth="1"/>
    <col min="9996" max="9997" width="9.625" style="160" bestFit="1" customWidth="1"/>
    <col min="9998" max="9999" width="8.25" style="160" bestFit="1" customWidth="1"/>
    <col min="10000" max="10000" width="11" style="160" bestFit="1" customWidth="1"/>
    <col min="10001" max="10001" width="8" style="160" bestFit="1" customWidth="1"/>
    <col min="10002" max="10002" width="7.75" style="160" bestFit="1" customWidth="1"/>
    <col min="10003" max="10004" width="9.625" style="160" bestFit="1" customWidth="1"/>
    <col min="10005" max="10006" width="9.625" style="160" customWidth="1"/>
    <col min="10007" max="10007" width="9.25" style="160" bestFit="1" customWidth="1"/>
    <col min="10008" max="10008" width="11" style="160" bestFit="1" customWidth="1"/>
    <col min="10009" max="10241" width="9" style="160"/>
    <col min="10242" max="10242" width="4.625" style="160" bestFit="1" customWidth="1"/>
    <col min="10243" max="10243" width="7.5" style="160" bestFit="1" customWidth="1"/>
    <col min="10244" max="10244" width="6.25" style="160" customWidth="1"/>
    <col min="10245" max="10245" width="11" style="160" bestFit="1" customWidth="1"/>
    <col min="10246" max="10247" width="9.625" style="160" bestFit="1" customWidth="1"/>
    <col min="10248" max="10248" width="8.25" style="160" bestFit="1" customWidth="1"/>
    <col min="10249" max="10250" width="9.625" style="160" bestFit="1" customWidth="1"/>
    <col min="10251" max="10251" width="8.25" style="160" bestFit="1" customWidth="1"/>
    <col min="10252" max="10253" width="9.625" style="160" bestFit="1" customWidth="1"/>
    <col min="10254" max="10255" width="8.25" style="160" bestFit="1" customWidth="1"/>
    <col min="10256" max="10256" width="11" style="160" bestFit="1" customWidth="1"/>
    <col min="10257" max="10257" width="8" style="160" bestFit="1" customWidth="1"/>
    <col min="10258" max="10258" width="7.75" style="160" bestFit="1" customWidth="1"/>
    <col min="10259" max="10260" width="9.625" style="160" bestFit="1" customWidth="1"/>
    <col min="10261" max="10262" width="9.625" style="160" customWidth="1"/>
    <col min="10263" max="10263" width="9.25" style="160" bestFit="1" customWidth="1"/>
    <col min="10264" max="10264" width="11" style="160" bestFit="1" customWidth="1"/>
    <col min="10265" max="10497" width="9" style="160"/>
    <col min="10498" max="10498" width="4.625" style="160" bestFit="1" customWidth="1"/>
    <col min="10499" max="10499" width="7.5" style="160" bestFit="1" customWidth="1"/>
    <col min="10500" max="10500" width="6.25" style="160" customWidth="1"/>
    <col min="10501" max="10501" width="11" style="160" bestFit="1" customWidth="1"/>
    <col min="10502" max="10503" width="9.625" style="160" bestFit="1" customWidth="1"/>
    <col min="10504" max="10504" width="8.25" style="160" bestFit="1" customWidth="1"/>
    <col min="10505" max="10506" width="9.625" style="160" bestFit="1" customWidth="1"/>
    <col min="10507" max="10507" width="8.25" style="160" bestFit="1" customWidth="1"/>
    <col min="10508" max="10509" width="9.625" style="160" bestFit="1" customWidth="1"/>
    <col min="10510" max="10511" width="8.25" style="160" bestFit="1" customWidth="1"/>
    <col min="10512" max="10512" width="11" style="160" bestFit="1" customWidth="1"/>
    <col min="10513" max="10513" width="8" style="160" bestFit="1" customWidth="1"/>
    <col min="10514" max="10514" width="7.75" style="160" bestFit="1" customWidth="1"/>
    <col min="10515" max="10516" width="9.625" style="160" bestFit="1" customWidth="1"/>
    <col min="10517" max="10518" width="9.625" style="160" customWidth="1"/>
    <col min="10519" max="10519" width="9.25" style="160" bestFit="1" customWidth="1"/>
    <col min="10520" max="10520" width="11" style="160" bestFit="1" customWidth="1"/>
    <col min="10521" max="10753" width="9" style="160"/>
    <col min="10754" max="10754" width="4.625" style="160" bestFit="1" customWidth="1"/>
    <col min="10755" max="10755" width="7.5" style="160" bestFit="1" customWidth="1"/>
    <col min="10756" max="10756" width="6.25" style="160" customWidth="1"/>
    <col min="10757" max="10757" width="11" style="160" bestFit="1" customWidth="1"/>
    <col min="10758" max="10759" width="9.625" style="160" bestFit="1" customWidth="1"/>
    <col min="10760" max="10760" width="8.25" style="160" bestFit="1" customWidth="1"/>
    <col min="10761" max="10762" width="9.625" style="160" bestFit="1" customWidth="1"/>
    <col min="10763" max="10763" width="8.25" style="160" bestFit="1" customWidth="1"/>
    <col min="10764" max="10765" width="9.625" style="160" bestFit="1" customWidth="1"/>
    <col min="10766" max="10767" width="8.25" style="160" bestFit="1" customWidth="1"/>
    <col min="10768" max="10768" width="11" style="160" bestFit="1" customWidth="1"/>
    <col min="10769" max="10769" width="8" style="160" bestFit="1" customWidth="1"/>
    <col min="10770" max="10770" width="7.75" style="160" bestFit="1" customWidth="1"/>
    <col min="10771" max="10772" width="9.625" style="160" bestFit="1" customWidth="1"/>
    <col min="10773" max="10774" width="9.625" style="160" customWidth="1"/>
    <col min="10775" max="10775" width="9.25" style="160" bestFit="1" customWidth="1"/>
    <col min="10776" max="10776" width="11" style="160" bestFit="1" customWidth="1"/>
    <col min="10777" max="11009" width="9" style="160"/>
    <col min="11010" max="11010" width="4.625" style="160" bestFit="1" customWidth="1"/>
    <col min="11011" max="11011" width="7.5" style="160" bestFit="1" customWidth="1"/>
    <col min="11012" max="11012" width="6.25" style="160" customWidth="1"/>
    <col min="11013" max="11013" width="11" style="160" bestFit="1" customWidth="1"/>
    <col min="11014" max="11015" width="9.625" style="160" bestFit="1" customWidth="1"/>
    <col min="11016" max="11016" width="8.25" style="160" bestFit="1" customWidth="1"/>
    <col min="11017" max="11018" width="9.625" style="160" bestFit="1" customWidth="1"/>
    <col min="11019" max="11019" width="8.25" style="160" bestFit="1" customWidth="1"/>
    <col min="11020" max="11021" width="9.625" style="160" bestFit="1" customWidth="1"/>
    <col min="11022" max="11023" width="8.25" style="160" bestFit="1" customWidth="1"/>
    <col min="11024" max="11024" width="11" style="160" bestFit="1" customWidth="1"/>
    <col min="11025" max="11025" width="8" style="160" bestFit="1" customWidth="1"/>
    <col min="11026" max="11026" width="7.75" style="160" bestFit="1" customWidth="1"/>
    <col min="11027" max="11028" width="9.625" style="160" bestFit="1" customWidth="1"/>
    <col min="11029" max="11030" width="9.625" style="160" customWidth="1"/>
    <col min="11031" max="11031" width="9.25" style="160" bestFit="1" customWidth="1"/>
    <col min="11032" max="11032" width="11" style="160" bestFit="1" customWidth="1"/>
    <col min="11033" max="11265" width="9" style="160"/>
    <col min="11266" max="11266" width="4.625" style="160" bestFit="1" customWidth="1"/>
    <col min="11267" max="11267" width="7.5" style="160" bestFit="1" customWidth="1"/>
    <col min="11268" max="11268" width="6.25" style="160" customWidth="1"/>
    <col min="11269" max="11269" width="11" style="160" bestFit="1" customWidth="1"/>
    <col min="11270" max="11271" width="9.625" style="160" bestFit="1" customWidth="1"/>
    <col min="11272" max="11272" width="8.25" style="160" bestFit="1" customWidth="1"/>
    <col min="11273" max="11274" width="9.625" style="160" bestFit="1" customWidth="1"/>
    <col min="11275" max="11275" width="8.25" style="160" bestFit="1" customWidth="1"/>
    <col min="11276" max="11277" width="9.625" style="160" bestFit="1" customWidth="1"/>
    <col min="11278" max="11279" width="8.25" style="160" bestFit="1" customWidth="1"/>
    <col min="11280" max="11280" width="11" style="160" bestFit="1" customWidth="1"/>
    <col min="11281" max="11281" width="8" style="160" bestFit="1" customWidth="1"/>
    <col min="11282" max="11282" width="7.75" style="160" bestFit="1" customWidth="1"/>
    <col min="11283" max="11284" width="9.625" style="160" bestFit="1" customWidth="1"/>
    <col min="11285" max="11286" width="9.625" style="160" customWidth="1"/>
    <col min="11287" max="11287" width="9.25" style="160" bestFit="1" customWidth="1"/>
    <col min="11288" max="11288" width="11" style="160" bestFit="1" customWidth="1"/>
    <col min="11289" max="11521" width="9" style="160"/>
    <col min="11522" max="11522" width="4.625" style="160" bestFit="1" customWidth="1"/>
    <col min="11523" max="11523" width="7.5" style="160" bestFit="1" customWidth="1"/>
    <col min="11524" max="11524" width="6.25" style="160" customWidth="1"/>
    <col min="11525" max="11525" width="11" style="160" bestFit="1" customWidth="1"/>
    <col min="11526" max="11527" width="9.625" style="160" bestFit="1" customWidth="1"/>
    <col min="11528" max="11528" width="8.25" style="160" bestFit="1" customWidth="1"/>
    <col min="11529" max="11530" width="9.625" style="160" bestFit="1" customWidth="1"/>
    <col min="11531" max="11531" width="8.25" style="160" bestFit="1" customWidth="1"/>
    <col min="11532" max="11533" width="9.625" style="160" bestFit="1" customWidth="1"/>
    <col min="11534" max="11535" width="8.25" style="160" bestFit="1" customWidth="1"/>
    <col min="11536" max="11536" width="11" style="160" bestFit="1" customWidth="1"/>
    <col min="11537" max="11537" width="8" style="160" bestFit="1" customWidth="1"/>
    <col min="11538" max="11538" width="7.75" style="160" bestFit="1" customWidth="1"/>
    <col min="11539" max="11540" width="9.625" style="160" bestFit="1" customWidth="1"/>
    <col min="11541" max="11542" width="9.625" style="160" customWidth="1"/>
    <col min="11543" max="11543" width="9.25" style="160" bestFit="1" customWidth="1"/>
    <col min="11544" max="11544" width="11" style="160" bestFit="1" customWidth="1"/>
    <col min="11545" max="11777" width="9" style="160"/>
    <col min="11778" max="11778" width="4.625" style="160" bestFit="1" customWidth="1"/>
    <col min="11779" max="11779" width="7.5" style="160" bestFit="1" customWidth="1"/>
    <col min="11780" max="11780" width="6.25" style="160" customWidth="1"/>
    <col min="11781" max="11781" width="11" style="160" bestFit="1" customWidth="1"/>
    <col min="11782" max="11783" width="9.625" style="160" bestFit="1" customWidth="1"/>
    <col min="11784" max="11784" width="8.25" style="160" bestFit="1" customWidth="1"/>
    <col min="11785" max="11786" width="9.625" style="160" bestFit="1" customWidth="1"/>
    <col min="11787" max="11787" width="8.25" style="160" bestFit="1" customWidth="1"/>
    <col min="11788" max="11789" width="9.625" style="160" bestFit="1" customWidth="1"/>
    <col min="11790" max="11791" width="8.25" style="160" bestFit="1" customWidth="1"/>
    <col min="11792" max="11792" width="11" style="160" bestFit="1" customWidth="1"/>
    <col min="11793" max="11793" width="8" style="160" bestFit="1" customWidth="1"/>
    <col min="11794" max="11794" width="7.75" style="160" bestFit="1" customWidth="1"/>
    <col min="11795" max="11796" width="9.625" style="160" bestFit="1" customWidth="1"/>
    <col min="11797" max="11798" width="9.625" style="160" customWidth="1"/>
    <col min="11799" max="11799" width="9.25" style="160" bestFit="1" customWidth="1"/>
    <col min="11800" max="11800" width="11" style="160" bestFit="1" customWidth="1"/>
    <col min="11801" max="12033" width="9" style="160"/>
    <col min="12034" max="12034" width="4.625" style="160" bestFit="1" customWidth="1"/>
    <col min="12035" max="12035" width="7.5" style="160" bestFit="1" customWidth="1"/>
    <col min="12036" max="12036" width="6.25" style="160" customWidth="1"/>
    <col min="12037" max="12037" width="11" style="160" bestFit="1" customWidth="1"/>
    <col min="12038" max="12039" width="9.625" style="160" bestFit="1" customWidth="1"/>
    <col min="12040" max="12040" width="8.25" style="160" bestFit="1" customWidth="1"/>
    <col min="12041" max="12042" width="9.625" style="160" bestFit="1" customWidth="1"/>
    <col min="12043" max="12043" width="8.25" style="160" bestFit="1" customWidth="1"/>
    <col min="12044" max="12045" width="9.625" style="160" bestFit="1" customWidth="1"/>
    <col min="12046" max="12047" width="8.25" style="160" bestFit="1" customWidth="1"/>
    <col min="12048" max="12048" width="11" style="160" bestFit="1" customWidth="1"/>
    <col min="12049" max="12049" width="8" style="160" bestFit="1" customWidth="1"/>
    <col min="12050" max="12050" width="7.75" style="160" bestFit="1" customWidth="1"/>
    <col min="12051" max="12052" width="9.625" style="160" bestFit="1" customWidth="1"/>
    <col min="12053" max="12054" width="9.625" style="160" customWidth="1"/>
    <col min="12055" max="12055" width="9.25" style="160" bestFit="1" customWidth="1"/>
    <col min="12056" max="12056" width="11" style="160" bestFit="1" customWidth="1"/>
    <col min="12057" max="12289" width="9" style="160"/>
    <col min="12290" max="12290" width="4.625" style="160" bestFit="1" customWidth="1"/>
    <col min="12291" max="12291" width="7.5" style="160" bestFit="1" customWidth="1"/>
    <col min="12292" max="12292" width="6.25" style="160" customWidth="1"/>
    <col min="12293" max="12293" width="11" style="160" bestFit="1" customWidth="1"/>
    <col min="12294" max="12295" width="9.625" style="160" bestFit="1" customWidth="1"/>
    <col min="12296" max="12296" width="8.25" style="160" bestFit="1" customWidth="1"/>
    <col min="12297" max="12298" width="9.625" style="160" bestFit="1" customWidth="1"/>
    <col min="12299" max="12299" width="8.25" style="160" bestFit="1" customWidth="1"/>
    <col min="12300" max="12301" width="9.625" style="160" bestFit="1" customWidth="1"/>
    <col min="12302" max="12303" width="8.25" style="160" bestFit="1" customWidth="1"/>
    <col min="12304" max="12304" width="11" style="160" bestFit="1" customWidth="1"/>
    <col min="12305" max="12305" width="8" style="160" bestFit="1" customWidth="1"/>
    <col min="12306" max="12306" width="7.75" style="160" bestFit="1" customWidth="1"/>
    <col min="12307" max="12308" width="9.625" style="160" bestFit="1" customWidth="1"/>
    <col min="12309" max="12310" width="9.625" style="160" customWidth="1"/>
    <col min="12311" max="12311" width="9.25" style="160" bestFit="1" customWidth="1"/>
    <col min="12312" max="12312" width="11" style="160" bestFit="1" customWidth="1"/>
    <col min="12313" max="12545" width="9" style="160"/>
    <col min="12546" max="12546" width="4.625" style="160" bestFit="1" customWidth="1"/>
    <col min="12547" max="12547" width="7.5" style="160" bestFit="1" customWidth="1"/>
    <col min="12548" max="12548" width="6.25" style="160" customWidth="1"/>
    <col min="12549" max="12549" width="11" style="160" bestFit="1" customWidth="1"/>
    <col min="12550" max="12551" width="9.625" style="160" bestFit="1" customWidth="1"/>
    <col min="12552" max="12552" width="8.25" style="160" bestFit="1" customWidth="1"/>
    <col min="12553" max="12554" width="9.625" style="160" bestFit="1" customWidth="1"/>
    <col min="12555" max="12555" width="8.25" style="160" bestFit="1" customWidth="1"/>
    <col min="12556" max="12557" width="9.625" style="160" bestFit="1" customWidth="1"/>
    <col min="12558" max="12559" width="8.25" style="160" bestFit="1" customWidth="1"/>
    <col min="12560" max="12560" width="11" style="160" bestFit="1" customWidth="1"/>
    <col min="12561" max="12561" width="8" style="160" bestFit="1" customWidth="1"/>
    <col min="12562" max="12562" width="7.75" style="160" bestFit="1" customWidth="1"/>
    <col min="12563" max="12564" width="9.625" style="160" bestFit="1" customWidth="1"/>
    <col min="12565" max="12566" width="9.625" style="160" customWidth="1"/>
    <col min="12567" max="12567" width="9.25" style="160" bestFit="1" customWidth="1"/>
    <col min="12568" max="12568" width="11" style="160" bestFit="1" customWidth="1"/>
    <col min="12569" max="12801" width="9" style="160"/>
    <col min="12802" max="12802" width="4.625" style="160" bestFit="1" customWidth="1"/>
    <col min="12803" max="12803" width="7.5" style="160" bestFit="1" customWidth="1"/>
    <col min="12804" max="12804" width="6.25" style="160" customWidth="1"/>
    <col min="12805" max="12805" width="11" style="160" bestFit="1" customWidth="1"/>
    <col min="12806" max="12807" width="9.625" style="160" bestFit="1" customWidth="1"/>
    <col min="12808" max="12808" width="8.25" style="160" bestFit="1" customWidth="1"/>
    <col min="12809" max="12810" width="9.625" style="160" bestFit="1" customWidth="1"/>
    <col min="12811" max="12811" width="8.25" style="160" bestFit="1" customWidth="1"/>
    <col min="12812" max="12813" width="9.625" style="160" bestFit="1" customWidth="1"/>
    <col min="12814" max="12815" width="8.25" style="160" bestFit="1" customWidth="1"/>
    <col min="12816" max="12816" width="11" style="160" bestFit="1" customWidth="1"/>
    <col min="12817" max="12817" width="8" style="160" bestFit="1" customWidth="1"/>
    <col min="12818" max="12818" width="7.75" style="160" bestFit="1" customWidth="1"/>
    <col min="12819" max="12820" width="9.625" style="160" bestFit="1" customWidth="1"/>
    <col min="12821" max="12822" width="9.625" style="160" customWidth="1"/>
    <col min="12823" max="12823" width="9.25" style="160" bestFit="1" customWidth="1"/>
    <col min="12824" max="12824" width="11" style="160" bestFit="1" customWidth="1"/>
    <col min="12825" max="13057" width="9" style="160"/>
    <col min="13058" max="13058" width="4.625" style="160" bestFit="1" customWidth="1"/>
    <col min="13059" max="13059" width="7.5" style="160" bestFit="1" customWidth="1"/>
    <col min="13060" max="13060" width="6.25" style="160" customWidth="1"/>
    <col min="13061" max="13061" width="11" style="160" bestFit="1" customWidth="1"/>
    <col min="13062" max="13063" width="9.625" style="160" bestFit="1" customWidth="1"/>
    <col min="13064" max="13064" width="8.25" style="160" bestFit="1" customWidth="1"/>
    <col min="13065" max="13066" width="9.625" style="160" bestFit="1" customWidth="1"/>
    <col min="13067" max="13067" width="8.25" style="160" bestFit="1" customWidth="1"/>
    <col min="13068" max="13069" width="9.625" style="160" bestFit="1" customWidth="1"/>
    <col min="13070" max="13071" width="8.25" style="160" bestFit="1" customWidth="1"/>
    <col min="13072" max="13072" width="11" style="160" bestFit="1" customWidth="1"/>
    <col min="13073" max="13073" width="8" style="160" bestFit="1" customWidth="1"/>
    <col min="13074" max="13074" width="7.75" style="160" bestFit="1" customWidth="1"/>
    <col min="13075" max="13076" width="9.625" style="160" bestFit="1" customWidth="1"/>
    <col min="13077" max="13078" width="9.625" style="160" customWidth="1"/>
    <col min="13079" max="13079" width="9.25" style="160" bestFit="1" customWidth="1"/>
    <col min="13080" max="13080" width="11" style="160" bestFit="1" customWidth="1"/>
    <col min="13081" max="13313" width="9" style="160"/>
    <col min="13314" max="13314" width="4.625" style="160" bestFit="1" customWidth="1"/>
    <col min="13315" max="13315" width="7.5" style="160" bestFit="1" customWidth="1"/>
    <col min="13316" max="13316" width="6.25" style="160" customWidth="1"/>
    <col min="13317" max="13317" width="11" style="160" bestFit="1" customWidth="1"/>
    <col min="13318" max="13319" width="9.625" style="160" bestFit="1" customWidth="1"/>
    <col min="13320" max="13320" width="8.25" style="160" bestFit="1" customWidth="1"/>
    <col min="13321" max="13322" width="9.625" style="160" bestFit="1" customWidth="1"/>
    <col min="13323" max="13323" width="8.25" style="160" bestFit="1" customWidth="1"/>
    <col min="13324" max="13325" width="9.625" style="160" bestFit="1" customWidth="1"/>
    <col min="13326" max="13327" width="8.25" style="160" bestFit="1" customWidth="1"/>
    <col min="13328" max="13328" width="11" style="160" bestFit="1" customWidth="1"/>
    <col min="13329" max="13329" width="8" style="160" bestFit="1" customWidth="1"/>
    <col min="13330" max="13330" width="7.75" style="160" bestFit="1" customWidth="1"/>
    <col min="13331" max="13332" width="9.625" style="160" bestFit="1" customWidth="1"/>
    <col min="13333" max="13334" width="9.625" style="160" customWidth="1"/>
    <col min="13335" max="13335" width="9.25" style="160" bestFit="1" customWidth="1"/>
    <col min="13336" max="13336" width="11" style="160" bestFit="1" customWidth="1"/>
    <col min="13337" max="13569" width="9" style="160"/>
    <col min="13570" max="13570" width="4.625" style="160" bestFit="1" customWidth="1"/>
    <col min="13571" max="13571" width="7.5" style="160" bestFit="1" customWidth="1"/>
    <col min="13572" max="13572" width="6.25" style="160" customWidth="1"/>
    <col min="13573" max="13573" width="11" style="160" bestFit="1" customWidth="1"/>
    <col min="13574" max="13575" width="9.625" style="160" bestFit="1" customWidth="1"/>
    <col min="13576" max="13576" width="8.25" style="160" bestFit="1" customWidth="1"/>
    <col min="13577" max="13578" width="9.625" style="160" bestFit="1" customWidth="1"/>
    <col min="13579" max="13579" width="8.25" style="160" bestFit="1" customWidth="1"/>
    <col min="13580" max="13581" width="9.625" style="160" bestFit="1" customWidth="1"/>
    <col min="13582" max="13583" width="8.25" style="160" bestFit="1" customWidth="1"/>
    <col min="13584" max="13584" width="11" style="160" bestFit="1" customWidth="1"/>
    <col min="13585" max="13585" width="8" style="160" bestFit="1" customWidth="1"/>
    <col min="13586" max="13586" width="7.75" style="160" bestFit="1" customWidth="1"/>
    <col min="13587" max="13588" width="9.625" style="160" bestFit="1" customWidth="1"/>
    <col min="13589" max="13590" width="9.625" style="160" customWidth="1"/>
    <col min="13591" max="13591" width="9.25" style="160" bestFit="1" customWidth="1"/>
    <col min="13592" max="13592" width="11" style="160" bestFit="1" customWidth="1"/>
    <col min="13593" max="13825" width="9" style="160"/>
    <col min="13826" max="13826" width="4.625" style="160" bestFit="1" customWidth="1"/>
    <col min="13827" max="13827" width="7.5" style="160" bestFit="1" customWidth="1"/>
    <col min="13828" max="13828" width="6.25" style="160" customWidth="1"/>
    <col min="13829" max="13829" width="11" style="160" bestFit="1" customWidth="1"/>
    <col min="13830" max="13831" width="9.625" style="160" bestFit="1" customWidth="1"/>
    <col min="13832" max="13832" width="8.25" style="160" bestFit="1" customWidth="1"/>
    <col min="13833" max="13834" width="9.625" style="160" bestFit="1" customWidth="1"/>
    <col min="13835" max="13835" width="8.25" style="160" bestFit="1" customWidth="1"/>
    <col min="13836" max="13837" width="9.625" style="160" bestFit="1" customWidth="1"/>
    <col min="13838" max="13839" width="8.25" style="160" bestFit="1" customWidth="1"/>
    <col min="13840" max="13840" width="11" style="160" bestFit="1" customWidth="1"/>
    <col min="13841" max="13841" width="8" style="160" bestFit="1" customWidth="1"/>
    <col min="13842" max="13842" width="7.75" style="160" bestFit="1" customWidth="1"/>
    <col min="13843" max="13844" width="9.625" style="160" bestFit="1" customWidth="1"/>
    <col min="13845" max="13846" width="9.625" style="160" customWidth="1"/>
    <col min="13847" max="13847" width="9.25" style="160" bestFit="1" customWidth="1"/>
    <col min="13848" max="13848" width="11" style="160" bestFit="1" customWidth="1"/>
    <col min="13849" max="14081" width="9" style="160"/>
    <col min="14082" max="14082" width="4.625" style="160" bestFit="1" customWidth="1"/>
    <col min="14083" max="14083" width="7.5" style="160" bestFit="1" customWidth="1"/>
    <col min="14084" max="14084" width="6.25" style="160" customWidth="1"/>
    <col min="14085" max="14085" width="11" style="160" bestFit="1" customWidth="1"/>
    <col min="14086" max="14087" width="9.625" style="160" bestFit="1" customWidth="1"/>
    <col min="14088" max="14088" width="8.25" style="160" bestFit="1" customWidth="1"/>
    <col min="14089" max="14090" width="9.625" style="160" bestFit="1" customWidth="1"/>
    <col min="14091" max="14091" width="8.25" style="160" bestFit="1" customWidth="1"/>
    <col min="14092" max="14093" width="9.625" style="160" bestFit="1" customWidth="1"/>
    <col min="14094" max="14095" width="8.25" style="160" bestFit="1" customWidth="1"/>
    <col min="14096" max="14096" width="11" style="160" bestFit="1" customWidth="1"/>
    <col min="14097" max="14097" width="8" style="160" bestFit="1" customWidth="1"/>
    <col min="14098" max="14098" width="7.75" style="160" bestFit="1" customWidth="1"/>
    <col min="14099" max="14100" width="9.625" style="160" bestFit="1" customWidth="1"/>
    <col min="14101" max="14102" width="9.625" style="160" customWidth="1"/>
    <col min="14103" max="14103" width="9.25" style="160" bestFit="1" customWidth="1"/>
    <col min="14104" max="14104" width="11" style="160" bestFit="1" customWidth="1"/>
    <col min="14105" max="14337" width="9" style="160"/>
    <col min="14338" max="14338" width="4.625" style="160" bestFit="1" customWidth="1"/>
    <col min="14339" max="14339" width="7.5" style="160" bestFit="1" customWidth="1"/>
    <col min="14340" max="14340" width="6.25" style="160" customWidth="1"/>
    <col min="14341" max="14341" width="11" style="160" bestFit="1" customWidth="1"/>
    <col min="14342" max="14343" width="9.625" style="160" bestFit="1" customWidth="1"/>
    <col min="14344" max="14344" width="8.25" style="160" bestFit="1" customWidth="1"/>
    <col min="14345" max="14346" width="9.625" style="160" bestFit="1" customWidth="1"/>
    <col min="14347" max="14347" width="8.25" style="160" bestFit="1" customWidth="1"/>
    <col min="14348" max="14349" width="9.625" style="160" bestFit="1" customWidth="1"/>
    <col min="14350" max="14351" width="8.25" style="160" bestFit="1" customWidth="1"/>
    <col min="14352" max="14352" width="11" style="160" bestFit="1" customWidth="1"/>
    <col min="14353" max="14353" width="8" style="160" bestFit="1" customWidth="1"/>
    <col min="14354" max="14354" width="7.75" style="160" bestFit="1" customWidth="1"/>
    <col min="14355" max="14356" width="9.625" style="160" bestFit="1" customWidth="1"/>
    <col min="14357" max="14358" width="9.625" style="160" customWidth="1"/>
    <col min="14359" max="14359" width="9.25" style="160" bestFit="1" customWidth="1"/>
    <col min="14360" max="14360" width="11" style="160" bestFit="1" customWidth="1"/>
    <col min="14361" max="14593" width="9" style="160"/>
    <col min="14594" max="14594" width="4.625" style="160" bestFit="1" customWidth="1"/>
    <col min="14595" max="14595" width="7.5" style="160" bestFit="1" customWidth="1"/>
    <col min="14596" max="14596" width="6.25" style="160" customWidth="1"/>
    <col min="14597" max="14597" width="11" style="160" bestFit="1" customWidth="1"/>
    <col min="14598" max="14599" width="9.625" style="160" bestFit="1" customWidth="1"/>
    <col min="14600" max="14600" width="8.25" style="160" bestFit="1" customWidth="1"/>
    <col min="14601" max="14602" width="9.625" style="160" bestFit="1" customWidth="1"/>
    <col min="14603" max="14603" width="8.25" style="160" bestFit="1" customWidth="1"/>
    <col min="14604" max="14605" width="9.625" style="160" bestFit="1" customWidth="1"/>
    <col min="14606" max="14607" width="8.25" style="160" bestFit="1" customWidth="1"/>
    <col min="14608" max="14608" width="11" style="160" bestFit="1" customWidth="1"/>
    <col min="14609" max="14609" width="8" style="160" bestFit="1" customWidth="1"/>
    <col min="14610" max="14610" width="7.75" style="160" bestFit="1" customWidth="1"/>
    <col min="14611" max="14612" width="9.625" style="160" bestFit="1" customWidth="1"/>
    <col min="14613" max="14614" width="9.625" style="160" customWidth="1"/>
    <col min="14615" max="14615" width="9.25" style="160" bestFit="1" customWidth="1"/>
    <col min="14616" max="14616" width="11" style="160" bestFit="1" customWidth="1"/>
    <col min="14617" max="14849" width="9" style="160"/>
    <col min="14850" max="14850" width="4.625" style="160" bestFit="1" customWidth="1"/>
    <col min="14851" max="14851" width="7.5" style="160" bestFit="1" customWidth="1"/>
    <col min="14852" max="14852" width="6.25" style="160" customWidth="1"/>
    <col min="14853" max="14853" width="11" style="160" bestFit="1" customWidth="1"/>
    <col min="14854" max="14855" width="9.625" style="160" bestFit="1" customWidth="1"/>
    <col min="14856" max="14856" width="8.25" style="160" bestFit="1" customWidth="1"/>
    <col min="14857" max="14858" width="9.625" style="160" bestFit="1" customWidth="1"/>
    <col min="14859" max="14859" width="8.25" style="160" bestFit="1" customWidth="1"/>
    <col min="14860" max="14861" width="9.625" style="160" bestFit="1" customWidth="1"/>
    <col min="14862" max="14863" width="8.25" style="160" bestFit="1" customWidth="1"/>
    <col min="14864" max="14864" width="11" style="160" bestFit="1" customWidth="1"/>
    <col min="14865" max="14865" width="8" style="160" bestFit="1" customWidth="1"/>
    <col min="14866" max="14866" width="7.75" style="160" bestFit="1" customWidth="1"/>
    <col min="14867" max="14868" width="9.625" style="160" bestFit="1" customWidth="1"/>
    <col min="14869" max="14870" width="9.625" style="160" customWidth="1"/>
    <col min="14871" max="14871" width="9.25" style="160" bestFit="1" customWidth="1"/>
    <col min="14872" max="14872" width="11" style="160" bestFit="1" customWidth="1"/>
    <col min="14873" max="15105" width="9" style="160"/>
    <col min="15106" max="15106" width="4.625" style="160" bestFit="1" customWidth="1"/>
    <col min="15107" max="15107" width="7.5" style="160" bestFit="1" customWidth="1"/>
    <col min="15108" max="15108" width="6.25" style="160" customWidth="1"/>
    <col min="15109" max="15109" width="11" style="160" bestFit="1" customWidth="1"/>
    <col min="15110" max="15111" width="9.625" style="160" bestFit="1" customWidth="1"/>
    <col min="15112" max="15112" width="8.25" style="160" bestFit="1" customWidth="1"/>
    <col min="15113" max="15114" width="9.625" style="160" bestFit="1" customWidth="1"/>
    <col min="15115" max="15115" width="8.25" style="160" bestFit="1" customWidth="1"/>
    <col min="15116" max="15117" width="9.625" style="160" bestFit="1" customWidth="1"/>
    <col min="15118" max="15119" width="8.25" style="160" bestFit="1" customWidth="1"/>
    <col min="15120" max="15120" width="11" style="160" bestFit="1" customWidth="1"/>
    <col min="15121" max="15121" width="8" style="160" bestFit="1" customWidth="1"/>
    <col min="15122" max="15122" width="7.75" style="160" bestFit="1" customWidth="1"/>
    <col min="15123" max="15124" width="9.625" style="160" bestFit="1" customWidth="1"/>
    <col min="15125" max="15126" width="9.625" style="160" customWidth="1"/>
    <col min="15127" max="15127" width="9.25" style="160" bestFit="1" customWidth="1"/>
    <col min="15128" max="15128" width="11" style="160" bestFit="1" customWidth="1"/>
    <col min="15129" max="15361" width="9" style="160"/>
    <col min="15362" max="15362" width="4.625" style="160" bestFit="1" customWidth="1"/>
    <col min="15363" max="15363" width="7.5" style="160" bestFit="1" customWidth="1"/>
    <col min="15364" max="15364" width="6.25" style="160" customWidth="1"/>
    <col min="15365" max="15365" width="11" style="160" bestFit="1" customWidth="1"/>
    <col min="15366" max="15367" width="9.625" style="160" bestFit="1" customWidth="1"/>
    <col min="15368" max="15368" width="8.25" style="160" bestFit="1" customWidth="1"/>
    <col min="15369" max="15370" width="9.625" style="160" bestFit="1" customWidth="1"/>
    <col min="15371" max="15371" width="8.25" style="160" bestFit="1" customWidth="1"/>
    <col min="15372" max="15373" width="9.625" style="160" bestFit="1" customWidth="1"/>
    <col min="15374" max="15375" width="8.25" style="160" bestFit="1" customWidth="1"/>
    <col min="15376" max="15376" width="11" style="160" bestFit="1" customWidth="1"/>
    <col min="15377" max="15377" width="8" style="160" bestFit="1" customWidth="1"/>
    <col min="15378" max="15378" width="7.75" style="160" bestFit="1" customWidth="1"/>
    <col min="15379" max="15380" width="9.625" style="160" bestFit="1" customWidth="1"/>
    <col min="15381" max="15382" width="9.625" style="160" customWidth="1"/>
    <col min="15383" max="15383" width="9.25" style="160" bestFit="1" customWidth="1"/>
    <col min="15384" max="15384" width="11" style="160" bestFit="1" customWidth="1"/>
    <col min="15385" max="15617" width="9" style="160"/>
    <col min="15618" max="15618" width="4.625" style="160" bestFit="1" customWidth="1"/>
    <col min="15619" max="15619" width="7.5" style="160" bestFit="1" customWidth="1"/>
    <col min="15620" max="15620" width="6.25" style="160" customWidth="1"/>
    <col min="15621" max="15621" width="11" style="160" bestFit="1" customWidth="1"/>
    <col min="15622" max="15623" width="9.625" style="160" bestFit="1" customWidth="1"/>
    <col min="15624" max="15624" width="8.25" style="160" bestFit="1" customWidth="1"/>
    <col min="15625" max="15626" width="9.625" style="160" bestFit="1" customWidth="1"/>
    <col min="15627" max="15627" width="8.25" style="160" bestFit="1" customWidth="1"/>
    <col min="15628" max="15629" width="9.625" style="160" bestFit="1" customWidth="1"/>
    <col min="15630" max="15631" width="8.25" style="160" bestFit="1" customWidth="1"/>
    <col min="15632" max="15632" width="11" style="160" bestFit="1" customWidth="1"/>
    <col min="15633" max="15633" width="8" style="160" bestFit="1" customWidth="1"/>
    <col min="15634" max="15634" width="7.75" style="160" bestFit="1" customWidth="1"/>
    <col min="15635" max="15636" width="9.625" style="160" bestFit="1" customWidth="1"/>
    <col min="15637" max="15638" width="9.625" style="160" customWidth="1"/>
    <col min="15639" max="15639" width="9.25" style="160" bestFit="1" customWidth="1"/>
    <col min="15640" max="15640" width="11" style="160" bestFit="1" customWidth="1"/>
    <col min="15641" max="15873" width="9" style="160"/>
    <col min="15874" max="15874" width="4.625" style="160" bestFit="1" customWidth="1"/>
    <col min="15875" max="15875" width="7.5" style="160" bestFit="1" customWidth="1"/>
    <col min="15876" max="15876" width="6.25" style="160" customWidth="1"/>
    <col min="15877" max="15877" width="11" style="160" bestFit="1" customWidth="1"/>
    <col min="15878" max="15879" width="9.625" style="160" bestFit="1" customWidth="1"/>
    <col min="15880" max="15880" width="8.25" style="160" bestFit="1" customWidth="1"/>
    <col min="15881" max="15882" width="9.625" style="160" bestFit="1" customWidth="1"/>
    <col min="15883" max="15883" width="8.25" style="160" bestFit="1" customWidth="1"/>
    <col min="15884" max="15885" width="9.625" style="160" bestFit="1" customWidth="1"/>
    <col min="15886" max="15887" width="8.25" style="160" bestFit="1" customWidth="1"/>
    <col min="15888" max="15888" width="11" style="160" bestFit="1" customWidth="1"/>
    <col min="15889" max="15889" width="8" style="160" bestFit="1" customWidth="1"/>
    <col min="15890" max="15890" width="7.75" style="160" bestFit="1" customWidth="1"/>
    <col min="15891" max="15892" width="9.625" style="160" bestFit="1" customWidth="1"/>
    <col min="15893" max="15894" width="9.625" style="160" customWidth="1"/>
    <col min="15895" max="15895" width="9.25" style="160" bestFit="1" customWidth="1"/>
    <col min="15896" max="15896" width="11" style="160" bestFit="1" customWidth="1"/>
    <col min="15897" max="16129" width="9" style="160"/>
    <col min="16130" max="16130" width="4.625" style="160" bestFit="1" customWidth="1"/>
    <col min="16131" max="16131" width="7.5" style="160" bestFit="1" customWidth="1"/>
    <col min="16132" max="16132" width="6.25" style="160" customWidth="1"/>
    <col min="16133" max="16133" width="11" style="160" bestFit="1" customWidth="1"/>
    <col min="16134" max="16135" width="9.625" style="160" bestFit="1" customWidth="1"/>
    <col min="16136" max="16136" width="8.25" style="160" bestFit="1" customWidth="1"/>
    <col min="16137" max="16138" width="9.625" style="160" bestFit="1" customWidth="1"/>
    <col min="16139" max="16139" width="8.25" style="160" bestFit="1" customWidth="1"/>
    <col min="16140" max="16141" width="9.625" style="160" bestFit="1" customWidth="1"/>
    <col min="16142" max="16143" width="8.25" style="160" bestFit="1" customWidth="1"/>
    <col min="16144" max="16144" width="11" style="160" bestFit="1" customWidth="1"/>
    <col min="16145" max="16145" width="8" style="160" bestFit="1" customWidth="1"/>
    <col min="16146" max="16146" width="7.75" style="160" bestFit="1" customWidth="1"/>
    <col min="16147" max="16148" width="9.625" style="160" bestFit="1" customWidth="1"/>
    <col min="16149" max="16150" width="9.625" style="160" customWidth="1"/>
    <col min="16151" max="16151" width="9.25" style="160" bestFit="1" customWidth="1"/>
    <col min="16152" max="16152" width="11" style="160" bestFit="1" customWidth="1"/>
    <col min="16153" max="16384" width="9" style="160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243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58"/>
      <c r="V4" s="252"/>
      <c r="W4" s="252"/>
      <c r="X4" s="252"/>
    </row>
    <row r="5" spans="2:29" ht="20.25" customHeight="1" x14ac:dyDescent="0.3">
      <c r="B5" s="253" t="s">
        <v>244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59"/>
      <c r="Q5" s="69"/>
      <c r="R5" s="69"/>
      <c r="S5" s="69"/>
      <c r="T5" s="252"/>
      <c r="U5" s="15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" si="10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1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" si="12">IFERROR(IF(D15&lt;&gt;"대표이사",ROUNDDOWN((P15-AC15)*고용보험율,-1),0),)</f>
        <v>17600</v>
      </c>
      <c r="W15" s="124">
        <f t="shared" ref="W15" si="13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24" si="14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119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4"/>
        <v>300000</v>
      </c>
    </row>
    <row r="17" spans="2:29" ht="20.100000000000001" customHeight="1" x14ac:dyDescent="0.3">
      <c r="B17" s="101">
        <v>9</v>
      </c>
      <c r="C17" s="87" t="s">
        <v>247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19" si="15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6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ref="V17:V24" si="17">IFERROR(IF(D17&lt;&gt;"대표이사",ROUNDDOWN((P17-AC17)*고용보험율,-1),0),)</f>
        <v>17600</v>
      </c>
      <c r="W17" s="124">
        <f t="shared" ref="W17:W24" si="18">SUM(Q17:V17)</f>
        <v>229290</v>
      </c>
      <c r="X17" s="128">
        <f t="shared" si="7"/>
        <v>2270710</v>
      </c>
      <c r="Z17" s="98">
        <v>1</v>
      </c>
      <c r="AA17" s="99"/>
      <c r="AC17" s="100">
        <f t="shared" si="14"/>
        <v>300000</v>
      </c>
    </row>
    <row r="18" spans="2:29" ht="20.100000000000001" customHeight="1" x14ac:dyDescent="0.3">
      <c r="B18" s="101">
        <v>10</v>
      </c>
      <c r="C18" s="87" t="s">
        <v>143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5"/>
        <v>2500000</v>
      </c>
      <c r="Q18" s="125">
        <f t="shared" si="1"/>
        <v>25950</v>
      </c>
      <c r="R18" s="126">
        <f t="shared" si="2"/>
        <v>2590</v>
      </c>
      <c r="S18" s="126">
        <f t="shared" si="16"/>
        <v>99000</v>
      </c>
      <c r="T18" s="95">
        <f t="shared" si="3"/>
        <v>75460</v>
      </c>
      <c r="U18" s="96">
        <f t="shared" si="4"/>
        <v>8690</v>
      </c>
      <c r="V18" s="127">
        <f t="shared" si="17"/>
        <v>17600</v>
      </c>
      <c r="W18" s="124">
        <f t="shared" si="18"/>
        <v>229290</v>
      </c>
      <c r="X18" s="128">
        <f t="shared" si="7"/>
        <v>2270710</v>
      </c>
      <c r="Z18" s="98">
        <v>1</v>
      </c>
      <c r="AA18" s="99"/>
      <c r="AC18" s="100">
        <f t="shared" si="14"/>
        <v>300000</v>
      </c>
    </row>
    <row r="19" spans="2:29" ht="20.100000000000001" customHeight="1" x14ac:dyDescent="0.3">
      <c r="B19" s="101">
        <v>11</v>
      </c>
      <c r="C19" s="87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5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4"/>
        <v>300000</v>
      </c>
    </row>
    <row r="20" spans="2:29" ht="20.100000000000001" customHeight="1" x14ac:dyDescent="0.3">
      <c r="B20" s="101">
        <v>12</v>
      </c>
      <c r="C20" s="87" t="s">
        <v>165</v>
      </c>
      <c r="D20" s="88" t="s">
        <v>45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ref="P20:P21" si="19">SUM(E20:O20)</f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251</v>
      </c>
      <c r="D21" s="88" t="s">
        <v>50</v>
      </c>
      <c r="E21" s="89">
        <v>1050000</v>
      </c>
      <c r="F21" s="106"/>
      <c r="G21" s="106"/>
      <c r="H21" s="106"/>
      <c r="I21" s="106"/>
      <c r="J21" s="107"/>
      <c r="K21" s="107"/>
      <c r="L21" s="107"/>
      <c r="M21" s="107"/>
      <c r="N21" s="89">
        <v>100000</v>
      </c>
      <c r="O21" s="130">
        <v>100000</v>
      </c>
      <c r="P21" s="124">
        <f t="shared" si="19"/>
        <v>1250000</v>
      </c>
      <c r="Q21" s="125">
        <f t="shared" ref="Q21" si="20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0</v>
      </c>
      <c r="R21" s="126">
        <f t="shared" si="2"/>
        <v>0</v>
      </c>
      <c r="S21" s="126"/>
      <c r="T21" s="95">
        <f t="shared" ref="T21" si="21">IFERROR(ROUNDDOWN((P21-AC21)*3.43%,-1),)</f>
        <v>36010</v>
      </c>
      <c r="U21" s="96">
        <f t="shared" si="4"/>
        <v>4140</v>
      </c>
      <c r="V21" s="127">
        <f t="shared" ref="V21" si="22">IFERROR(IF(D21&lt;&gt;"대표이사",ROUNDDOWN((P21-AC21)*고용보험율,-1),0),)</f>
        <v>8400</v>
      </c>
      <c r="W21" s="124">
        <f t="shared" ref="W21" si="23">SUM(Q21:V21)</f>
        <v>48550</v>
      </c>
      <c r="X21" s="128">
        <f t="shared" si="7"/>
        <v>1201450</v>
      </c>
      <c r="Z21" s="98">
        <v>1</v>
      </c>
      <c r="AA21" s="99"/>
      <c r="AC21" s="100">
        <f t="shared" ref="AC21" si="24">IF(N21&gt;=100000,100000,N21)+IF(O21&gt;=200000,200000,O21)</f>
        <v>200000</v>
      </c>
    </row>
    <row r="22" spans="2:29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25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ht="20.100000000000001" customHeight="1" x14ac:dyDescent="0.3">
      <c r="B23" s="101"/>
      <c r="C23" s="87"/>
      <c r="D23" s="88"/>
      <c r="E23" s="89"/>
      <c r="F23" s="102"/>
      <c r="G23" s="102"/>
      <c r="H23" s="102"/>
      <c r="I23" s="102"/>
      <c r="J23" s="103"/>
      <c r="K23" s="103"/>
      <c r="L23" s="103"/>
      <c r="M23" s="103"/>
      <c r="N23" s="89"/>
      <c r="O23" s="129"/>
      <c r="P23" s="124"/>
      <c r="Q23" s="125"/>
      <c r="R23" s="126"/>
      <c r="S23" s="126"/>
      <c r="T23" s="95"/>
      <c r="U23" s="96"/>
      <c r="V23" s="127"/>
      <c r="W23" s="124"/>
      <c r="X23" s="128"/>
      <c r="Z23" s="98"/>
      <c r="AA23" s="99"/>
      <c r="AC23" s="100"/>
    </row>
    <row r="24" spans="2:29" ht="20.100000000000001" customHeight="1" x14ac:dyDescent="0.3">
      <c r="B24" s="101"/>
      <c r="C24" s="87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>
        <f t="shared" si="1"/>
        <v>0</v>
      </c>
      <c r="R24" s="126">
        <f t="shared" si="2"/>
        <v>0</v>
      </c>
      <c r="S24" s="126">
        <f t="shared" si="16"/>
        <v>0</v>
      </c>
      <c r="T24" s="95">
        <f t="shared" si="3"/>
        <v>0</v>
      </c>
      <c r="U24" s="96">
        <f t="shared" si="4"/>
        <v>0</v>
      </c>
      <c r="V24" s="127">
        <f t="shared" si="17"/>
        <v>0</v>
      </c>
      <c r="W24" s="124">
        <f t="shared" si="18"/>
        <v>0</v>
      </c>
      <c r="X24" s="128">
        <f t="shared" si="7"/>
        <v>0</v>
      </c>
      <c r="Z24" s="98">
        <v>1</v>
      </c>
      <c r="AA24" s="99"/>
      <c r="AC24" s="100">
        <f t="shared" si="14"/>
        <v>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26">SUM(E9:E24)</f>
        <v>28350000</v>
      </c>
      <c r="F25" s="132">
        <f t="shared" si="26"/>
        <v>0</v>
      </c>
      <c r="G25" s="132">
        <f t="shared" si="26"/>
        <v>0</v>
      </c>
      <c r="H25" s="132">
        <f t="shared" si="26"/>
        <v>0</v>
      </c>
      <c r="I25" s="132">
        <f t="shared" si="26"/>
        <v>0</v>
      </c>
      <c r="J25" s="132">
        <f t="shared" si="26"/>
        <v>0</v>
      </c>
      <c r="K25" s="132">
        <f t="shared" si="26"/>
        <v>0</v>
      </c>
      <c r="L25" s="132">
        <f t="shared" si="26"/>
        <v>0</v>
      </c>
      <c r="M25" s="133">
        <f t="shared" si="26"/>
        <v>0</v>
      </c>
      <c r="N25" s="131">
        <f t="shared" si="26"/>
        <v>2700000</v>
      </c>
      <c r="O25" s="134">
        <f t="shared" si="26"/>
        <v>2700000</v>
      </c>
      <c r="P25" s="135">
        <f t="shared" si="26"/>
        <v>33750000</v>
      </c>
      <c r="Q25" s="131">
        <f t="shared" si="26"/>
        <v>337350</v>
      </c>
      <c r="R25" s="132">
        <f t="shared" si="26"/>
        <v>33670</v>
      </c>
      <c r="S25" s="132">
        <f t="shared" si="26"/>
        <v>693000</v>
      </c>
      <c r="T25" s="132">
        <f t="shared" si="26"/>
        <v>1016990</v>
      </c>
      <c r="U25" s="133">
        <f t="shared" si="26"/>
        <v>117110</v>
      </c>
      <c r="V25" s="133">
        <f t="shared" si="26"/>
        <v>237200</v>
      </c>
      <c r="W25" s="135">
        <f t="shared" si="26"/>
        <v>2435320</v>
      </c>
      <c r="X25" s="136">
        <f t="shared" si="26"/>
        <v>31314680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248</v>
      </c>
      <c r="D28" s="197" t="s">
        <v>263</v>
      </c>
      <c r="E28" s="198"/>
      <c r="F28" s="204" t="s">
        <v>253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 t="s">
        <v>249</v>
      </c>
      <c r="D29" s="197" t="s">
        <v>264</v>
      </c>
      <c r="E29" s="198"/>
      <c r="F29" s="204" t="s">
        <v>253</v>
      </c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 t="s">
        <v>250</v>
      </c>
      <c r="D30" s="197" t="s">
        <v>265</v>
      </c>
      <c r="E30" s="198"/>
      <c r="F30" s="204" t="s">
        <v>253</v>
      </c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 t="s">
        <v>251</v>
      </c>
      <c r="D31" s="227" t="s">
        <v>266</v>
      </c>
      <c r="E31" s="228"/>
      <c r="F31" s="229" t="s">
        <v>254</v>
      </c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 t="s">
        <v>165</v>
      </c>
      <c r="D32" s="197" t="s">
        <v>192</v>
      </c>
      <c r="E32" s="198"/>
      <c r="F32" s="199" t="s">
        <v>252</v>
      </c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5"/>
      <c r="C34" s="147"/>
      <c r="D34" s="197"/>
      <c r="E34" s="198"/>
      <c r="F34" s="204"/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6"/>
      <c r="C35" s="122"/>
      <c r="D35" s="197"/>
      <c r="E35" s="198"/>
      <c r="F35" s="204"/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20.100000000000001" customHeight="1" x14ac:dyDescent="0.3">
      <c r="Q36" s="64"/>
      <c r="R36" s="64"/>
      <c r="S36" s="64"/>
      <c r="T36" s="64"/>
      <c r="U36" s="64"/>
      <c r="V36" s="64"/>
    </row>
    <row r="37" spans="2:22" s="64" customFormat="1" ht="20.100000000000001" customHeight="1" x14ac:dyDescent="0.3">
      <c r="B37" s="160"/>
      <c r="C37" s="160"/>
      <c r="D37" s="160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60"/>
      <c r="C38" s="160"/>
      <c r="D38" s="160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60"/>
      <c r="C39" s="160"/>
      <c r="D39" s="160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60"/>
      <c r="C40" s="160"/>
      <c r="D40" s="160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60"/>
      <c r="C41" s="160"/>
      <c r="D41" s="160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60"/>
      <c r="C42" s="160"/>
      <c r="D42" s="160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60"/>
      <c r="C43" s="160"/>
      <c r="D43" s="160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60"/>
      <c r="C44" s="160"/>
      <c r="D44" s="160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60"/>
      <c r="C45" s="160"/>
      <c r="D45" s="160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60"/>
      <c r="C46" s="160"/>
      <c r="D46" s="160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60"/>
      <c r="C47" s="160"/>
      <c r="D47" s="160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60"/>
      <c r="C48" s="160"/>
      <c r="D48" s="160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60"/>
      <c r="C49" s="160"/>
      <c r="D49" s="160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60"/>
      <c r="C50" s="160"/>
      <c r="D50" s="16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60"/>
      <c r="C51" s="160"/>
      <c r="D51" s="160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60"/>
      <c r="C52" s="160"/>
      <c r="D52" s="160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60"/>
      <c r="C53" s="160"/>
      <c r="D53" s="160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60"/>
      <c r="C54" s="160"/>
      <c r="D54" s="160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60"/>
      <c r="C55" s="160"/>
      <c r="D55" s="160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60"/>
      <c r="C56" s="160"/>
      <c r="D56" s="16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60"/>
      <c r="C57" s="160"/>
      <c r="D57" s="160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60"/>
      <c r="C58" s="160"/>
      <c r="D58" s="160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60"/>
      <c r="C59" s="160"/>
      <c r="D59" s="160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60"/>
      <c r="C60" s="160"/>
      <c r="D60" s="160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60"/>
      <c r="C61" s="160"/>
      <c r="D61" s="160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60"/>
      <c r="C62" s="160"/>
      <c r="D62" s="160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60"/>
      <c r="C63" s="160"/>
      <c r="D63" s="160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60"/>
      <c r="C64" s="160"/>
      <c r="D64" s="160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60"/>
      <c r="C65" s="160"/>
      <c r="D65" s="160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60"/>
      <c r="C66" s="160"/>
      <c r="D66" s="160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60"/>
      <c r="C67" s="160"/>
      <c r="D67" s="160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60"/>
      <c r="C68" s="160"/>
      <c r="D68" s="160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60"/>
      <c r="C69" s="160"/>
      <c r="D69" s="160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60"/>
      <c r="C70" s="160"/>
      <c r="D70" s="160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60"/>
      <c r="C71" s="160"/>
      <c r="D71" s="160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60"/>
      <c r="C72" s="160"/>
      <c r="D72" s="160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60"/>
      <c r="C73" s="160"/>
      <c r="D73" s="160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60"/>
      <c r="C74" s="160"/>
      <c r="D74" s="160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60"/>
      <c r="C75" s="160"/>
      <c r="D75" s="160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60"/>
      <c r="C76" s="160"/>
      <c r="D76" s="160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60"/>
      <c r="C77" s="160"/>
      <c r="D77" s="160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60"/>
      <c r="C78" s="160"/>
      <c r="D78" s="160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60"/>
      <c r="C79" s="160"/>
      <c r="D79" s="160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60"/>
      <c r="C80" s="160"/>
      <c r="D80" s="160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60"/>
      <c r="C81" s="160"/>
      <c r="D81" s="160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60"/>
      <c r="C82" s="160"/>
      <c r="D82" s="160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60"/>
      <c r="C83" s="160"/>
      <c r="D83" s="160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60"/>
      <c r="C84" s="160"/>
      <c r="D84" s="160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60"/>
      <c r="C85" s="160"/>
      <c r="D85" s="160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60"/>
      <c r="C86" s="160"/>
      <c r="D86" s="160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60"/>
      <c r="C87" s="160"/>
      <c r="D87" s="160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60"/>
      <c r="C88" s="160"/>
      <c r="D88" s="160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60"/>
      <c r="C89" s="160"/>
      <c r="D89" s="160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60"/>
      <c r="C90" s="160"/>
      <c r="D90" s="160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60"/>
      <c r="C91" s="160"/>
      <c r="D91" s="160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60"/>
      <c r="C92" s="160"/>
      <c r="D92" s="160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60"/>
      <c r="C93" s="160"/>
      <c r="D93" s="160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60"/>
      <c r="C94" s="160"/>
      <c r="D94" s="160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60"/>
      <c r="C95" s="160"/>
      <c r="D95" s="160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60"/>
      <c r="C96" s="160"/>
      <c r="D96" s="160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60"/>
      <c r="C97" s="160"/>
      <c r="D97" s="160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60"/>
      <c r="C98" s="160"/>
      <c r="D98" s="160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60"/>
      <c r="C99" s="160"/>
      <c r="D99" s="160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60"/>
      <c r="C100" s="160"/>
      <c r="D100" s="160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60"/>
      <c r="C101" s="160"/>
      <c r="D101" s="160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60"/>
      <c r="C102" s="160"/>
      <c r="D102" s="160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60"/>
      <c r="C103" s="160"/>
      <c r="D103" s="160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60"/>
      <c r="C104" s="160"/>
      <c r="D104" s="160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60"/>
      <c r="C105" s="160"/>
      <c r="D105" s="160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60"/>
      <c r="C106" s="160"/>
      <c r="D106" s="160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60"/>
      <c r="C107" s="160"/>
      <c r="D107" s="160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60"/>
      <c r="C108" s="160"/>
      <c r="D108" s="160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60"/>
      <c r="C109" s="160"/>
      <c r="D109" s="160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60"/>
      <c r="C110" s="160"/>
      <c r="D110" s="160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60"/>
      <c r="C111" s="160"/>
      <c r="D111" s="160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60"/>
      <c r="C112" s="160"/>
      <c r="D112" s="160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60"/>
      <c r="C113" s="160"/>
      <c r="D113" s="160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60"/>
      <c r="C114" s="160"/>
      <c r="D114" s="160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60"/>
      <c r="C115" s="160"/>
      <c r="D115" s="160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60"/>
      <c r="C116" s="160"/>
      <c r="D116" s="160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60"/>
      <c r="C117" s="160"/>
      <c r="D117" s="160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60"/>
      <c r="C118" s="160"/>
      <c r="D118" s="160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60"/>
      <c r="C119" s="160"/>
      <c r="D119" s="160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60"/>
      <c r="C120" s="160"/>
      <c r="D120" s="160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60"/>
      <c r="C121" s="160"/>
      <c r="D121" s="160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60"/>
      <c r="C122" s="160"/>
      <c r="D122" s="160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60"/>
      <c r="C123" s="160"/>
      <c r="D123" s="160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60"/>
      <c r="C124" s="160"/>
      <c r="D124" s="160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60"/>
      <c r="C125" s="160"/>
      <c r="D125" s="160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60"/>
      <c r="C126" s="160"/>
      <c r="D126" s="160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60"/>
      <c r="C127" s="160"/>
      <c r="D127" s="160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60"/>
      <c r="C128" s="160"/>
      <c r="D128" s="160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60"/>
      <c r="C129" s="160"/>
      <c r="D129" s="160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60"/>
      <c r="C130" s="160"/>
      <c r="D130" s="160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60"/>
      <c r="C131" s="160"/>
      <c r="D131" s="160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60"/>
      <c r="C132" s="160"/>
      <c r="D132" s="160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60"/>
      <c r="C133" s="160"/>
      <c r="D133" s="160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60"/>
      <c r="C134" s="160"/>
      <c r="D134" s="160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60"/>
      <c r="C135" s="160"/>
      <c r="D135" s="160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60"/>
      <c r="C136" s="160"/>
      <c r="D136" s="160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60"/>
      <c r="C137" s="160"/>
      <c r="D137" s="160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60"/>
      <c r="C138" s="160"/>
      <c r="D138" s="160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60"/>
      <c r="C139" s="160"/>
      <c r="D139" s="160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60"/>
      <c r="C140" s="160"/>
      <c r="D140" s="160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60"/>
      <c r="C141" s="160"/>
      <c r="D141" s="160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60"/>
      <c r="C142" s="160"/>
      <c r="D142" s="160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60"/>
      <c r="C143" s="160"/>
      <c r="D143" s="160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60"/>
      <c r="C144" s="160"/>
      <c r="D144" s="160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60"/>
      <c r="C145" s="160"/>
      <c r="D145" s="160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60"/>
      <c r="C146" s="160"/>
      <c r="D146" s="160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60"/>
      <c r="C147" s="160"/>
      <c r="D147" s="160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60"/>
      <c r="C148" s="160"/>
      <c r="D148" s="160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60"/>
      <c r="C149" s="160"/>
      <c r="D149" s="160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60"/>
      <c r="C150" s="160"/>
      <c r="D150" s="160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60"/>
      <c r="C151" s="160"/>
      <c r="D151" s="160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60"/>
      <c r="C152" s="160"/>
      <c r="D152" s="160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60"/>
      <c r="C153" s="160"/>
      <c r="D153" s="160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60"/>
      <c r="C154" s="160"/>
      <c r="D154" s="160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60"/>
      <c r="C155" s="160"/>
      <c r="D155" s="160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60"/>
      <c r="C156" s="160"/>
      <c r="D156" s="160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60"/>
      <c r="C157" s="160"/>
      <c r="D157" s="160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60"/>
      <c r="C158" s="160"/>
      <c r="D158" s="160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60"/>
      <c r="C159" s="160"/>
      <c r="D159" s="160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60"/>
      <c r="C160" s="160"/>
      <c r="D160" s="160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60"/>
      <c r="C161" s="160"/>
      <c r="D161" s="160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60"/>
      <c r="C162" s="160"/>
      <c r="D162" s="160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60"/>
      <c r="C163" s="160"/>
      <c r="D163" s="160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60"/>
      <c r="C164" s="160"/>
      <c r="D164" s="160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60"/>
      <c r="C165" s="160"/>
      <c r="D165" s="160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60"/>
      <c r="C166" s="160"/>
      <c r="D166" s="160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60"/>
      <c r="C167" s="160"/>
      <c r="D167" s="160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60"/>
      <c r="C168" s="160"/>
      <c r="D168" s="160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60"/>
      <c r="C169" s="160"/>
      <c r="D169" s="160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60"/>
      <c r="C170" s="160"/>
      <c r="D170" s="160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60"/>
      <c r="C171" s="160"/>
      <c r="D171" s="160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60"/>
      <c r="C172" s="160"/>
      <c r="D172" s="160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60"/>
      <c r="C173" s="160"/>
      <c r="D173" s="160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60"/>
      <c r="C174" s="160"/>
      <c r="D174" s="160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60"/>
      <c r="C175" s="160"/>
      <c r="D175" s="160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60"/>
      <c r="C176" s="160"/>
      <c r="D176" s="160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60"/>
      <c r="C177" s="160"/>
      <c r="D177" s="160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60"/>
      <c r="C178" s="160"/>
      <c r="D178" s="160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60"/>
      <c r="C179" s="160"/>
      <c r="D179" s="160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60"/>
      <c r="C180" s="160"/>
      <c r="D180" s="160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60"/>
      <c r="C181" s="160"/>
      <c r="D181" s="160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60"/>
      <c r="C182" s="160"/>
      <c r="D182" s="160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60"/>
      <c r="C183" s="160"/>
      <c r="D183" s="160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60"/>
      <c r="C184" s="160"/>
      <c r="D184" s="160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60"/>
      <c r="C185" s="160"/>
      <c r="D185" s="160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60"/>
      <c r="C186" s="160"/>
      <c r="D186" s="160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60"/>
      <c r="C187" s="160"/>
      <c r="D187" s="160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60"/>
      <c r="C188" s="160"/>
      <c r="D188" s="160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60"/>
      <c r="C189" s="160"/>
      <c r="D189" s="160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60"/>
      <c r="C190" s="160"/>
      <c r="D190" s="160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60"/>
      <c r="C191" s="160"/>
      <c r="D191" s="160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60"/>
      <c r="C192" s="160"/>
      <c r="D192" s="160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60"/>
      <c r="C193" s="160"/>
      <c r="D193" s="160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60"/>
      <c r="C194" s="160"/>
      <c r="D194" s="160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60"/>
      <c r="C195" s="160"/>
      <c r="D195" s="160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60"/>
      <c r="C196" s="160"/>
      <c r="D196" s="160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60"/>
      <c r="C197" s="160"/>
      <c r="D197" s="160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60"/>
      <c r="C198" s="160"/>
      <c r="D198" s="160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60"/>
      <c r="C199" s="160"/>
      <c r="D199" s="160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60"/>
      <c r="C200" s="160"/>
      <c r="D200" s="160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60"/>
      <c r="C201" s="160"/>
      <c r="D201" s="160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60"/>
      <c r="C202" s="160"/>
      <c r="D202" s="160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60"/>
      <c r="C203" s="160"/>
      <c r="D203" s="160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60"/>
      <c r="C204" s="160"/>
      <c r="D204" s="160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60"/>
      <c r="C205" s="160"/>
      <c r="D205" s="160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60"/>
      <c r="C206" s="160"/>
      <c r="D206" s="160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60"/>
      <c r="C207" s="160"/>
      <c r="D207" s="160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60"/>
      <c r="C208" s="160"/>
      <c r="D208" s="160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60"/>
      <c r="C209" s="160"/>
      <c r="D209" s="160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60"/>
      <c r="C210" s="160"/>
      <c r="D210" s="160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60"/>
      <c r="C211" s="160"/>
      <c r="D211" s="160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60"/>
      <c r="C212" s="160"/>
      <c r="D212" s="160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60"/>
      <c r="C213" s="160"/>
      <c r="D213" s="160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60"/>
      <c r="C214" s="160"/>
      <c r="D214" s="160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60"/>
      <c r="C215" s="160"/>
      <c r="D215" s="160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60"/>
      <c r="C216" s="160"/>
      <c r="D216" s="160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60"/>
      <c r="C217" s="160"/>
      <c r="D217" s="160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60"/>
      <c r="C218" s="160"/>
      <c r="D218" s="160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60"/>
      <c r="C219" s="160"/>
      <c r="D219" s="160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60"/>
      <c r="C220" s="160"/>
      <c r="D220" s="160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60"/>
      <c r="C221" s="160"/>
      <c r="D221" s="160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60"/>
      <c r="C222" s="160"/>
      <c r="D222" s="160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60"/>
      <c r="C223" s="160"/>
      <c r="D223" s="160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60"/>
      <c r="C224" s="160"/>
      <c r="D224" s="160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60"/>
      <c r="C225" s="160"/>
      <c r="D225" s="160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60"/>
      <c r="C226" s="160"/>
      <c r="D226" s="160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60"/>
      <c r="C227" s="160"/>
      <c r="D227" s="160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60"/>
      <c r="C228" s="160"/>
      <c r="D228" s="160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60"/>
      <c r="C229" s="160"/>
      <c r="D229" s="160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60"/>
      <c r="C230" s="160"/>
      <c r="D230" s="160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60"/>
      <c r="C231" s="160"/>
      <c r="D231" s="160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60"/>
      <c r="C232" s="160"/>
      <c r="D232" s="160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60"/>
      <c r="C233" s="160"/>
      <c r="D233" s="160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60"/>
      <c r="C234" s="160"/>
      <c r="D234" s="160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60"/>
      <c r="C235" s="160"/>
      <c r="D235" s="160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60"/>
      <c r="C236" s="160"/>
      <c r="D236" s="160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60"/>
      <c r="C237" s="160"/>
      <c r="D237" s="160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60"/>
      <c r="C238" s="160"/>
      <c r="D238" s="160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60"/>
      <c r="C239" s="160"/>
      <c r="D239" s="160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60"/>
      <c r="C240" s="160"/>
      <c r="D240" s="160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60"/>
      <c r="C241" s="160"/>
      <c r="D241" s="160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60"/>
      <c r="C242" s="160"/>
      <c r="D242" s="160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60"/>
      <c r="C243" s="160"/>
      <c r="D243" s="160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60"/>
      <c r="C244" s="160"/>
      <c r="D244" s="160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60"/>
      <c r="C245" s="160"/>
      <c r="D245" s="160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60"/>
      <c r="C246" s="160"/>
      <c r="D246" s="160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60"/>
      <c r="C247" s="160"/>
      <c r="D247" s="160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60"/>
      <c r="C248" s="160"/>
      <c r="D248" s="160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60"/>
      <c r="C249" s="160"/>
      <c r="D249" s="160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60"/>
      <c r="C250" s="160"/>
      <c r="D250" s="160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60"/>
      <c r="C251" s="160"/>
      <c r="D251" s="160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60"/>
      <c r="C252" s="160"/>
      <c r="D252" s="160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60"/>
      <c r="C253" s="160"/>
      <c r="D253" s="160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60"/>
      <c r="C254" s="160"/>
      <c r="D254" s="160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60"/>
      <c r="C255" s="160"/>
      <c r="D255" s="160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60"/>
      <c r="C256" s="160"/>
      <c r="D256" s="160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60"/>
      <c r="C257" s="160"/>
      <c r="D257" s="160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60"/>
      <c r="C258" s="160"/>
      <c r="D258" s="160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60"/>
      <c r="C259" s="160"/>
      <c r="D259" s="160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60"/>
      <c r="C260" s="160"/>
      <c r="D260" s="160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60"/>
      <c r="C261" s="160"/>
      <c r="D261" s="160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60"/>
      <c r="C262" s="160"/>
      <c r="D262" s="160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60"/>
      <c r="C263" s="160"/>
      <c r="D263" s="160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60"/>
      <c r="C264" s="160"/>
      <c r="D264" s="160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60"/>
      <c r="C265" s="160"/>
      <c r="D265" s="160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60"/>
      <c r="C266" s="160"/>
      <c r="D266" s="160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60"/>
      <c r="C267" s="160"/>
      <c r="D267" s="160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60"/>
      <c r="C268" s="160"/>
      <c r="D268" s="160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60"/>
      <c r="C269" s="160"/>
      <c r="D269" s="160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60"/>
      <c r="C270" s="160"/>
      <c r="D270" s="160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60"/>
      <c r="C271" s="160"/>
      <c r="D271" s="160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60"/>
      <c r="C272" s="160"/>
      <c r="D272" s="160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60"/>
      <c r="C273" s="160"/>
      <c r="D273" s="160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60"/>
      <c r="C274" s="160"/>
      <c r="D274" s="160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60"/>
      <c r="C275" s="160"/>
      <c r="D275" s="160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60"/>
      <c r="C276" s="160"/>
      <c r="D276" s="160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60"/>
      <c r="C277" s="160"/>
      <c r="D277" s="160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60"/>
      <c r="C278" s="160"/>
      <c r="D278" s="160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60"/>
      <c r="C279" s="160"/>
      <c r="D279" s="160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60"/>
      <c r="C280" s="160"/>
      <c r="D280" s="160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60"/>
      <c r="C281" s="160"/>
      <c r="D281" s="160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60"/>
      <c r="C282" s="160"/>
      <c r="D282" s="160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60"/>
      <c r="C283" s="160"/>
      <c r="D283" s="160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B32:B35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  <mergeCell ref="D31:E31"/>
    <mergeCell ref="F31:G31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topLeftCell="A7" workbookViewId="0">
      <selection activeCell="C28" sqref="C28:G28"/>
    </sheetView>
  </sheetViews>
  <sheetFormatPr defaultRowHeight="13.5" x14ac:dyDescent="0.3"/>
  <cols>
    <col min="1" max="1" width="1.625" style="160" customWidth="1"/>
    <col min="2" max="2" width="4.625" style="160" bestFit="1" customWidth="1"/>
    <col min="3" max="3" width="7.625" style="160" bestFit="1" customWidth="1"/>
    <col min="4" max="4" width="8" style="160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60" customWidth="1"/>
    <col min="26" max="26" width="8.375" style="160" customWidth="1"/>
    <col min="27" max="27" width="7.25" style="160" customWidth="1"/>
    <col min="28" max="28" width="3.875" style="160" customWidth="1"/>
    <col min="29" max="29" width="0.5" style="160" customWidth="1"/>
    <col min="30" max="257" width="9" style="160"/>
    <col min="258" max="258" width="4.625" style="160" bestFit="1" customWidth="1"/>
    <col min="259" max="259" width="7.5" style="160" bestFit="1" customWidth="1"/>
    <col min="260" max="260" width="6.25" style="160" customWidth="1"/>
    <col min="261" max="261" width="11" style="160" bestFit="1" customWidth="1"/>
    <col min="262" max="263" width="9.625" style="160" bestFit="1" customWidth="1"/>
    <col min="264" max="264" width="8.25" style="160" bestFit="1" customWidth="1"/>
    <col min="265" max="266" width="9.625" style="160" bestFit="1" customWidth="1"/>
    <col min="267" max="267" width="8.25" style="160" bestFit="1" customWidth="1"/>
    <col min="268" max="269" width="9.625" style="160" bestFit="1" customWidth="1"/>
    <col min="270" max="271" width="8.25" style="160" bestFit="1" customWidth="1"/>
    <col min="272" max="272" width="11" style="160" bestFit="1" customWidth="1"/>
    <col min="273" max="273" width="8" style="160" bestFit="1" customWidth="1"/>
    <col min="274" max="274" width="7.75" style="160" bestFit="1" customWidth="1"/>
    <col min="275" max="276" width="9.625" style="160" bestFit="1" customWidth="1"/>
    <col min="277" max="278" width="9.625" style="160" customWidth="1"/>
    <col min="279" max="279" width="9.25" style="160" bestFit="1" customWidth="1"/>
    <col min="280" max="280" width="11" style="160" bestFit="1" customWidth="1"/>
    <col min="281" max="513" width="9" style="160"/>
    <col min="514" max="514" width="4.625" style="160" bestFit="1" customWidth="1"/>
    <col min="515" max="515" width="7.5" style="160" bestFit="1" customWidth="1"/>
    <col min="516" max="516" width="6.25" style="160" customWidth="1"/>
    <col min="517" max="517" width="11" style="160" bestFit="1" customWidth="1"/>
    <col min="518" max="519" width="9.625" style="160" bestFit="1" customWidth="1"/>
    <col min="520" max="520" width="8.25" style="160" bestFit="1" customWidth="1"/>
    <col min="521" max="522" width="9.625" style="160" bestFit="1" customWidth="1"/>
    <col min="523" max="523" width="8.25" style="160" bestFit="1" customWidth="1"/>
    <col min="524" max="525" width="9.625" style="160" bestFit="1" customWidth="1"/>
    <col min="526" max="527" width="8.25" style="160" bestFit="1" customWidth="1"/>
    <col min="528" max="528" width="11" style="160" bestFit="1" customWidth="1"/>
    <col min="529" max="529" width="8" style="160" bestFit="1" customWidth="1"/>
    <col min="530" max="530" width="7.75" style="160" bestFit="1" customWidth="1"/>
    <col min="531" max="532" width="9.625" style="160" bestFit="1" customWidth="1"/>
    <col min="533" max="534" width="9.625" style="160" customWidth="1"/>
    <col min="535" max="535" width="9.25" style="160" bestFit="1" customWidth="1"/>
    <col min="536" max="536" width="11" style="160" bestFit="1" customWidth="1"/>
    <col min="537" max="769" width="9" style="160"/>
    <col min="770" max="770" width="4.625" style="160" bestFit="1" customWidth="1"/>
    <col min="771" max="771" width="7.5" style="160" bestFit="1" customWidth="1"/>
    <col min="772" max="772" width="6.25" style="160" customWidth="1"/>
    <col min="773" max="773" width="11" style="160" bestFit="1" customWidth="1"/>
    <col min="774" max="775" width="9.625" style="160" bestFit="1" customWidth="1"/>
    <col min="776" max="776" width="8.25" style="160" bestFit="1" customWidth="1"/>
    <col min="777" max="778" width="9.625" style="160" bestFit="1" customWidth="1"/>
    <col min="779" max="779" width="8.25" style="160" bestFit="1" customWidth="1"/>
    <col min="780" max="781" width="9.625" style="160" bestFit="1" customWidth="1"/>
    <col min="782" max="783" width="8.25" style="160" bestFit="1" customWidth="1"/>
    <col min="784" max="784" width="11" style="160" bestFit="1" customWidth="1"/>
    <col min="785" max="785" width="8" style="160" bestFit="1" customWidth="1"/>
    <col min="786" max="786" width="7.75" style="160" bestFit="1" customWidth="1"/>
    <col min="787" max="788" width="9.625" style="160" bestFit="1" customWidth="1"/>
    <col min="789" max="790" width="9.625" style="160" customWidth="1"/>
    <col min="791" max="791" width="9.25" style="160" bestFit="1" customWidth="1"/>
    <col min="792" max="792" width="11" style="160" bestFit="1" customWidth="1"/>
    <col min="793" max="1025" width="9" style="160"/>
    <col min="1026" max="1026" width="4.625" style="160" bestFit="1" customWidth="1"/>
    <col min="1027" max="1027" width="7.5" style="160" bestFit="1" customWidth="1"/>
    <col min="1028" max="1028" width="6.25" style="160" customWidth="1"/>
    <col min="1029" max="1029" width="11" style="160" bestFit="1" customWidth="1"/>
    <col min="1030" max="1031" width="9.625" style="160" bestFit="1" customWidth="1"/>
    <col min="1032" max="1032" width="8.25" style="160" bestFit="1" customWidth="1"/>
    <col min="1033" max="1034" width="9.625" style="160" bestFit="1" customWidth="1"/>
    <col min="1035" max="1035" width="8.25" style="160" bestFit="1" customWidth="1"/>
    <col min="1036" max="1037" width="9.625" style="160" bestFit="1" customWidth="1"/>
    <col min="1038" max="1039" width="8.25" style="160" bestFit="1" customWidth="1"/>
    <col min="1040" max="1040" width="11" style="160" bestFit="1" customWidth="1"/>
    <col min="1041" max="1041" width="8" style="160" bestFit="1" customWidth="1"/>
    <col min="1042" max="1042" width="7.75" style="160" bestFit="1" customWidth="1"/>
    <col min="1043" max="1044" width="9.625" style="160" bestFit="1" customWidth="1"/>
    <col min="1045" max="1046" width="9.625" style="160" customWidth="1"/>
    <col min="1047" max="1047" width="9.25" style="160" bestFit="1" customWidth="1"/>
    <col min="1048" max="1048" width="11" style="160" bestFit="1" customWidth="1"/>
    <col min="1049" max="1281" width="9" style="160"/>
    <col min="1282" max="1282" width="4.625" style="160" bestFit="1" customWidth="1"/>
    <col min="1283" max="1283" width="7.5" style="160" bestFit="1" customWidth="1"/>
    <col min="1284" max="1284" width="6.25" style="160" customWidth="1"/>
    <col min="1285" max="1285" width="11" style="160" bestFit="1" customWidth="1"/>
    <col min="1286" max="1287" width="9.625" style="160" bestFit="1" customWidth="1"/>
    <col min="1288" max="1288" width="8.25" style="160" bestFit="1" customWidth="1"/>
    <col min="1289" max="1290" width="9.625" style="160" bestFit="1" customWidth="1"/>
    <col min="1291" max="1291" width="8.25" style="160" bestFit="1" customWidth="1"/>
    <col min="1292" max="1293" width="9.625" style="160" bestFit="1" customWidth="1"/>
    <col min="1294" max="1295" width="8.25" style="160" bestFit="1" customWidth="1"/>
    <col min="1296" max="1296" width="11" style="160" bestFit="1" customWidth="1"/>
    <col min="1297" max="1297" width="8" style="160" bestFit="1" customWidth="1"/>
    <col min="1298" max="1298" width="7.75" style="160" bestFit="1" customWidth="1"/>
    <col min="1299" max="1300" width="9.625" style="160" bestFit="1" customWidth="1"/>
    <col min="1301" max="1302" width="9.625" style="160" customWidth="1"/>
    <col min="1303" max="1303" width="9.25" style="160" bestFit="1" customWidth="1"/>
    <col min="1304" max="1304" width="11" style="160" bestFit="1" customWidth="1"/>
    <col min="1305" max="1537" width="9" style="160"/>
    <col min="1538" max="1538" width="4.625" style="160" bestFit="1" customWidth="1"/>
    <col min="1539" max="1539" width="7.5" style="160" bestFit="1" customWidth="1"/>
    <col min="1540" max="1540" width="6.25" style="160" customWidth="1"/>
    <col min="1541" max="1541" width="11" style="160" bestFit="1" customWidth="1"/>
    <col min="1542" max="1543" width="9.625" style="160" bestFit="1" customWidth="1"/>
    <col min="1544" max="1544" width="8.25" style="160" bestFit="1" customWidth="1"/>
    <col min="1545" max="1546" width="9.625" style="160" bestFit="1" customWidth="1"/>
    <col min="1547" max="1547" width="8.25" style="160" bestFit="1" customWidth="1"/>
    <col min="1548" max="1549" width="9.625" style="160" bestFit="1" customWidth="1"/>
    <col min="1550" max="1551" width="8.25" style="160" bestFit="1" customWidth="1"/>
    <col min="1552" max="1552" width="11" style="160" bestFit="1" customWidth="1"/>
    <col min="1553" max="1553" width="8" style="160" bestFit="1" customWidth="1"/>
    <col min="1554" max="1554" width="7.75" style="160" bestFit="1" customWidth="1"/>
    <col min="1555" max="1556" width="9.625" style="160" bestFit="1" customWidth="1"/>
    <col min="1557" max="1558" width="9.625" style="160" customWidth="1"/>
    <col min="1559" max="1559" width="9.25" style="160" bestFit="1" customWidth="1"/>
    <col min="1560" max="1560" width="11" style="160" bestFit="1" customWidth="1"/>
    <col min="1561" max="1793" width="9" style="160"/>
    <col min="1794" max="1794" width="4.625" style="160" bestFit="1" customWidth="1"/>
    <col min="1795" max="1795" width="7.5" style="160" bestFit="1" customWidth="1"/>
    <col min="1796" max="1796" width="6.25" style="160" customWidth="1"/>
    <col min="1797" max="1797" width="11" style="160" bestFit="1" customWidth="1"/>
    <col min="1798" max="1799" width="9.625" style="160" bestFit="1" customWidth="1"/>
    <col min="1800" max="1800" width="8.25" style="160" bestFit="1" customWidth="1"/>
    <col min="1801" max="1802" width="9.625" style="160" bestFit="1" customWidth="1"/>
    <col min="1803" max="1803" width="8.25" style="160" bestFit="1" customWidth="1"/>
    <col min="1804" max="1805" width="9.625" style="160" bestFit="1" customWidth="1"/>
    <col min="1806" max="1807" width="8.25" style="160" bestFit="1" customWidth="1"/>
    <col min="1808" max="1808" width="11" style="160" bestFit="1" customWidth="1"/>
    <col min="1809" max="1809" width="8" style="160" bestFit="1" customWidth="1"/>
    <col min="1810" max="1810" width="7.75" style="160" bestFit="1" customWidth="1"/>
    <col min="1811" max="1812" width="9.625" style="160" bestFit="1" customWidth="1"/>
    <col min="1813" max="1814" width="9.625" style="160" customWidth="1"/>
    <col min="1815" max="1815" width="9.25" style="160" bestFit="1" customWidth="1"/>
    <col min="1816" max="1816" width="11" style="160" bestFit="1" customWidth="1"/>
    <col min="1817" max="2049" width="9" style="160"/>
    <col min="2050" max="2050" width="4.625" style="160" bestFit="1" customWidth="1"/>
    <col min="2051" max="2051" width="7.5" style="160" bestFit="1" customWidth="1"/>
    <col min="2052" max="2052" width="6.25" style="160" customWidth="1"/>
    <col min="2053" max="2053" width="11" style="160" bestFit="1" customWidth="1"/>
    <col min="2054" max="2055" width="9.625" style="160" bestFit="1" customWidth="1"/>
    <col min="2056" max="2056" width="8.25" style="160" bestFit="1" customWidth="1"/>
    <col min="2057" max="2058" width="9.625" style="160" bestFit="1" customWidth="1"/>
    <col min="2059" max="2059" width="8.25" style="160" bestFit="1" customWidth="1"/>
    <col min="2060" max="2061" width="9.625" style="160" bestFit="1" customWidth="1"/>
    <col min="2062" max="2063" width="8.25" style="160" bestFit="1" customWidth="1"/>
    <col min="2064" max="2064" width="11" style="160" bestFit="1" customWidth="1"/>
    <col min="2065" max="2065" width="8" style="160" bestFit="1" customWidth="1"/>
    <col min="2066" max="2066" width="7.75" style="160" bestFit="1" customWidth="1"/>
    <col min="2067" max="2068" width="9.625" style="160" bestFit="1" customWidth="1"/>
    <col min="2069" max="2070" width="9.625" style="160" customWidth="1"/>
    <col min="2071" max="2071" width="9.25" style="160" bestFit="1" customWidth="1"/>
    <col min="2072" max="2072" width="11" style="160" bestFit="1" customWidth="1"/>
    <col min="2073" max="2305" width="9" style="160"/>
    <col min="2306" max="2306" width="4.625" style="160" bestFit="1" customWidth="1"/>
    <col min="2307" max="2307" width="7.5" style="160" bestFit="1" customWidth="1"/>
    <col min="2308" max="2308" width="6.25" style="160" customWidth="1"/>
    <col min="2309" max="2309" width="11" style="160" bestFit="1" customWidth="1"/>
    <col min="2310" max="2311" width="9.625" style="160" bestFit="1" customWidth="1"/>
    <col min="2312" max="2312" width="8.25" style="160" bestFit="1" customWidth="1"/>
    <col min="2313" max="2314" width="9.625" style="160" bestFit="1" customWidth="1"/>
    <col min="2315" max="2315" width="8.25" style="160" bestFit="1" customWidth="1"/>
    <col min="2316" max="2317" width="9.625" style="160" bestFit="1" customWidth="1"/>
    <col min="2318" max="2319" width="8.25" style="160" bestFit="1" customWidth="1"/>
    <col min="2320" max="2320" width="11" style="160" bestFit="1" customWidth="1"/>
    <col min="2321" max="2321" width="8" style="160" bestFit="1" customWidth="1"/>
    <col min="2322" max="2322" width="7.75" style="160" bestFit="1" customWidth="1"/>
    <col min="2323" max="2324" width="9.625" style="160" bestFit="1" customWidth="1"/>
    <col min="2325" max="2326" width="9.625" style="160" customWidth="1"/>
    <col min="2327" max="2327" width="9.25" style="160" bestFit="1" customWidth="1"/>
    <col min="2328" max="2328" width="11" style="160" bestFit="1" customWidth="1"/>
    <col min="2329" max="2561" width="9" style="160"/>
    <col min="2562" max="2562" width="4.625" style="160" bestFit="1" customWidth="1"/>
    <col min="2563" max="2563" width="7.5" style="160" bestFit="1" customWidth="1"/>
    <col min="2564" max="2564" width="6.25" style="160" customWidth="1"/>
    <col min="2565" max="2565" width="11" style="160" bestFit="1" customWidth="1"/>
    <col min="2566" max="2567" width="9.625" style="160" bestFit="1" customWidth="1"/>
    <col min="2568" max="2568" width="8.25" style="160" bestFit="1" customWidth="1"/>
    <col min="2569" max="2570" width="9.625" style="160" bestFit="1" customWidth="1"/>
    <col min="2571" max="2571" width="8.25" style="160" bestFit="1" customWidth="1"/>
    <col min="2572" max="2573" width="9.625" style="160" bestFit="1" customWidth="1"/>
    <col min="2574" max="2575" width="8.25" style="160" bestFit="1" customWidth="1"/>
    <col min="2576" max="2576" width="11" style="160" bestFit="1" customWidth="1"/>
    <col min="2577" max="2577" width="8" style="160" bestFit="1" customWidth="1"/>
    <col min="2578" max="2578" width="7.75" style="160" bestFit="1" customWidth="1"/>
    <col min="2579" max="2580" width="9.625" style="160" bestFit="1" customWidth="1"/>
    <col min="2581" max="2582" width="9.625" style="160" customWidth="1"/>
    <col min="2583" max="2583" width="9.25" style="160" bestFit="1" customWidth="1"/>
    <col min="2584" max="2584" width="11" style="160" bestFit="1" customWidth="1"/>
    <col min="2585" max="2817" width="9" style="160"/>
    <col min="2818" max="2818" width="4.625" style="160" bestFit="1" customWidth="1"/>
    <col min="2819" max="2819" width="7.5" style="160" bestFit="1" customWidth="1"/>
    <col min="2820" max="2820" width="6.25" style="160" customWidth="1"/>
    <col min="2821" max="2821" width="11" style="160" bestFit="1" customWidth="1"/>
    <col min="2822" max="2823" width="9.625" style="160" bestFit="1" customWidth="1"/>
    <col min="2824" max="2824" width="8.25" style="160" bestFit="1" customWidth="1"/>
    <col min="2825" max="2826" width="9.625" style="160" bestFit="1" customWidth="1"/>
    <col min="2827" max="2827" width="8.25" style="160" bestFit="1" customWidth="1"/>
    <col min="2828" max="2829" width="9.625" style="160" bestFit="1" customWidth="1"/>
    <col min="2830" max="2831" width="8.25" style="160" bestFit="1" customWidth="1"/>
    <col min="2832" max="2832" width="11" style="160" bestFit="1" customWidth="1"/>
    <col min="2833" max="2833" width="8" style="160" bestFit="1" customWidth="1"/>
    <col min="2834" max="2834" width="7.75" style="160" bestFit="1" customWidth="1"/>
    <col min="2835" max="2836" width="9.625" style="160" bestFit="1" customWidth="1"/>
    <col min="2837" max="2838" width="9.625" style="160" customWidth="1"/>
    <col min="2839" max="2839" width="9.25" style="160" bestFit="1" customWidth="1"/>
    <col min="2840" max="2840" width="11" style="160" bestFit="1" customWidth="1"/>
    <col min="2841" max="3073" width="9" style="160"/>
    <col min="3074" max="3074" width="4.625" style="160" bestFit="1" customWidth="1"/>
    <col min="3075" max="3075" width="7.5" style="160" bestFit="1" customWidth="1"/>
    <col min="3076" max="3076" width="6.25" style="160" customWidth="1"/>
    <col min="3077" max="3077" width="11" style="160" bestFit="1" customWidth="1"/>
    <col min="3078" max="3079" width="9.625" style="160" bestFit="1" customWidth="1"/>
    <col min="3080" max="3080" width="8.25" style="160" bestFit="1" customWidth="1"/>
    <col min="3081" max="3082" width="9.625" style="160" bestFit="1" customWidth="1"/>
    <col min="3083" max="3083" width="8.25" style="160" bestFit="1" customWidth="1"/>
    <col min="3084" max="3085" width="9.625" style="160" bestFit="1" customWidth="1"/>
    <col min="3086" max="3087" width="8.25" style="160" bestFit="1" customWidth="1"/>
    <col min="3088" max="3088" width="11" style="160" bestFit="1" customWidth="1"/>
    <col min="3089" max="3089" width="8" style="160" bestFit="1" customWidth="1"/>
    <col min="3090" max="3090" width="7.75" style="160" bestFit="1" customWidth="1"/>
    <col min="3091" max="3092" width="9.625" style="160" bestFit="1" customWidth="1"/>
    <col min="3093" max="3094" width="9.625" style="160" customWidth="1"/>
    <col min="3095" max="3095" width="9.25" style="160" bestFit="1" customWidth="1"/>
    <col min="3096" max="3096" width="11" style="160" bestFit="1" customWidth="1"/>
    <col min="3097" max="3329" width="9" style="160"/>
    <col min="3330" max="3330" width="4.625" style="160" bestFit="1" customWidth="1"/>
    <col min="3331" max="3331" width="7.5" style="160" bestFit="1" customWidth="1"/>
    <col min="3332" max="3332" width="6.25" style="160" customWidth="1"/>
    <col min="3333" max="3333" width="11" style="160" bestFit="1" customWidth="1"/>
    <col min="3334" max="3335" width="9.625" style="160" bestFit="1" customWidth="1"/>
    <col min="3336" max="3336" width="8.25" style="160" bestFit="1" customWidth="1"/>
    <col min="3337" max="3338" width="9.625" style="160" bestFit="1" customWidth="1"/>
    <col min="3339" max="3339" width="8.25" style="160" bestFit="1" customWidth="1"/>
    <col min="3340" max="3341" width="9.625" style="160" bestFit="1" customWidth="1"/>
    <col min="3342" max="3343" width="8.25" style="160" bestFit="1" customWidth="1"/>
    <col min="3344" max="3344" width="11" style="160" bestFit="1" customWidth="1"/>
    <col min="3345" max="3345" width="8" style="160" bestFit="1" customWidth="1"/>
    <col min="3346" max="3346" width="7.75" style="160" bestFit="1" customWidth="1"/>
    <col min="3347" max="3348" width="9.625" style="160" bestFit="1" customWidth="1"/>
    <col min="3349" max="3350" width="9.625" style="160" customWidth="1"/>
    <col min="3351" max="3351" width="9.25" style="160" bestFit="1" customWidth="1"/>
    <col min="3352" max="3352" width="11" style="160" bestFit="1" customWidth="1"/>
    <col min="3353" max="3585" width="9" style="160"/>
    <col min="3586" max="3586" width="4.625" style="160" bestFit="1" customWidth="1"/>
    <col min="3587" max="3587" width="7.5" style="160" bestFit="1" customWidth="1"/>
    <col min="3588" max="3588" width="6.25" style="160" customWidth="1"/>
    <col min="3589" max="3589" width="11" style="160" bestFit="1" customWidth="1"/>
    <col min="3590" max="3591" width="9.625" style="160" bestFit="1" customWidth="1"/>
    <col min="3592" max="3592" width="8.25" style="160" bestFit="1" customWidth="1"/>
    <col min="3593" max="3594" width="9.625" style="160" bestFit="1" customWidth="1"/>
    <col min="3595" max="3595" width="8.25" style="160" bestFit="1" customWidth="1"/>
    <col min="3596" max="3597" width="9.625" style="160" bestFit="1" customWidth="1"/>
    <col min="3598" max="3599" width="8.25" style="160" bestFit="1" customWidth="1"/>
    <col min="3600" max="3600" width="11" style="160" bestFit="1" customWidth="1"/>
    <col min="3601" max="3601" width="8" style="160" bestFit="1" customWidth="1"/>
    <col min="3602" max="3602" width="7.75" style="160" bestFit="1" customWidth="1"/>
    <col min="3603" max="3604" width="9.625" style="160" bestFit="1" customWidth="1"/>
    <col min="3605" max="3606" width="9.625" style="160" customWidth="1"/>
    <col min="3607" max="3607" width="9.25" style="160" bestFit="1" customWidth="1"/>
    <col min="3608" max="3608" width="11" style="160" bestFit="1" customWidth="1"/>
    <col min="3609" max="3841" width="9" style="160"/>
    <col min="3842" max="3842" width="4.625" style="160" bestFit="1" customWidth="1"/>
    <col min="3843" max="3843" width="7.5" style="160" bestFit="1" customWidth="1"/>
    <col min="3844" max="3844" width="6.25" style="160" customWidth="1"/>
    <col min="3845" max="3845" width="11" style="160" bestFit="1" customWidth="1"/>
    <col min="3846" max="3847" width="9.625" style="160" bestFit="1" customWidth="1"/>
    <col min="3848" max="3848" width="8.25" style="160" bestFit="1" customWidth="1"/>
    <col min="3849" max="3850" width="9.625" style="160" bestFit="1" customWidth="1"/>
    <col min="3851" max="3851" width="8.25" style="160" bestFit="1" customWidth="1"/>
    <col min="3852" max="3853" width="9.625" style="160" bestFit="1" customWidth="1"/>
    <col min="3854" max="3855" width="8.25" style="160" bestFit="1" customWidth="1"/>
    <col min="3856" max="3856" width="11" style="160" bestFit="1" customWidth="1"/>
    <col min="3857" max="3857" width="8" style="160" bestFit="1" customWidth="1"/>
    <col min="3858" max="3858" width="7.75" style="160" bestFit="1" customWidth="1"/>
    <col min="3859" max="3860" width="9.625" style="160" bestFit="1" customWidth="1"/>
    <col min="3861" max="3862" width="9.625" style="160" customWidth="1"/>
    <col min="3863" max="3863" width="9.25" style="160" bestFit="1" customWidth="1"/>
    <col min="3864" max="3864" width="11" style="160" bestFit="1" customWidth="1"/>
    <col min="3865" max="4097" width="9" style="160"/>
    <col min="4098" max="4098" width="4.625" style="160" bestFit="1" customWidth="1"/>
    <col min="4099" max="4099" width="7.5" style="160" bestFit="1" customWidth="1"/>
    <col min="4100" max="4100" width="6.25" style="160" customWidth="1"/>
    <col min="4101" max="4101" width="11" style="160" bestFit="1" customWidth="1"/>
    <col min="4102" max="4103" width="9.625" style="160" bestFit="1" customWidth="1"/>
    <col min="4104" max="4104" width="8.25" style="160" bestFit="1" customWidth="1"/>
    <col min="4105" max="4106" width="9.625" style="160" bestFit="1" customWidth="1"/>
    <col min="4107" max="4107" width="8.25" style="160" bestFit="1" customWidth="1"/>
    <col min="4108" max="4109" width="9.625" style="160" bestFit="1" customWidth="1"/>
    <col min="4110" max="4111" width="8.25" style="160" bestFit="1" customWidth="1"/>
    <col min="4112" max="4112" width="11" style="160" bestFit="1" customWidth="1"/>
    <col min="4113" max="4113" width="8" style="160" bestFit="1" customWidth="1"/>
    <col min="4114" max="4114" width="7.75" style="160" bestFit="1" customWidth="1"/>
    <col min="4115" max="4116" width="9.625" style="160" bestFit="1" customWidth="1"/>
    <col min="4117" max="4118" width="9.625" style="160" customWidth="1"/>
    <col min="4119" max="4119" width="9.25" style="160" bestFit="1" customWidth="1"/>
    <col min="4120" max="4120" width="11" style="160" bestFit="1" customWidth="1"/>
    <col min="4121" max="4353" width="9" style="160"/>
    <col min="4354" max="4354" width="4.625" style="160" bestFit="1" customWidth="1"/>
    <col min="4355" max="4355" width="7.5" style="160" bestFit="1" customWidth="1"/>
    <col min="4356" max="4356" width="6.25" style="160" customWidth="1"/>
    <col min="4357" max="4357" width="11" style="160" bestFit="1" customWidth="1"/>
    <col min="4358" max="4359" width="9.625" style="160" bestFit="1" customWidth="1"/>
    <col min="4360" max="4360" width="8.25" style="160" bestFit="1" customWidth="1"/>
    <col min="4361" max="4362" width="9.625" style="160" bestFit="1" customWidth="1"/>
    <col min="4363" max="4363" width="8.25" style="160" bestFit="1" customWidth="1"/>
    <col min="4364" max="4365" width="9.625" style="160" bestFit="1" customWidth="1"/>
    <col min="4366" max="4367" width="8.25" style="160" bestFit="1" customWidth="1"/>
    <col min="4368" max="4368" width="11" style="160" bestFit="1" customWidth="1"/>
    <col min="4369" max="4369" width="8" style="160" bestFit="1" customWidth="1"/>
    <col min="4370" max="4370" width="7.75" style="160" bestFit="1" customWidth="1"/>
    <col min="4371" max="4372" width="9.625" style="160" bestFit="1" customWidth="1"/>
    <col min="4373" max="4374" width="9.625" style="160" customWidth="1"/>
    <col min="4375" max="4375" width="9.25" style="160" bestFit="1" customWidth="1"/>
    <col min="4376" max="4376" width="11" style="160" bestFit="1" customWidth="1"/>
    <col min="4377" max="4609" width="9" style="160"/>
    <col min="4610" max="4610" width="4.625" style="160" bestFit="1" customWidth="1"/>
    <col min="4611" max="4611" width="7.5" style="160" bestFit="1" customWidth="1"/>
    <col min="4612" max="4612" width="6.25" style="160" customWidth="1"/>
    <col min="4613" max="4613" width="11" style="160" bestFit="1" customWidth="1"/>
    <col min="4614" max="4615" width="9.625" style="160" bestFit="1" customWidth="1"/>
    <col min="4616" max="4616" width="8.25" style="160" bestFit="1" customWidth="1"/>
    <col min="4617" max="4618" width="9.625" style="160" bestFit="1" customWidth="1"/>
    <col min="4619" max="4619" width="8.25" style="160" bestFit="1" customWidth="1"/>
    <col min="4620" max="4621" width="9.625" style="160" bestFit="1" customWidth="1"/>
    <col min="4622" max="4623" width="8.25" style="160" bestFit="1" customWidth="1"/>
    <col min="4624" max="4624" width="11" style="160" bestFit="1" customWidth="1"/>
    <col min="4625" max="4625" width="8" style="160" bestFit="1" customWidth="1"/>
    <col min="4626" max="4626" width="7.75" style="160" bestFit="1" customWidth="1"/>
    <col min="4627" max="4628" width="9.625" style="160" bestFit="1" customWidth="1"/>
    <col min="4629" max="4630" width="9.625" style="160" customWidth="1"/>
    <col min="4631" max="4631" width="9.25" style="160" bestFit="1" customWidth="1"/>
    <col min="4632" max="4632" width="11" style="160" bestFit="1" customWidth="1"/>
    <col min="4633" max="4865" width="9" style="160"/>
    <col min="4866" max="4866" width="4.625" style="160" bestFit="1" customWidth="1"/>
    <col min="4867" max="4867" width="7.5" style="160" bestFit="1" customWidth="1"/>
    <col min="4868" max="4868" width="6.25" style="160" customWidth="1"/>
    <col min="4869" max="4869" width="11" style="160" bestFit="1" customWidth="1"/>
    <col min="4870" max="4871" width="9.625" style="160" bestFit="1" customWidth="1"/>
    <col min="4872" max="4872" width="8.25" style="160" bestFit="1" customWidth="1"/>
    <col min="4873" max="4874" width="9.625" style="160" bestFit="1" customWidth="1"/>
    <col min="4875" max="4875" width="8.25" style="160" bestFit="1" customWidth="1"/>
    <col min="4876" max="4877" width="9.625" style="160" bestFit="1" customWidth="1"/>
    <col min="4878" max="4879" width="8.25" style="160" bestFit="1" customWidth="1"/>
    <col min="4880" max="4880" width="11" style="160" bestFit="1" customWidth="1"/>
    <col min="4881" max="4881" width="8" style="160" bestFit="1" customWidth="1"/>
    <col min="4882" max="4882" width="7.75" style="160" bestFit="1" customWidth="1"/>
    <col min="4883" max="4884" width="9.625" style="160" bestFit="1" customWidth="1"/>
    <col min="4885" max="4886" width="9.625" style="160" customWidth="1"/>
    <col min="4887" max="4887" width="9.25" style="160" bestFit="1" customWidth="1"/>
    <col min="4888" max="4888" width="11" style="160" bestFit="1" customWidth="1"/>
    <col min="4889" max="5121" width="9" style="160"/>
    <col min="5122" max="5122" width="4.625" style="160" bestFit="1" customWidth="1"/>
    <col min="5123" max="5123" width="7.5" style="160" bestFit="1" customWidth="1"/>
    <col min="5124" max="5124" width="6.25" style="160" customWidth="1"/>
    <col min="5125" max="5125" width="11" style="160" bestFit="1" customWidth="1"/>
    <col min="5126" max="5127" width="9.625" style="160" bestFit="1" customWidth="1"/>
    <col min="5128" max="5128" width="8.25" style="160" bestFit="1" customWidth="1"/>
    <col min="5129" max="5130" width="9.625" style="160" bestFit="1" customWidth="1"/>
    <col min="5131" max="5131" width="8.25" style="160" bestFit="1" customWidth="1"/>
    <col min="5132" max="5133" width="9.625" style="160" bestFit="1" customWidth="1"/>
    <col min="5134" max="5135" width="8.25" style="160" bestFit="1" customWidth="1"/>
    <col min="5136" max="5136" width="11" style="160" bestFit="1" customWidth="1"/>
    <col min="5137" max="5137" width="8" style="160" bestFit="1" customWidth="1"/>
    <col min="5138" max="5138" width="7.75" style="160" bestFit="1" customWidth="1"/>
    <col min="5139" max="5140" width="9.625" style="160" bestFit="1" customWidth="1"/>
    <col min="5141" max="5142" width="9.625" style="160" customWidth="1"/>
    <col min="5143" max="5143" width="9.25" style="160" bestFit="1" customWidth="1"/>
    <col min="5144" max="5144" width="11" style="160" bestFit="1" customWidth="1"/>
    <col min="5145" max="5377" width="9" style="160"/>
    <col min="5378" max="5378" width="4.625" style="160" bestFit="1" customWidth="1"/>
    <col min="5379" max="5379" width="7.5" style="160" bestFit="1" customWidth="1"/>
    <col min="5380" max="5380" width="6.25" style="160" customWidth="1"/>
    <col min="5381" max="5381" width="11" style="160" bestFit="1" customWidth="1"/>
    <col min="5382" max="5383" width="9.625" style="160" bestFit="1" customWidth="1"/>
    <col min="5384" max="5384" width="8.25" style="160" bestFit="1" customWidth="1"/>
    <col min="5385" max="5386" width="9.625" style="160" bestFit="1" customWidth="1"/>
    <col min="5387" max="5387" width="8.25" style="160" bestFit="1" customWidth="1"/>
    <col min="5388" max="5389" width="9.625" style="160" bestFit="1" customWidth="1"/>
    <col min="5390" max="5391" width="8.25" style="160" bestFit="1" customWidth="1"/>
    <col min="5392" max="5392" width="11" style="160" bestFit="1" customWidth="1"/>
    <col min="5393" max="5393" width="8" style="160" bestFit="1" customWidth="1"/>
    <col min="5394" max="5394" width="7.75" style="160" bestFit="1" customWidth="1"/>
    <col min="5395" max="5396" width="9.625" style="160" bestFit="1" customWidth="1"/>
    <col min="5397" max="5398" width="9.625" style="160" customWidth="1"/>
    <col min="5399" max="5399" width="9.25" style="160" bestFit="1" customWidth="1"/>
    <col min="5400" max="5400" width="11" style="160" bestFit="1" customWidth="1"/>
    <col min="5401" max="5633" width="9" style="160"/>
    <col min="5634" max="5634" width="4.625" style="160" bestFit="1" customWidth="1"/>
    <col min="5635" max="5635" width="7.5" style="160" bestFit="1" customWidth="1"/>
    <col min="5636" max="5636" width="6.25" style="160" customWidth="1"/>
    <col min="5637" max="5637" width="11" style="160" bestFit="1" customWidth="1"/>
    <col min="5638" max="5639" width="9.625" style="160" bestFit="1" customWidth="1"/>
    <col min="5640" max="5640" width="8.25" style="160" bestFit="1" customWidth="1"/>
    <col min="5641" max="5642" width="9.625" style="160" bestFit="1" customWidth="1"/>
    <col min="5643" max="5643" width="8.25" style="160" bestFit="1" customWidth="1"/>
    <col min="5644" max="5645" width="9.625" style="160" bestFit="1" customWidth="1"/>
    <col min="5646" max="5647" width="8.25" style="160" bestFit="1" customWidth="1"/>
    <col min="5648" max="5648" width="11" style="160" bestFit="1" customWidth="1"/>
    <col min="5649" max="5649" width="8" style="160" bestFit="1" customWidth="1"/>
    <col min="5650" max="5650" width="7.75" style="160" bestFit="1" customWidth="1"/>
    <col min="5651" max="5652" width="9.625" style="160" bestFit="1" customWidth="1"/>
    <col min="5653" max="5654" width="9.625" style="160" customWidth="1"/>
    <col min="5655" max="5655" width="9.25" style="160" bestFit="1" customWidth="1"/>
    <col min="5656" max="5656" width="11" style="160" bestFit="1" customWidth="1"/>
    <col min="5657" max="5889" width="9" style="160"/>
    <col min="5890" max="5890" width="4.625" style="160" bestFit="1" customWidth="1"/>
    <col min="5891" max="5891" width="7.5" style="160" bestFit="1" customWidth="1"/>
    <col min="5892" max="5892" width="6.25" style="160" customWidth="1"/>
    <col min="5893" max="5893" width="11" style="160" bestFit="1" customWidth="1"/>
    <col min="5894" max="5895" width="9.625" style="160" bestFit="1" customWidth="1"/>
    <col min="5896" max="5896" width="8.25" style="160" bestFit="1" customWidth="1"/>
    <col min="5897" max="5898" width="9.625" style="160" bestFit="1" customWidth="1"/>
    <col min="5899" max="5899" width="8.25" style="160" bestFit="1" customWidth="1"/>
    <col min="5900" max="5901" width="9.625" style="160" bestFit="1" customWidth="1"/>
    <col min="5902" max="5903" width="8.25" style="160" bestFit="1" customWidth="1"/>
    <col min="5904" max="5904" width="11" style="160" bestFit="1" customWidth="1"/>
    <col min="5905" max="5905" width="8" style="160" bestFit="1" customWidth="1"/>
    <col min="5906" max="5906" width="7.75" style="160" bestFit="1" customWidth="1"/>
    <col min="5907" max="5908" width="9.625" style="160" bestFit="1" customWidth="1"/>
    <col min="5909" max="5910" width="9.625" style="160" customWidth="1"/>
    <col min="5911" max="5911" width="9.25" style="160" bestFit="1" customWidth="1"/>
    <col min="5912" max="5912" width="11" style="160" bestFit="1" customWidth="1"/>
    <col min="5913" max="6145" width="9" style="160"/>
    <col min="6146" max="6146" width="4.625" style="160" bestFit="1" customWidth="1"/>
    <col min="6147" max="6147" width="7.5" style="160" bestFit="1" customWidth="1"/>
    <col min="6148" max="6148" width="6.25" style="160" customWidth="1"/>
    <col min="6149" max="6149" width="11" style="160" bestFit="1" customWidth="1"/>
    <col min="6150" max="6151" width="9.625" style="160" bestFit="1" customWidth="1"/>
    <col min="6152" max="6152" width="8.25" style="160" bestFit="1" customWidth="1"/>
    <col min="6153" max="6154" width="9.625" style="160" bestFit="1" customWidth="1"/>
    <col min="6155" max="6155" width="8.25" style="160" bestFit="1" customWidth="1"/>
    <col min="6156" max="6157" width="9.625" style="160" bestFit="1" customWidth="1"/>
    <col min="6158" max="6159" width="8.25" style="160" bestFit="1" customWidth="1"/>
    <col min="6160" max="6160" width="11" style="160" bestFit="1" customWidth="1"/>
    <col min="6161" max="6161" width="8" style="160" bestFit="1" customWidth="1"/>
    <col min="6162" max="6162" width="7.75" style="160" bestFit="1" customWidth="1"/>
    <col min="6163" max="6164" width="9.625" style="160" bestFit="1" customWidth="1"/>
    <col min="6165" max="6166" width="9.625" style="160" customWidth="1"/>
    <col min="6167" max="6167" width="9.25" style="160" bestFit="1" customWidth="1"/>
    <col min="6168" max="6168" width="11" style="160" bestFit="1" customWidth="1"/>
    <col min="6169" max="6401" width="9" style="160"/>
    <col min="6402" max="6402" width="4.625" style="160" bestFit="1" customWidth="1"/>
    <col min="6403" max="6403" width="7.5" style="160" bestFit="1" customWidth="1"/>
    <col min="6404" max="6404" width="6.25" style="160" customWidth="1"/>
    <col min="6405" max="6405" width="11" style="160" bestFit="1" customWidth="1"/>
    <col min="6406" max="6407" width="9.625" style="160" bestFit="1" customWidth="1"/>
    <col min="6408" max="6408" width="8.25" style="160" bestFit="1" customWidth="1"/>
    <col min="6409" max="6410" width="9.625" style="160" bestFit="1" customWidth="1"/>
    <col min="6411" max="6411" width="8.25" style="160" bestFit="1" customWidth="1"/>
    <col min="6412" max="6413" width="9.625" style="160" bestFit="1" customWidth="1"/>
    <col min="6414" max="6415" width="8.25" style="160" bestFit="1" customWidth="1"/>
    <col min="6416" max="6416" width="11" style="160" bestFit="1" customWidth="1"/>
    <col min="6417" max="6417" width="8" style="160" bestFit="1" customWidth="1"/>
    <col min="6418" max="6418" width="7.75" style="160" bestFit="1" customWidth="1"/>
    <col min="6419" max="6420" width="9.625" style="160" bestFit="1" customWidth="1"/>
    <col min="6421" max="6422" width="9.625" style="160" customWidth="1"/>
    <col min="6423" max="6423" width="9.25" style="160" bestFit="1" customWidth="1"/>
    <col min="6424" max="6424" width="11" style="160" bestFit="1" customWidth="1"/>
    <col min="6425" max="6657" width="9" style="160"/>
    <col min="6658" max="6658" width="4.625" style="160" bestFit="1" customWidth="1"/>
    <col min="6659" max="6659" width="7.5" style="160" bestFit="1" customWidth="1"/>
    <col min="6660" max="6660" width="6.25" style="160" customWidth="1"/>
    <col min="6661" max="6661" width="11" style="160" bestFit="1" customWidth="1"/>
    <col min="6662" max="6663" width="9.625" style="160" bestFit="1" customWidth="1"/>
    <col min="6664" max="6664" width="8.25" style="160" bestFit="1" customWidth="1"/>
    <col min="6665" max="6666" width="9.625" style="160" bestFit="1" customWidth="1"/>
    <col min="6667" max="6667" width="8.25" style="160" bestFit="1" customWidth="1"/>
    <col min="6668" max="6669" width="9.625" style="160" bestFit="1" customWidth="1"/>
    <col min="6670" max="6671" width="8.25" style="160" bestFit="1" customWidth="1"/>
    <col min="6672" max="6672" width="11" style="160" bestFit="1" customWidth="1"/>
    <col min="6673" max="6673" width="8" style="160" bestFit="1" customWidth="1"/>
    <col min="6674" max="6674" width="7.75" style="160" bestFit="1" customWidth="1"/>
    <col min="6675" max="6676" width="9.625" style="160" bestFit="1" customWidth="1"/>
    <col min="6677" max="6678" width="9.625" style="160" customWidth="1"/>
    <col min="6679" max="6679" width="9.25" style="160" bestFit="1" customWidth="1"/>
    <col min="6680" max="6680" width="11" style="160" bestFit="1" customWidth="1"/>
    <col min="6681" max="6913" width="9" style="160"/>
    <col min="6914" max="6914" width="4.625" style="160" bestFit="1" customWidth="1"/>
    <col min="6915" max="6915" width="7.5" style="160" bestFit="1" customWidth="1"/>
    <col min="6916" max="6916" width="6.25" style="160" customWidth="1"/>
    <col min="6917" max="6917" width="11" style="160" bestFit="1" customWidth="1"/>
    <col min="6918" max="6919" width="9.625" style="160" bestFit="1" customWidth="1"/>
    <col min="6920" max="6920" width="8.25" style="160" bestFit="1" customWidth="1"/>
    <col min="6921" max="6922" width="9.625" style="160" bestFit="1" customWidth="1"/>
    <col min="6923" max="6923" width="8.25" style="160" bestFit="1" customWidth="1"/>
    <col min="6924" max="6925" width="9.625" style="160" bestFit="1" customWidth="1"/>
    <col min="6926" max="6927" width="8.25" style="160" bestFit="1" customWidth="1"/>
    <col min="6928" max="6928" width="11" style="160" bestFit="1" customWidth="1"/>
    <col min="6929" max="6929" width="8" style="160" bestFit="1" customWidth="1"/>
    <col min="6930" max="6930" width="7.75" style="160" bestFit="1" customWidth="1"/>
    <col min="6931" max="6932" width="9.625" style="160" bestFit="1" customWidth="1"/>
    <col min="6933" max="6934" width="9.625" style="160" customWidth="1"/>
    <col min="6935" max="6935" width="9.25" style="160" bestFit="1" customWidth="1"/>
    <col min="6936" max="6936" width="11" style="160" bestFit="1" customWidth="1"/>
    <col min="6937" max="7169" width="9" style="160"/>
    <col min="7170" max="7170" width="4.625" style="160" bestFit="1" customWidth="1"/>
    <col min="7171" max="7171" width="7.5" style="160" bestFit="1" customWidth="1"/>
    <col min="7172" max="7172" width="6.25" style="160" customWidth="1"/>
    <col min="7173" max="7173" width="11" style="160" bestFit="1" customWidth="1"/>
    <col min="7174" max="7175" width="9.625" style="160" bestFit="1" customWidth="1"/>
    <col min="7176" max="7176" width="8.25" style="160" bestFit="1" customWidth="1"/>
    <col min="7177" max="7178" width="9.625" style="160" bestFit="1" customWidth="1"/>
    <col min="7179" max="7179" width="8.25" style="160" bestFit="1" customWidth="1"/>
    <col min="7180" max="7181" width="9.625" style="160" bestFit="1" customWidth="1"/>
    <col min="7182" max="7183" width="8.25" style="160" bestFit="1" customWidth="1"/>
    <col min="7184" max="7184" width="11" style="160" bestFit="1" customWidth="1"/>
    <col min="7185" max="7185" width="8" style="160" bestFit="1" customWidth="1"/>
    <col min="7186" max="7186" width="7.75" style="160" bestFit="1" customWidth="1"/>
    <col min="7187" max="7188" width="9.625" style="160" bestFit="1" customWidth="1"/>
    <col min="7189" max="7190" width="9.625" style="160" customWidth="1"/>
    <col min="7191" max="7191" width="9.25" style="160" bestFit="1" customWidth="1"/>
    <col min="7192" max="7192" width="11" style="160" bestFit="1" customWidth="1"/>
    <col min="7193" max="7425" width="9" style="160"/>
    <col min="7426" max="7426" width="4.625" style="160" bestFit="1" customWidth="1"/>
    <col min="7427" max="7427" width="7.5" style="160" bestFit="1" customWidth="1"/>
    <col min="7428" max="7428" width="6.25" style="160" customWidth="1"/>
    <col min="7429" max="7429" width="11" style="160" bestFit="1" customWidth="1"/>
    <col min="7430" max="7431" width="9.625" style="160" bestFit="1" customWidth="1"/>
    <col min="7432" max="7432" width="8.25" style="160" bestFit="1" customWidth="1"/>
    <col min="7433" max="7434" width="9.625" style="160" bestFit="1" customWidth="1"/>
    <col min="7435" max="7435" width="8.25" style="160" bestFit="1" customWidth="1"/>
    <col min="7436" max="7437" width="9.625" style="160" bestFit="1" customWidth="1"/>
    <col min="7438" max="7439" width="8.25" style="160" bestFit="1" customWidth="1"/>
    <col min="7440" max="7440" width="11" style="160" bestFit="1" customWidth="1"/>
    <col min="7441" max="7441" width="8" style="160" bestFit="1" customWidth="1"/>
    <col min="7442" max="7442" width="7.75" style="160" bestFit="1" customWidth="1"/>
    <col min="7443" max="7444" width="9.625" style="160" bestFit="1" customWidth="1"/>
    <col min="7445" max="7446" width="9.625" style="160" customWidth="1"/>
    <col min="7447" max="7447" width="9.25" style="160" bestFit="1" customWidth="1"/>
    <col min="7448" max="7448" width="11" style="160" bestFit="1" customWidth="1"/>
    <col min="7449" max="7681" width="9" style="160"/>
    <col min="7682" max="7682" width="4.625" style="160" bestFit="1" customWidth="1"/>
    <col min="7683" max="7683" width="7.5" style="160" bestFit="1" customWidth="1"/>
    <col min="7684" max="7684" width="6.25" style="160" customWidth="1"/>
    <col min="7685" max="7685" width="11" style="160" bestFit="1" customWidth="1"/>
    <col min="7686" max="7687" width="9.625" style="160" bestFit="1" customWidth="1"/>
    <col min="7688" max="7688" width="8.25" style="160" bestFit="1" customWidth="1"/>
    <col min="7689" max="7690" width="9.625" style="160" bestFit="1" customWidth="1"/>
    <col min="7691" max="7691" width="8.25" style="160" bestFit="1" customWidth="1"/>
    <col min="7692" max="7693" width="9.625" style="160" bestFit="1" customWidth="1"/>
    <col min="7694" max="7695" width="8.25" style="160" bestFit="1" customWidth="1"/>
    <col min="7696" max="7696" width="11" style="160" bestFit="1" customWidth="1"/>
    <col min="7697" max="7697" width="8" style="160" bestFit="1" customWidth="1"/>
    <col min="7698" max="7698" width="7.75" style="160" bestFit="1" customWidth="1"/>
    <col min="7699" max="7700" width="9.625" style="160" bestFit="1" customWidth="1"/>
    <col min="7701" max="7702" width="9.625" style="160" customWidth="1"/>
    <col min="7703" max="7703" width="9.25" style="160" bestFit="1" customWidth="1"/>
    <col min="7704" max="7704" width="11" style="160" bestFit="1" customWidth="1"/>
    <col min="7705" max="7937" width="9" style="160"/>
    <col min="7938" max="7938" width="4.625" style="160" bestFit="1" customWidth="1"/>
    <col min="7939" max="7939" width="7.5" style="160" bestFit="1" customWidth="1"/>
    <col min="7940" max="7940" width="6.25" style="160" customWidth="1"/>
    <col min="7941" max="7941" width="11" style="160" bestFit="1" customWidth="1"/>
    <col min="7942" max="7943" width="9.625" style="160" bestFit="1" customWidth="1"/>
    <col min="7944" max="7944" width="8.25" style="160" bestFit="1" customWidth="1"/>
    <col min="7945" max="7946" width="9.625" style="160" bestFit="1" customWidth="1"/>
    <col min="7947" max="7947" width="8.25" style="160" bestFit="1" customWidth="1"/>
    <col min="7948" max="7949" width="9.625" style="160" bestFit="1" customWidth="1"/>
    <col min="7950" max="7951" width="8.25" style="160" bestFit="1" customWidth="1"/>
    <col min="7952" max="7952" width="11" style="160" bestFit="1" customWidth="1"/>
    <col min="7953" max="7953" width="8" style="160" bestFit="1" customWidth="1"/>
    <col min="7954" max="7954" width="7.75" style="160" bestFit="1" customWidth="1"/>
    <col min="7955" max="7956" width="9.625" style="160" bestFit="1" customWidth="1"/>
    <col min="7957" max="7958" width="9.625" style="160" customWidth="1"/>
    <col min="7959" max="7959" width="9.25" style="160" bestFit="1" customWidth="1"/>
    <col min="7960" max="7960" width="11" style="160" bestFit="1" customWidth="1"/>
    <col min="7961" max="8193" width="9" style="160"/>
    <col min="8194" max="8194" width="4.625" style="160" bestFit="1" customWidth="1"/>
    <col min="8195" max="8195" width="7.5" style="160" bestFit="1" customWidth="1"/>
    <col min="8196" max="8196" width="6.25" style="160" customWidth="1"/>
    <col min="8197" max="8197" width="11" style="160" bestFit="1" customWidth="1"/>
    <col min="8198" max="8199" width="9.625" style="160" bestFit="1" customWidth="1"/>
    <col min="8200" max="8200" width="8.25" style="160" bestFit="1" customWidth="1"/>
    <col min="8201" max="8202" width="9.625" style="160" bestFit="1" customWidth="1"/>
    <col min="8203" max="8203" width="8.25" style="160" bestFit="1" customWidth="1"/>
    <col min="8204" max="8205" width="9.625" style="160" bestFit="1" customWidth="1"/>
    <col min="8206" max="8207" width="8.25" style="160" bestFit="1" customWidth="1"/>
    <col min="8208" max="8208" width="11" style="160" bestFit="1" customWidth="1"/>
    <col min="8209" max="8209" width="8" style="160" bestFit="1" customWidth="1"/>
    <col min="8210" max="8210" width="7.75" style="160" bestFit="1" customWidth="1"/>
    <col min="8211" max="8212" width="9.625" style="160" bestFit="1" customWidth="1"/>
    <col min="8213" max="8214" width="9.625" style="160" customWidth="1"/>
    <col min="8215" max="8215" width="9.25" style="160" bestFit="1" customWidth="1"/>
    <col min="8216" max="8216" width="11" style="160" bestFit="1" customWidth="1"/>
    <col min="8217" max="8449" width="9" style="160"/>
    <col min="8450" max="8450" width="4.625" style="160" bestFit="1" customWidth="1"/>
    <col min="8451" max="8451" width="7.5" style="160" bestFit="1" customWidth="1"/>
    <col min="8452" max="8452" width="6.25" style="160" customWidth="1"/>
    <col min="8453" max="8453" width="11" style="160" bestFit="1" customWidth="1"/>
    <col min="8454" max="8455" width="9.625" style="160" bestFit="1" customWidth="1"/>
    <col min="8456" max="8456" width="8.25" style="160" bestFit="1" customWidth="1"/>
    <col min="8457" max="8458" width="9.625" style="160" bestFit="1" customWidth="1"/>
    <col min="8459" max="8459" width="8.25" style="160" bestFit="1" customWidth="1"/>
    <col min="8460" max="8461" width="9.625" style="160" bestFit="1" customWidth="1"/>
    <col min="8462" max="8463" width="8.25" style="160" bestFit="1" customWidth="1"/>
    <col min="8464" max="8464" width="11" style="160" bestFit="1" customWidth="1"/>
    <col min="8465" max="8465" width="8" style="160" bestFit="1" customWidth="1"/>
    <col min="8466" max="8466" width="7.75" style="160" bestFit="1" customWidth="1"/>
    <col min="8467" max="8468" width="9.625" style="160" bestFit="1" customWidth="1"/>
    <col min="8469" max="8470" width="9.625" style="160" customWidth="1"/>
    <col min="8471" max="8471" width="9.25" style="160" bestFit="1" customWidth="1"/>
    <col min="8472" max="8472" width="11" style="160" bestFit="1" customWidth="1"/>
    <col min="8473" max="8705" width="9" style="160"/>
    <col min="8706" max="8706" width="4.625" style="160" bestFit="1" customWidth="1"/>
    <col min="8707" max="8707" width="7.5" style="160" bestFit="1" customWidth="1"/>
    <col min="8708" max="8708" width="6.25" style="160" customWidth="1"/>
    <col min="8709" max="8709" width="11" style="160" bestFit="1" customWidth="1"/>
    <col min="8710" max="8711" width="9.625" style="160" bestFit="1" customWidth="1"/>
    <col min="8712" max="8712" width="8.25" style="160" bestFit="1" customWidth="1"/>
    <col min="8713" max="8714" width="9.625" style="160" bestFit="1" customWidth="1"/>
    <col min="8715" max="8715" width="8.25" style="160" bestFit="1" customWidth="1"/>
    <col min="8716" max="8717" width="9.625" style="160" bestFit="1" customWidth="1"/>
    <col min="8718" max="8719" width="8.25" style="160" bestFit="1" customWidth="1"/>
    <col min="8720" max="8720" width="11" style="160" bestFit="1" customWidth="1"/>
    <col min="8721" max="8721" width="8" style="160" bestFit="1" customWidth="1"/>
    <col min="8722" max="8722" width="7.75" style="160" bestFit="1" customWidth="1"/>
    <col min="8723" max="8724" width="9.625" style="160" bestFit="1" customWidth="1"/>
    <col min="8725" max="8726" width="9.625" style="160" customWidth="1"/>
    <col min="8727" max="8727" width="9.25" style="160" bestFit="1" customWidth="1"/>
    <col min="8728" max="8728" width="11" style="160" bestFit="1" customWidth="1"/>
    <col min="8729" max="8961" width="9" style="160"/>
    <col min="8962" max="8962" width="4.625" style="160" bestFit="1" customWidth="1"/>
    <col min="8963" max="8963" width="7.5" style="160" bestFit="1" customWidth="1"/>
    <col min="8964" max="8964" width="6.25" style="160" customWidth="1"/>
    <col min="8965" max="8965" width="11" style="160" bestFit="1" customWidth="1"/>
    <col min="8966" max="8967" width="9.625" style="160" bestFit="1" customWidth="1"/>
    <col min="8968" max="8968" width="8.25" style="160" bestFit="1" customWidth="1"/>
    <col min="8969" max="8970" width="9.625" style="160" bestFit="1" customWidth="1"/>
    <col min="8971" max="8971" width="8.25" style="160" bestFit="1" customWidth="1"/>
    <col min="8972" max="8973" width="9.625" style="160" bestFit="1" customWidth="1"/>
    <col min="8974" max="8975" width="8.25" style="160" bestFit="1" customWidth="1"/>
    <col min="8976" max="8976" width="11" style="160" bestFit="1" customWidth="1"/>
    <col min="8977" max="8977" width="8" style="160" bestFit="1" customWidth="1"/>
    <col min="8978" max="8978" width="7.75" style="160" bestFit="1" customWidth="1"/>
    <col min="8979" max="8980" width="9.625" style="160" bestFit="1" customWidth="1"/>
    <col min="8981" max="8982" width="9.625" style="160" customWidth="1"/>
    <col min="8983" max="8983" width="9.25" style="160" bestFit="1" customWidth="1"/>
    <col min="8984" max="8984" width="11" style="160" bestFit="1" customWidth="1"/>
    <col min="8985" max="9217" width="9" style="160"/>
    <col min="9218" max="9218" width="4.625" style="160" bestFit="1" customWidth="1"/>
    <col min="9219" max="9219" width="7.5" style="160" bestFit="1" customWidth="1"/>
    <col min="9220" max="9220" width="6.25" style="160" customWidth="1"/>
    <col min="9221" max="9221" width="11" style="160" bestFit="1" customWidth="1"/>
    <col min="9222" max="9223" width="9.625" style="160" bestFit="1" customWidth="1"/>
    <col min="9224" max="9224" width="8.25" style="160" bestFit="1" customWidth="1"/>
    <col min="9225" max="9226" width="9.625" style="160" bestFit="1" customWidth="1"/>
    <col min="9227" max="9227" width="8.25" style="160" bestFit="1" customWidth="1"/>
    <col min="9228" max="9229" width="9.625" style="160" bestFit="1" customWidth="1"/>
    <col min="9230" max="9231" width="8.25" style="160" bestFit="1" customWidth="1"/>
    <col min="9232" max="9232" width="11" style="160" bestFit="1" customWidth="1"/>
    <col min="9233" max="9233" width="8" style="160" bestFit="1" customWidth="1"/>
    <col min="9234" max="9234" width="7.75" style="160" bestFit="1" customWidth="1"/>
    <col min="9235" max="9236" width="9.625" style="160" bestFit="1" customWidth="1"/>
    <col min="9237" max="9238" width="9.625" style="160" customWidth="1"/>
    <col min="9239" max="9239" width="9.25" style="160" bestFit="1" customWidth="1"/>
    <col min="9240" max="9240" width="11" style="160" bestFit="1" customWidth="1"/>
    <col min="9241" max="9473" width="9" style="160"/>
    <col min="9474" max="9474" width="4.625" style="160" bestFit="1" customWidth="1"/>
    <col min="9475" max="9475" width="7.5" style="160" bestFit="1" customWidth="1"/>
    <col min="9476" max="9476" width="6.25" style="160" customWidth="1"/>
    <col min="9477" max="9477" width="11" style="160" bestFit="1" customWidth="1"/>
    <col min="9478" max="9479" width="9.625" style="160" bestFit="1" customWidth="1"/>
    <col min="9480" max="9480" width="8.25" style="160" bestFit="1" customWidth="1"/>
    <col min="9481" max="9482" width="9.625" style="160" bestFit="1" customWidth="1"/>
    <col min="9483" max="9483" width="8.25" style="160" bestFit="1" customWidth="1"/>
    <col min="9484" max="9485" width="9.625" style="160" bestFit="1" customWidth="1"/>
    <col min="9486" max="9487" width="8.25" style="160" bestFit="1" customWidth="1"/>
    <col min="9488" max="9488" width="11" style="160" bestFit="1" customWidth="1"/>
    <col min="9489" max="9489" width="8" style="160" bestFit="1" customWidth="1"/>
    <col min="9490" max="9490" width="7.75" style="160" bestFit="1" customWidth="1"/>
    <col min="9491" max="9492" width="9.625" style="160" bestFit="1" customWidth="1"/>
    <col min="9493" max="9494" width="9.625" style="160" customWidth="1"/>
    <col min="9495" max="9495" width="9.25" style="160" bestFit="1" customWidth="1"/>
    <col min="9496" max="9496" width="11" style="160" bestFit="1" customWidth="1"/>
    <col min="9497" max="9729" width="9" style="160"/>
    <col min="9730" max="9730" width="4.625" style="160" bestFit="1" customWidth="1"/>
    <col min="9731" max="9731" width="7.5" style="160" bestFit="1" customWidth="1"/>
    <col min="9732" max="9732" width="6.25" style="160" customWidth="1"/>
    <col min="9733" max="9733" width="11" style="160" bestFit="1" customWidth="1"/>
    <col min="9734" max="9735" width="9.625" style="160" bestFit="1" customWidth="1"/>
    <col min="9736" max="9736" width="8.25" style="160" bestFit="1" customWidth="1"/>
    <col min="9737" max="9738" width="9.625" style="160" bestFit="1" customWidth="1"/>
    <col min="9739" max="9739" width="8.25" style="160" bestFit="1" customWidth="1"/>
    <col min="9740" max="9741" width="9.625" style="160" bestFit="1" customWidth="1"/>
    <col min="9742" max="9743" width="8.25" style="160" bestFit="1" customWidth="1"/>
    <col min="9744" max="9744" width="11" style="160" bestFit="1" customWidth="1"/>
    <col min="9745" max="9745" width="8" style="160" bestFit="1" customWidth="1"/>
    <col min="9746" max="9746" width="7.75" style="160" bestFit="1" customWidth="1"/>
    <col min="9747" max="9748" width="9.625" style="160" bestFit="1" customWidth="1"/>
    <col min="9749" max="9750" width="9.625" style="160" customWidth="1"/>
    <col min="9751" max="9751" width="9.25" style="160" bestFit="1" customWidth="1"/>
    <col min="9752" max="9752" width="11" style="160" bestFit="1" customWidth="1"/>
    <col min="9753" max="9985" width="9" style="160"/>
    <col min="9986" max="9986" width="4.625" style="160" bestFit="1" customWidth="1"/>
    <col min="9987" max="9987" width="7.5" style="160" bestFit="1" customWidth="1"/>
    <col min="9988" max="9988" width="6.25" style="160" customWidth="1"/>
    <col min="9989" max="9989" width="11" style="160" bestFit="1" customWidth="1"/>
    <col min="9990" max="9991" width="9.625" style="160" bestFit="1" customWidth="1"/>
    <col min="9992" max="9992" width="8.25" style="160" bestFit="1" customWidth="1"/>
    <col min="9993" max="9994" width="9.625" style="160" bestFit="1" customWidth="1"/>
    <col min="9995" max="9995" width="8.25" style="160" bestFit="1" customWidth="1"/>
    <col min="9996" max="9997" width="9.625" style="160" bestFit="1" customWidth="1"/>
    <col min="9998" max="9999" width="8.25" style="160" bestFit="1" customWidth="1"/>
    <col min="10000" max="10000" width="11" style="160" bestFit="1" customWidth="1"/>
    <col min="10001" max="10001" width="8" style="160" bestFit="1" customWidth="1"/>
    <col min="10002" max="10002" width="7.75" style="160" bestFit="1" customWidth="1"/>
    <col min="10003" max="10004" width="9.625" style="160" bestFit="1" customWidth="1"/>
    <col min="10005" max="10006" width="9.625" style="160" customWidth="1"/>
    <col min="10007" max="10007" width="9.25" style="160" bestFit="1" customWidth="1"/>
    <col min="10008" max="10008" width="11" style="160" bestFit="1" customWidth="1"/>
    <col min="10009" max="10241" width="9" style="160"/>
    <col min="10242" max="10242" width="4.625" style="160" bestFit="1" customWidth="1"/>
    <col min="10243" max="10243" width="7.5" style="160" bestFit="1" customWidth="1"/>
    <col min="10244" max="10244" width="6.25" style="160" customWidth="1"/>
    <col min="10245" max="10245" width="11" style="160" bestFit="1" customWidth="1"/>
    <col min="10246" max="10247" width="9.625" style="160" bestFit="1" customWidth="1"/>
    <col min="10248" max="10248" width="8.25" style="160" bestFit="1" customWidth="1"/>
    <col min="10249" max="10250" width="9.625" style="160" bestFit="1" customWidth="1"/>
    <col min="10251" max="10251" width="8.25" style="160" bestFit="1" customWidth="1"/>
    <col min="10252" max="10253" width="9.625" style="160" bestFit="1" customWidth="1"/>
    <col min="10254" max="10255" width="8.25" style="160" bestFit="1" customWidth="1"/>
    <col min="10256" max="10256" width="11" style="160" bestFit="1" customWidth="1"/>
    <col min="10257" max="10257" width="8" style="160" bestFit="1" customWidth="1"/>
    <col min="10258" max="10258" width="7.75" style="160" bestFit="1" customWidth="1"/>
    <col min="10259" max="10260" width="9.625" style="160" bestFit="1" customWidth="1"/>
    <col min="10261" max="10262" width="9.625" style="160" customWidth="1"/>
    <col min="10263" max="10263" width="9.25" style="160" bestFit="1" customWidth="1"/>
    <col min="10264" max="10264" width="11" style="160" bestFit="1" customWidth="1"/>
    <col min="10265" max="10497" width="9" style="160"/>
    <col min="10498" max="10498" width="4.625" style="160" bestFit="1" customWidth="1"/>
    <col min="10499" max="10499" width="7.5" style="160" bestFit="1" customWidth="1"/>
    <col min="10500" max="10500" width="6.25" style="160" customWidth="1"/>
    <col min="10501" max="10501" width="11" style="160" bestFit="1" customWidth="1"/>
    <col min="10502" max="10503" width="9.625" style="160" bestFit="1" customWidth="1"/>
    <col min="10504" max="10504" width="8.25" style="160" bestFit="1" customWidth="1"/>
    <col min="10505" max="10506" width="9.625" style="160" bestFit="1" customWidth="1"/>
    <col min="10507" max="10507" width="8.25" style="160" bestFit="1" customWidth="1"/>
    <col min="10508" max="10509" width="9.625" style="160" bestFit="1" customWidth="1"/>
    <col min="10510" max="10511" width="8.25" style="160" bestFit="1" customWidth="1"/>
    <col min="10512" max="10512" width="11" style="160" bestFit="1" customWidth="1"/>
    <col min="10513" max="10513" width="8" style="160" bestFit="1" customWidth="1"/>
    <col min="10514" max="10514" width="7.75" style="160" bestFit="1" customWidth="1"/>
    <col min="10515" max="10516" width="9.625" style="160" bestFit="1" customWidth="1"/>
    <col min="10517" max="10518" width="9.625" style="160" customWidth="1"/>
    <col min="10519" max="10519" width="9.25" style="160" bestFit="1" customWidth="1"/>
    <col min="10520" max="10520" width="11" style="160" bestFit="1" customWidth="1"/>
    <col min="10521" max="10753" width="9" style="160"/>
    <col min="10754" max="10754" width="4.625" style="160" bestFit="1" customWidth="1"/>
    <col min="10755" max="10755" width="7.5" style="160" bestFit="1" customWidth="1"/>
    <col min="10756" max="10756" width="6.25" style="160" customWidth="1"/>
    <col min="10757" max="10757" width="11" style="160" bestFit="1" customWidth="1"/>
    <col min="10758" max="10759" width="9.625" style="160" bestFit="1" customWidth="1"/>
    <col min="10760" max="10760" width="8.25" style="160" bestFit="1" customWidth="1"/>
    <col min="10761" max="10762" width="9.625" style="160" bestFit="1" customWidth="1"/>
    <col min="10763" max="10763" width="8.25" style="160" bestFit="1" customWidth="1"/>
    <col min="10764" max="10765" width="9.625" style="160" bestFit="1" customWidth="1"/>
    <col min="10766" max="10767" width="8.25" style="160" bestFit="1" customWidth="1"/>
    <col min="10768" max="10768" width="11" style="160" bestFit="1" customWidth="1"/>
    <col min="10769" max="10769" width="8" style="160" bestFit="1" customWidth="1"/>
    <col min="10770" max="10770" width="7.75" style="160" bestFit="1" customWidth="1"/>
    <col min="10771" max="10772" width="9.625" style="160" bestFit="1" customWidth="1"/>
    <col min="10773" max="10774" width="9.625" style="160" customWidth="1"/>
    <col min="10775" max="10775" width="9.25" style="160" bestFit="1" customWidth="1"/>
    <col min="10776" max="10776" width="11" style="160" bestFit="1" customWidth="1"/>
    <col min="10777" max="11009" width="9" style="160"/>
    <col min="11010" max="11010" width="4.625" style="160" bestFit="1" customWidth="1"/>
    <col min="11011" max="11011" width="7.5" style="160" bestFit="1" customWidth="1"/>
    <col min="11012" max="11012" width="6.25" style="160" customWidth="1"/>
    <col min="11013" max="11013" width="11" style="160" bestFit="1" customWidth="1"/>
    <col min="11014" max="11015" width="9.625" style="160" bestFit="1" customWidth="1"/>
    <col min="11016" max="11016" width="8.25" style="160" bestFit="1" customWidth="1"/>
    <col min="11017" max="11018" width="9.625" style="160" bestFit="1" customWidth="1"/>
    <col min="11019" max="11019" width="8.25" style="160" bestFit="1" customWidth="1"/>
    <col min="11020" max="11021" width="9.625" style="160" bestFit="1" customWidth="1"/>
    <col min="11022" max="11023" width="8.25" style="160" bestFit="1" customWidth="1"/>
    <col min="11024" max="11024" width="11" style="160" bestFit="1" customWidth="1"/>
    <col min="11025" max="11025" width="8" style="160" bestFit="1" customWidth="1"/>
    <col min="11026" max="11026" width="7.75" style="160" bestFit="1" customWidth="1"/>
    <col min="11027" max="11028" width="9.625" style="160" bestFit="1" customWidth="1"/>
    <col min="11029" max="11030" width="9.625" style="160" customWidth="1"/>
    <col min="11031" max="11031" width="9.25" style="160" bestFit="1" customWidth="1"/>
    <col min="11032" max="11032" width="11" style="160" bestFit="1" customWidth="1"/>
    <col min="11033" max="11265" width="9" style="160"/>
    <col min="11266" max="11266" width="4.625" style="160" bestFit="1" customWidth="1"/>
    <col min="11267" max="11267" width="7.5" style="160" bestFit="1" customWidth="1"/>
    <col min="11268" max="11268" width="6.25" style="160" customWidth="1"/>
    <col min="11269" max="11269" width="11" style="160" bestFit="1" customWidth="1"/>
    <col min="11270" max="11271" width="9.625" style="160" bestFit="1" customWidth="1"/>
    <col min="11272" max="11272" width="8.25" style="160" bestFit="1" customWidth="1"/>
    <col min="11273" max="11274" width="9.625" style="160" bestFit="1" customWidth="1"/>
    <col min="11275" max="11275" width="8.25" style="160" bestFit="1" customWidth="1"/>
    <col min="11276" max="11277" width="9.625" style="160" bestFit="1" customWidth="1"/>
    <col min="11278" max="11279" width="8.25" style="160" bestFit="1" customWidth="1"/>
    <col min="11280" max="11280" width="11" style="160" bestFit="1" customWidth="1"/>
    <col min="11281" max="11281" width="8" style="160" bestFit="1" customWidth="1"/>
    <col min="11282" max="11282" width="7.75" style="160" bestFit="1" customWidth="1"/>
    <col min="11283" max="11284" width="9.625" style="160" bestFit="1" customWidth="1"/>
    <col min="11285" max="11286" width="9.625" style="160" customWidth="1"/>
    <col min="11287" max="11287" width="9.25" style="160" bestFit="1" customWidth="1"/>
    <col min="11288" max="11288" width="11" style="160" bestFit="1" customWidth="1"/>
    <col min="11289" max="11521" width="9" style="160"/>
    <col min="11522" max="11522" width="4.625" style="160" bestFit="1" customWidth="1"/>
    <col min="11523" max="11523" width="7.5" style="160" bestFit="1" customWidth="1"/>
    <col min="11524" max="11524" width="6.25" style="160" customWidth="1"/>
    <col min="11525" max="11525" width="11" style="160" bestFit="1" customWidth="1"/>
    <col min="11526" max="11527" width="9.625" style="160" bestFit="1" customWidth="1"/>
    <col min="11528" max="11528" width="8.25" style="160" bestFit="1" customWidth="1"/>
    <col min="11529" max="11530" width="9.625" style="160" bestFit="1" customWidth="1"/>
    <col min="11531" max="11531" width="8.25" style="160" bestFit="1" customWidth="1"/>
    <col min="11532" max="11533" width="9.625" style="160" bestFit="1" customWidth="1"/>
    <col min="11534" max="11535" width="8.25" style="160" bestFit="1" customWidth="1"/>
    <col min="11536" max="11536" width="11" style="160" bestFit="1" customWidth="1"/>
    <col min="11537" max="11537" width="8" style="160" bestFit="1" customWidth="1"/>
    <col min="11538" max="11538" width="7.75" style="160" bestFit="1" customWidth="1"/>
    <col min="11539" max="11540" width="9.625" style="160" bestFit="1" customWidth="1"/>
    <col min="11541" max="11542" width="9.625" style="160" customWidth="1"/>
    <col min="11543" max="11543" width="9.25" style="160" bestFit="1" customWidth="1"/>
    <col min="11544" max="11544" width="11" style="160" bestFit="1" customWidth="1"/>
    <col min="11545" max="11777" width="9" style="160"/>
    <col min="11778" max="11778" width="4.625" style="160" bestFit="1" customWidth="1"/>
    <col min="11779" max="11779" width="7.5" style="160" bestFit="1" customWidth="1"/>
    <col min="11780" max="11780" width="6.25" style="160" customWidth="1"/>
    <col min="11781" max="11781" width="11" style="160" bestFit="1" customWidth="1"/>
    <col min="11782" max="11783" width="9.625" style="160" bestFit="1" customWidth="1"/>
    <col min="11784" max="11784" width="8.25" style="160" bestFit="1" customWidth="1"/>
    <col min="11785" max="11786" width="9.625" style="160" bestFit="1" customWidth="1"/>
    <col min="11787" max="11787" width="8.25" style="160" bestFit="1" customWidth="1"/>
    <col min="11788" max="11789" width="9.625" style="160" bestFit="1" customWidth="1"/>
    <col min="11790" max="11791" width="8.25" style="160" bestFit="1" customWidth="1"/>
    <col min="11792" max="11792" width="11" style="160" bestFit="1" customWidth="1"/>
    <col min="11793" max="11793" width="8" style="160" bestFit="1" customWidth="1"/>
    <col min="11794" max="11794" width="7.75" style="160" bestFit="1" customWidth="1"/>
    <col min="11795" max="11796" width="9.625" style="160" bestFit="1" customWidth="1"/>
    <col min="11797" max="11798" width="9.625" style="160" customWidth="1"/>
    <col min="11799" max="11799" width="9.25" style="160" bestFit="1" customWidth="1"/>
    <col min="11800" max="11800" width="11" style="160" bestFit="1" customWidth="1"/>
    <col min="11801" max="12033" width="9" style="160"/>
    <col min="12034" max="12034" width="4.625" style="160" bestFit="1" customWidth="1"/>
    <col min="12035" max="12035" width="7.5" style="160" bestFit="1" customWidth="1"/>
    <col min="12036" max="12036" width="6.25" style="160" customWidth="1"/>
    <col min="12037" max="12037" width="11" style="160" bestFit="1" customWidth="1"/>
    <col min="12038" max="12039" width="9.625" style="160" bestFit="1" customWidth="1"/>
    <col min="12040" max="12040" width="8.25" style="160" bestFit="1" customWidth="1"/>
    <col min="12041" max="12042" width="9.625" style="160" bestFit="1" customWidth="1"/>
    <col min="12043" max="12043" width="8.25" style="160" bestFit="1" customWidth="1"/>
    <col min="12044" max="12045" width="9.625" style="160" bestFit="1" customWidth="1"/>
    <col min="12046" max="12047" width="8.25" style="160" bestFit="1" customWidth="1"/>
    <col min="12048" max="12048" width="11" style="160" bestFit="1" customWidth="1"/>
    <col min="12049" max="12049" width="8" style="160" bestFit="1" customWidth="1"/>
    <col min="12050" max="12050" width="7.75" style="160" bestFit="1" customWidth="1"/>
    <col min="12051" max="12052" width="9.625" style="160" bestFit="1" customWidth="1"/>
    <col min="12053" max="12054" width="9.625" style="160" customWidth="1"/>
    <col min="12055" max="12055" width="9.25" style="160" bestFit="1" customWidth="1"/>
    <col min="12056" max="12056" width="11" style="160" bestFit="1" customWidth="1"/>
    <col min="12057" max="12289" width="9" style="160"/>
    <col min="12290" max="12290" width="4.625" style="160" bestFit="1" customWidth="1"/>
    <col min="12291" max="12291" width="7.5" style="160" bestFit="1" customWidth="1"/>
    <col min="12292" max="12292" width="6.25" style="160" customWidth="1"/>
    <col min="12293" max="12293" width="11" style="160" bestFit="1" customWidth="1"/>
    <col min="12294" max="12295" width="9.625" style="160" bestFit="1" customWidth="1"/>
    <col min="12296" max="12296" width="8.25" style="160" bestFit="1" customWidth="1"/>
    <col min="12297" max="12298" width="9.625" style="160" bestFit="1" customWidth="1"/>
    <col min="12299" max="12299" width="8.25" style="160" bestFit="1" customWidth="1"/>
    <col min="12300" max="12301" width="9.625" style="160" bestFit="1" customWidth="1"/>
    <col min="12302" max="12303" width="8.25" style="160" bestFit="1" customWidth="1"/>
    <col min="12304" max="12304" width="11" style="160" bestFit="1" customWidth="1"/>
    <col min="12305" max="12305" width="8" style="160" bestFit="1" customWidth="1"/>
    <col min="12306" max="12306" width="7.75" style="160" bestFit="1" customWidth="1"/>
    <col min="12307" max="12308" width="9.625" style="160" bestFit="1" customWidth="1"/>
    <col min="12309" max="12310" width="9.625" style="160" customWidth="1"/>
    <col min="12311" max="12311" width="9.25" style="160" bestFit="1" customWidth="1"/>
    <col min="12312" max="12312" width="11" style="160" bestFit="1" customWidth="1"/>
    <col min="12313" max="12545" width="9" style="160"/>
    <col min="12546" max="12546" width="4.625" style="160" bestFit="1" customWidth="1"/>
    <col min="12547" max="12547" width="7.5" style="160" bestFit="1" customWidth="1"/>
    <col min="12548" max="12548" width="6.25" style="160" customWidth="1"/>
    <col min="12549" max="12549" width="11" style="160" bestFit="1" customWidth="1"/>
    <col min="12550" max="12551" width="9.625" style="160" bestFit="1" customWidth="1"/>
    <col min="12552" max="12552" width="8.25" style="160" bestFit="1" customWidth="1"/>
    <col min="12553" max="12554" width="9.625" style="160" bestFit="1" customWidth="1"/>
    <col min="12555" max="12555" width="8.25" style="160" bestFit="1" customWidth="1"/>
    <col min="12556" max="12557" width="9.625" style="160" bestFit="1" customWidth="1"/>
    <col min="12558" max="12559" width="8.25" style="160" bestFit="1" customWidth="1"/>
    <col min="12560" max="12560" width="11" style="160" bestFit="1" customWidth="1"/>
    <col min="12561" max="12561" width="8" style="160" bestFit="1" customWidth="1"/>
    <col min="12562" max="12562" width="7.75" style="160" bestFit="1" customWidth="1"/>
    <col min="12563" max="12564" width="9.625" style="160" bestFit="1" customWidth="1"/>
    <col min="12565" max="12566" width="9.625" style="160" customWidth="1"/>
    <col min="12567" max="12567" width="9.25" style="160" bestFit="1" customWidth="1"/>
    <col min="12568" max="12568" width="11" style="160" bestFit="1" customWidth="1"/>
    <col min="12569" max="12801" width="9" style="160"/>
    <col min="12802" max="12802" width="4.625" style="160" bestFit="1" customWidth="1"/>
    <col min="12803" max="12803" width="7.5" style="160" bestFit="1" customWidth="1"/>
    <col min="12804" max="12804" width="6.25" style="160" customWidth="1"/>
    <col min="12805" max="12805" width="11" style="160" bestFit="1" customWidth="1"/>
    <col min="12806" max="12807" width="9.625" style="160" bestFit="1" customWidth="1"/>
    <col min="12808" max="12808" width="8.25" style="160" bestFit="1" customWidth="1"/>
    <col min="12809" max="12810" width="9.625" style="160" bestFit="1" customWidth="1"/>
    <col min="12811" max="12811" width="8.25" style="160" bestFit="1" customWidth="1"/>
    <col min="12812" max="12813" width="9.625" style="160" bestFit="1" customWidth="1"/>
    <col min="12814" max="12815" width="8.25" style="160" bestFit="1" customWidth="1"/>
    <col min="12816" max="12816" width="11" style="160" bestFit="1" customWidth="1"/>
    <col min="12817" max="12817" width="8" style="160" bestFit="1" customWidth="1"/>
    <col min="12818" max="12818" width="7.75" style="160" bestFit="1" customWidth="1"/>
    <col min="12819" max="12820" width="9.625" style="160" bestFit="1" customWidth="1"/>
    <col min="12821" max="12822" width="9.625" style="160" customWidth="1"/>
    <col min="12823" max="12823" width="9.25" style="160" bestFit="1" customWidth="1"/>
    <col min="12824" max="12824" width="11" style="160" bestFit="1" customWidth="1"/>
    <col min="12825" max="13057" width="9" style="160"/>
    <col min="13058" max="13058" width="4.625" style="160" bestFit="1" customWidth="1"/>
    <col min="13059" max="13059" width="7.5" style="160" bestFit="1" customWidth="1"/>
    <col min="13060" max="13060" width="6.25" style="160" customWidth="1"/>
    <col min="13061" max="13061" width="11" style="160" bestFit="1" customWidth="1"/>
    <col min="13062" max="13063" width="9.625" style="160" bestFit="1" customWidth="1"/>
    <col min="13064" max="13064" width="8.25" style="160" bestFit="1" customWidth="1"/>
    <col min="13065" max="13066" width="9.625" style="160" bestFit="1" customWidth="1"/>
    <col min="13067" max="13067" width="8.25" style="160" bestFit="1" customWidth="1"/>
    <col min="13068" max="13069" width="9.625" style="160" bestFit="1" customWidth="1"/>
    <col min="13070" max="13071" width="8.25" style="160" bestFit="1" customWidth="1"/>
    <col min="13072" max="13072" width="11" style="160" bestFit="1" customWidth="1"/>
    <col min="13073" max="13073" width="8" style="160" bestFit="1" customWidth="1"/>
    <col min="13074" max="13074" width="7.75" style="160" bestFit="1" customWidth="1"/>
    <col min="13075" max="13076" width="9.625" style="160" bestFit="1" customWidth="1"/>
    <col min="13077" max="13078" width="9.625" style="160" customWidth="1"/>
    <col min="13079" max="13079" width="9.25" style="160" bestFit="1" customWidth="1"/>
    <col min="13080" max="13080" width="11" style="160" bestFit="1" customWidth="1"/>
    <col min="13081" max="13313" width="9" style="160"/>
    <col min="13314" max="13314" width="4.625" style="160" bestFit="1" customWidth="1"/>
    <col min="13315" max="13315" width="7.5" style="160" bestFit="1" customWidth="1"/>
    <col min="13316" max="13316" width="6.25" style="160" customWidth="1"/>
    <col min="13317" max="13317" width="11" style="160" bestFit="1" customWidth="1"/>
    <col min="13318" max="13319" width="9.625" style="160" bestFit="1" customWidth="1"/>
    <col min="13320" max="13320" width="8.25" style="160" bestFit="1" customWidth="1"/>
    <col min="13321" max="13322" width="9.625" style="160" bestFit="1" customWidth="1"/>
    <col min="13323" max="13323" width="8.25" style="160" bestFit="1" customWidth="1"/>
    <col min="13324" max="13325" width="9.625" style="160" bestFit="1" customWidth="1"/>
    <col min="13326" max="13327" width="8.25" style="160" bestFit="1" customWidth="1"/>
    <col min="13328" max="13328" width="11" style="160" bestFit="1" customWidth="1"/>
    <col min="13329" max="13329" width="8" style="160" bestFit="1" customWidth="1"/>
    <col min="13330" max="13330" width="7.75" style="160" bestFit="1" customWidth="1"/>
    <col min="13331" max="13332" width="9.625" style="160" bestFit="1" customWidth="1"/>
    <col min="13333" max="13334" width="9.625" style="160" customWidth="1"/>
    <col min="13335" max="13335" width="9.25" style="160" bestFit="1" customWidth="1"/>
    <col min="13336" max="13336" width="11" style="160" bestFit="1" customWidth="1"/>
    <col min="13337" max="13569" width="9" style="160"/>
    <col min="13570" max="13570" width="4.625" style="160" bestFit="1" customWidth="1"/>
    <col min="13571" max="13571" width="7.5" style="160" bestFit="1" customWidth="1"/>
    <col min="13572" max="13572" width="6.25" style="160" customWidth="1"/>
    <col min="13573" max="13573" width="11" style="160" bestFit="1" customWidth="1"/>
    <col min="13574" max="13575" width="9.625" style="160" bestFit="1" customWidth="1"/>
    <col min="13576" max="13576" width="8.25" style="160" bestFit="1" customWidth="1"/>
    <col min="13577" max="13578" width="9.625" style="160" bestFit="1" customWidth="1"/>
    <col min="13579" max="13579" width="8.25" style="160" bestFit="1" customWidth="1"/>
    <col min="13580" max="13581" width="9.625" style="160" bestFit="1" customWidth="1"/>
    <col min="13582" max="13583" width="8.25" style="160" bestFit="1" customWidth="1"/>
    <col min="13584" max="13584" width="11" style="160" bestFit="1" customWidth="1"/>
    <col min="13585" max="13585" width="8" style="160" bestFit="1" customWidth="1"/>
    <col min="13586" max="13586" width="7.75" style="160" bestFit="1" customWidth="1"/>
    <col min="13587" max="13588" width="9.625" style="160" bestFit="1" customWidth="1"/>
    <col min="13589" max="13590" width="9.625" style="160" customWidth="1"/>
    <col min="13591" max="13591" width="9.25" style="160" bestFit="1" customWidth="1"/>
    <col min="13592" max="13592" width="11" style="160" bestFit="1" customWidth="1"/>
    <col min="13593" max="13825" width="9" style="160"/>
    <col min="13826" max="13826" width="4.625" style="160" bestFit="1" customWidth="1"/>
    <col min="13827" max="13827" width="7.5" style="160" bestFit="1" customWidth="1"/>
    <col min="13828" max="13828" width="6.25" style="160" customWidth="1"/>
    <col min="13829" max="13829" width="11" style="160" bestFit="1" customWidth="1"/>
    <col min="13830" max="13831" width="9.625" style="160" bestFit="1" customWidth="1"/>
    <col min="13832" max="13832" width="8.25" style="160" bestFit="1" customWidth="1"/>
    <col min="13833" max="13834" width="9.625" style="160" bestFit="1" customWidth="1"/>
    <col min="13835" max="13835" width="8.25" style="160" bestFit="1" customWidth="1"/>
    <col min="13836" max="13837" width="9.625" style="160" bestFit="1" customWidth="1"/>
    <col min="13838" max="13839" width="8.25" style="160" bestFit="1" customWidth="1"/>
    <col min="13840" max="13840" width="11" style="160" bestFit="1" customWidth="1"/>
    <col min="13841" max="13841" width="8" style="160" bestFit="1" customWidth="1"/>
    <col min="13842" max="13842" width="7.75" style="160" bestFit="1" customWidth="1"/>
    <col min="13843" max="13844" width="9.625" style="160" bestFit="1" customWidth="1"/>
    <col min="13845" max="13846" width="9.625" style="160" customWidth="1"/>
    <col min="13847" max="13847" width="9.25" style="160" bestFit="1" customWidth="1"/>
    <col min="13848" max="13848" width="11" style="160" bestFit="1" customWidth="1"/>
    <col min="13849" max="14081" width="9" style="160"/>
    <col min="14082" max="14082" width="4.625" style="160" bestFit="1" customWidth="1"/>
    <col min="14083" max="14083" width="7.5" style="160" bestFit="1" customWidth="1"/>
    <col min="14084" max="14084" width="6.25" style="160" customWidth="1"/>
    <col min="14085" max="14085" width="11" style="160" bestFit="1" customWidth="1"/>
    <col min="14086" max="14087" width="9.625" style="160" bestFit="1" customWidth="1"/>
    <col min="14088" max="14088" width="8.25" style="160" bestFit="1" customWidth="1"/>
    <col min="14089" max="14090" width="9.625" style="160" bestFit="1" customWidth="1"/>
    <col min="14091" max="14091" width="8.25" style="160" bestFit="1" customWidth="1"/>
    <col min="14092" max="14093" width="9.625" style="160" bestFit="1" customWidth="1"/>
    <col min="14094" max="14095" width="8.25" style="160" bestFit="1" customWidth="1"/>
    <col min="14096" max="14096" width="11" style="160" bestFit="1" customWidth="1"/>
    <col min="14097" max="14097" width="8" style="160" bestFit="1" customWidth="1"/>
    <col min="14098" max="14098" width="7.75" style="160" bestFit="1" customWidth="1"/>
    <col min="14099" max="14100" width="9.625" style="160" bestFit="1" customWidth="1"/>
    <col min="14101" max="14102" width="9.625" style="160" customWidth="1"/>
    <col min="14103" max="14103" width="9.25" style="160" bestFit="1" customWidth="1"/>
    <col min="14104" max="14104" width="11" style="160" bestFit="1" customWidth="1"/>
    <col min="14105" max="14337" width="9" style="160"/>
    <col min="14338" max="14338" width="4.625" style="160" bestFit="1" customWidth="1"/>
    <col min="14339" max="14339" width="7.5" style="160" bestFit="1" customWidth="1"/>
    <col min="14340" max="14340" width="6.25" style="160" customWidth="1"/>
    <col min="14341" max="14341" width="11" style="160" bestFit="1" customWidth="1"/>
    <col min="14342" max="14343" width="9.625" style="160" bestFit="1" customWidth="1"/>
    <col min="14344" max="14344" width="8.25" style="160" bestFit="1" customWidth="1"/>
    <col min="14345" max="14346" width="9.625" style="160" bestFit="1" customWidth="1"/>
    <col min="14347" max="14347" width="8.25" style="160" bestFit="1" customWidth="1"/>
    <col min="14348" max="14349" width="9.625" style="160" bestFit="1" customWidth="1"/>
    <col min="14350" max="14351" width="8.25" style="160" bestFit="1" customWidth="1"/>
    <col min="14352" max="14352" width="11" style="160" bestFit="1" customWidth="1"/>
    <col min="14353" max="14353" width="8" style="160" bestFit="1" customWidth="1"/>
    <col min="14354" max="14354" width="7.75" style="160" bestFit="1" customWidth="1"/>
    <col min="14355" max="14356" width="9.625" style="160" bestFit="1" customWidth="1"/>
    <col min="14357" max="14358" width="9.625" style="160" customWidth="1"/>
    <col min="14359" max="14359" width="9.25" style="160" bestFit="1" customWidth="1"/>
    <col min="14360" max="14360" width="11" style="160" bestFit="1" customWidth="1"/>
    <col min="14361" max="14593" width="9" style="160"/>
    <col min="14594" max="14594" width="4.625" style="160" bestFit="1" customWidth="1"/>
    <col min="14595" max="14595" width="7.5" style="160" bestFit="1" customWidth="1"/>
    <col min="14596" max="14596" width="6.25" style="160" customWidth="1"/>
    <col min="14597" max="14597" width="11" style="160" bestFit="1" customWidth="1"/>
    <col min="14598" max="14599" width="9.625" style="160" bestFit="1" customWidth="1"/>
    <col min="14600" max="14600" width="8.25" style="160" bestFit="1" customWidth="1"/>
    <col min="14601" max="14602" width="9.625" style="160" bestFit="1" customWidth="1"/>
    <col min="14603" max="14603" width="8.25" style="160" bestFit="1" customWidth="1"/>
    <col min="14604" max="14605" width="9.625" style="160" bestFit="1" customWidth="1"/>
    <col min="14606" max="14607" width="8.25" style="160" bestFit="1" customWidth="1"/>
    <col min="14608" max="14608" width="11" style="160" bestFit="1" customWidth="1"/>
    <col min="14609" max="14609" width="8" style="160" bestFit="1" customWidth="1"/>
    <col min="14610" max="14610" width="7.75" style="160" bestFit="1" customWidth="1"/>
    <col min="14611" max="14612" width="9.625" style="160" bestFit="1" customWidth="1"/>
    <col min="14613" max="14614" width="9.625" style="160" customWidth="1"/>
    <col min="14615" max="14615" width="9.25" style="160" bestFit="1" customWidth="1"/>
    <col min="14616" max="14616" width="11" style="160" bestFit="1" customWidth="1"/>
    <col min="14617" max="14849" width="9" style="160"/>
    <col min="14850" max="14850" width="4.625" style="160" bestFit="1" customWidth="1"/>
    <col min="14851" max="14851" width="7.5" style="160" bestFit="1" customWidth="1"/>
    <col min="14852" max="14852" width="6.25" style="160" customWidth="1"/>
    <col min="14853" max="14853" width="11" style="160" bestFit="1" customWidth="1"/>
    <col min="14854" max="14855" width="9.625" style="160" bestFit="1" customWidth="1"/>
    <col min="14856" max="14856" width="8.25" style="160" bestFit="1" customWidth="1"/>
    <col min="14857" max="14858" width="9.625" style="160" bestFit="1" customWidth="1"/>
    <col min="14859" max="14859" width="8.25" style="160" bestFit="1" customWidth="1"/>
    <col min="14860" max="14861" width="9.625" style="160" bestFit="1" customWidth="1"/>
    <col min="14862" max="14863" width="8.25" style="160" bestFit="1" customWidth="1"/>
    <col min="14864" max="14864" width="11" style="160" bestFit="1" customWidth="1"/>
    <col min="14865" max="14865" width="8" style="160" bestFit="1" customWidth="1"/>
    <col min="14866" max="14866" width="7.75" style="160" bestFit="1" customWidth="1"/>
    <col min="14867" max="14868" width="9.625" style="160" bestFit="1" customWidth="1"/>
    <col min="14869" max="14870" width="9.625" style="160" customWidth="1"/>
    <col min="14871" max="14871" width="9.25" style="160" bestFit="1" customWidth="1"/>
    <col min="14872" max="14872" width="11" style="160" bestFit="1" customWidth="1"/>
    <col min="14873" max="15105" width="9" style="160"/>
    <col min="15106" max="15106" width="4.625" style="160" bestFit="1" customWidth="1"/>
    <col min="15107" max="15107" width="7.5" style="160" bestFit="1" customWidth="1"/>
    <col min="15108" max="15108" width="6.25" style="160" customWidth="1"/>
    <col min="15109" max="15109" width="11" style="160" bestFit="1" customWidth="1"/>
    <col min="15110" max="15111" width="9.625" style="160" bestFit="1" customWidth="1"/>
    <col min="15112" max="15112" width="8.25" style="160" bestFit="1" customWidth="1"/>
    <col min="15113" max="15114" width="9.625" style="160" bestFit="1" customWidth="1"/>
    <col min="15115" max="15115" width="8.25" style="160" bestFit="1" customWidth="1"/>
    <col min="15116" max="15117" width="9.625" style="160" bestFit="1" customWidth="1"/>
    <col min="15118" max="15119" width="8.25" style="160" bestFit="1" customWidth="1"/>
    <col min="15120" max="15120" width="11" style="160" bestFit="1" customWidth="1"/>
    <col min="15121" max="15121" width="8" style="160" bestFit="1" customWidth="1"/>
    <col min="15122" max="15122" width="7.75" style="160" bestFit="1" customWidth="1"/>
    <col min="15123" max="15124" width="9.625" style="160" bestFit="1" customWidth="1"/>
    <col min="15125" max="15126" width="9.625" style="160" customWidth="1"/>
    <col min="15127" max="15127" width="9.25" style="160" bestFit="1" customWidth="1"/>
    <col min="15128" max="15128" width="11" style="160" bestFit="1" customWidth="1"/>
    <col min="15129" max="15361" width="9" style="160"/>
    <col min="15362" max="15362" width="4.625" style="160" bestFit="1" customWidth="1"/>
    <col min="15363" max="15363" width="7.5" style="160" bestFit="1" customWidth="1"/>
    <col min="15364" max="15364" width="6.25" style="160" customWidth="1"/>
    <col min="15365" max="15365" width="11" style="160" bestFit="1" customWidth="1"/>
    <col min="15366" max="15367" width="9.625" style="160" bestFit="1" customWidth="1"/>
    <col min="15368" max="15368" width="8.25" style="160" bestFit="1" customWidth="1"/>
    <col min="15369" max="15370" width="9.625" style="160" bestFit="1" customWidth="1"/>
    <col min="15371" max="15371" width="8.25" style="160" bestFit="1" customWidth="1"/>
    <col min="15372" max="15373" width="9.625" style="160" bestFit="1" customWidth="1"/>
    <col min="15374" max="15375" width="8.25" style="160" bestFit="1" customWidth="1"/>
    <col min="15376" max="15376" width="11" style="160" bestFit="1" customWidth="1"/>
    <col min="15377" max="15377" width="8" style="160" bestFit="1" customWidth="1"/>
    <col min="15378" max="15378" width="7.75" style="160" bestFit="1" customWidth="1"/>
    <col min="15379" max="15380" width="9.625" style="160" bestFit="1" customWidth="1"/>
    <col min="15381" max="15382" width="9.625" style="160" customWidth="1"/>
    <col min="15383" max="15383" width="9.25" style="160" bestFit="1" customWidth="1"/>
    <col min="15384" max="15384" width="11" style="160" bestFit="1" customWidth="1"/>
    <col min="15385" max="15617" width="9" style="160"/>
    <col min="15618" max="15618" width="4.625" style="160" bestFit="1" customWidth="1"/>
    <col min="15619" max="15619" width="7.5" style="160" bestFit="1" customWidth="1"/>
    <col min="15620" max="15620" width="6.25" style="160" customWidth="1"/>
    <col min="15621" max="15621" width="11" style="160" bestFit="1" customWidth="1"/>
    <col min="15622" max="15623" width="9.625" style="160" bestFit="1" customWidth="1"/>
    <col min="15624" max="15624" width="8.25" style="160" bestFit="1" customWidth="1"/>
    <col min="15625" max="15626" width="9.625" style="160" bestFit="1" customWidth="1"/>
    <col min="15627" max="15627" width="8.25" style="160" bestFit="1" customWidth="1"/>
    <col min="15628" max="15629" width="9.625" style="160" bestFit="1" customWidth="1"/>
    <col min="15630" max="15631" width="8.25" style="160" bestFit="1" customWidth="1"/>
    <col min="15632" max="15632" width="11" style="160" bestFit="1" customWidth="1"/>
    <col min="15633" max="15633" width="8" style="160" bestFit="1" customWidth="1"/>
    <col min="15634" max="15634" width="7.75" style="160" bestFit="1" customWidth="1"/>
    <col min="15635" max="15636" width="9.625" style="160" bestFit="1" customWidth="1"/>
    <col min="15637" max="15638" width="9.625" style="160" customWidth="1"/>
    <col min="15639" max="15639" width="9.25" style="160" bestFit="1" customWidth="1"/>
    <col min="15640" max="15640" width="11" style="160" bestFit="1" customWidth="1"/>
    <col min="15641" max="15873" width="9" style="160"/>
    <col min="15874" max="15874" width="4.625" style="160" bestFit="1" customWidth="1"/>
    <col min="15875" max="15875" width="7.5" style="160" bestFit="1" customWidth="1"/>
    <col min="15876" max="15876" width="6.25" style="160" customWidth="1"/>
    <col min="15877" max="15877" width="11" style="160" bestFit="1" customWidth="1"/>
    <col min="15878" max="15879" width="9.625" style="160" bestFit="1" customWidth="1"/>
    <col min="15880" max="15880" width="8.25" style="160" bestFit="1" customWidth="1"/>
    <col min="15881" max="15882" width="9.625" style="160" bestFit="1" customWidth="1"/>
    <col min="15883" max="15883" width="8.25" style="160" bestFit="1" customWidth="1"/>
    <col min="15884" max="15885" width="9.625" style="160" bestFit="1" customWidth="1"/>
    <col min="15886" max="15887" width="8.25" style="160" bestFit="1" customWidth="1"/>
    <col min="15888" max="15888" width="11" style="160" bestFit="1" customWidth="1"/>
    <col min="15889" max="15889" width="8" style="160" bestFit="1" customWidth="1"/>
    <col min="15890" max="15890" width="7.75" style="160" bestFit="1" customWidth="1"/>
    <col min="15891" max="15892" width="9.625" style="160" bestFit="1" customWidth="1"/>
    <col min="15893" max="15894" width="9.625" style="160" customWidth="1"/>
    <col min="15895" max="15895" width="9.25" style="160" bestFit="1" customWidth="1"/>
    <col min="15896" max="15896" width="11" style="160" bestFit="1" customWidth="1"/>
    <col min="15897" max="16129" width="9" style="160"/>
    <col min="16130" max="16130" width="4.625" style="160" bestFit="1" customWidth="1"/>
    <col min="16131" max="16131" width="7.5" style="160" bestFit="1" customWidth="1"/>
    <col min="16132" max="16132" width="6.25" style="160" customWidth="1"/>
    <col min="16133" max="16133" width="11" style="160" bestFit="1" customWidth="1"/>
    <col min="16134" max="16135" width="9.625" style="160" bestFit="1" customWidth="1"/>
    <col min="16136" max="16136" width="8.25" style="160" bestFit="1" customWidth="1"/>
    <col min="16137" max="16138" width="9.625" style="160" bestFit="1" customWidth="1"/>
    <col min="16139" max="16139" width="8.25" style="160" bestFit="1" customWidth="1"/>
    <col min="16140" max="16141" width="9.625" style="160" bestFit="1" customWidth="1"/>
    <col min="16142" max="16143" width="8.25" style="160" bestFit="1" customWidth="1"/>
    <col min="16144" max="16144" width="11" style="160" bestFit="1" customWidth="1"/>
    <col min="16145" max="16145" width="8" style="160" bestFit="1" customWidth="1"/>
    <col min="16146" max="16146" width="7.75" style="160" bestFit="1" customWidth="1"/>
    <col min="16147" max="16148" width="9.625" style="160" bestFit="1" customWidth="1"/>
    <col min="16149" max="16150" width="9.625" style="160" customWidth="1"/>
    <col min="16151" max="16151" width="9.25" style="160" bestFit="1" customWidth="1"/>
    <col min="16152" max="16152" width="11" style="160" bestFit="1" customWidth="1"/>
    <col min="16153" max="16384" width="9" style="160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255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58"/>
      <c r="V4" s="252"/>
      <c r="W4" s="252"/>
      <c r="X4" s="252"/>
    </row>
    <row r="5" spans="2:29" ht="20.25" customHeight="1" x14ac:dyDescent="0.3">
      <c r="B5" s="253" t="s">
        <v>256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59"/>
      <c r="Q5" s="69"/>
      <c r="R5" s="69"/>
      <c r="S5" s="69"/>
      <c r="T5" s="252"/>
      <c r="U5" s="15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" si="10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1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" si="12">IFERROR(IF(D15&lt;&gt;"대표이사",ROUNDDOWN((P15-AC15)*고용보험율,-1),0),)</f>
        <v>17600</v>
      </c>
      <c r="W15" s="124">
        <f t="shared" ref="W15" si="13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24" si="14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119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4"/>
        <v>300000</v>
      </c>
    </row>
    <row r="17" spans="2:29" ht="20.100000000000001" customHeight="1" x14ac:dyDescent="0.3">
      <c r="B17" s="101">
        <v>9</v>
      </c>
      <c r="C17" s="87" t="s">
        <v>247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19" si="15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6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ref="V17:V24" si="17">IFERROR(IF(D17&lt;&gt;"대표이사",ROUNDDOWN((P17-AC17)*고용보험율,-1),0),)</f>
        <v>17600</v>
      </c>
      <c r="W17" s="124">
        <f t="shared" ref="W17:W24" si="18">SUM(Q17:V17)</f>
        <v>229290</v>
      </c>
      <c r="X17" s="128">
        <f t="shared" si="7"/>
        <v>2270710</v>
      </c>
      <c r="Z17" s="98">
        <v>1</v>
      </c>
      <c r="AA17" s="99"/>
      <c r="AC17" s="100">
        <f t="shared" si="14"/>
        <v>300000</v>
      </c>
    </row>
    <row r="18" spans="2:29" ht="20.100000000000001" customHeight="1" x14ac:dyDescent="0.3">
      <c r="B18" s="101">
        <v>10</v>
      </c>
      <c r="C18" s="87" t="s">
        <v>143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5"/>
        <v>2500000</v>
      </c>
      <c r="Q18" s="125">
        <f t="shared" si="1"/>
        <v>25950</v>
      </c>
      <c r="R18" s="126">
        <f t="shared" si="2"/>
        <v>2590</v>
      </c>
      <c r="S18" s="126">
        <f t="shared" si="16"/>
        <v>99000</v>
      </c>
      <c r="T18" s="95">
        <f t="shared" si="3"/>
        <v>75460</v>
      </c>
      <c r="U18" s="96">
        <f t="shared" si="4"/>
        <v>8690</v>
      </c>
      <c r="V18" s="127">
        <f t="shared" si="17"/>
        <v>17600</v>
      </c>
      <c r="W18" s="124">
        <f t="shared" si="18"/>
        <v>229290</v>
      </c>
      <c r="X18" s="128">
        <f t="shared" si="7"/>
        <v>2270710</v>
      </c>
      <c r="Z18" s="98">
        <v>1</v>
      </c>
      <c r="AA18" s="99"/>
      <c r="AC18" s="100">
        <f t="shared" si="14"/>
        <v>300000</v>
      </c>
    </row>
    <row r="19" spans="2:29" ht="20.100000000000001" customHeight="1" x14ac:dyDescent="0.3">
      <c r="B19" s="101">
        <v>11</v>
      </c>
      <c r="C19" s="87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5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4"/>
        <v>300000</v>
      </c>
    </row>
    <row r="20" spans="2:29" ht="20.100000000000001" customHeight="1" x14ac:dyDescent="0.3">
      <c r="B20" s="101">
        <v>12</v>
      </c>
      <c r="C20" s="87" t="s">
        <v>259</v>
      </c>
      <c r="D20" s="88" t="s">
        <v>50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ref="P20:P21" si="19">SUM(E20:O20)</f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251</v>
      </c>
      <c r="D21" s="88" t="s">
        <v>50</v>
      </c>
      <c r="E21" s="89">
        <v>2100000</v>
      </c>
      <c r="F21" s="106"/>
      <c r="G21" s="106"/>
      <c r="H21" s="106"/>
      <c r="I21" s="106"/>
      <c r="J21" s="107"/>
      <c r="K21" s="107"/>
      <c r="L21" s="107"/>
      <c r="M21" s="107"/>
      <c r="N21" s="89">
        <v>200000</v>
      </c>
      <c r="O21" s="130">
        <v>200000</v>
      </c>
      <c r="P21" s="124">
        <f t="shared" si="19"/>
        <v>2500000</v>
      </c>
      <c r="Q21" s="125">
        <f t="shared" ref="Q21" si="20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/>
      <c r="T21" s="95">
        <f t="shared" ref="T21" si="21">IFERROR(ROUNDDOWN((P21-AC21)*3.43%,-1),)</f>
        <v>75460</v>
      </c>
      <c r="U21" s="96">
        <f t="shared" si="4"/>
        <v>8690</v>
      </c>
      <c r="V21" s="127">
        <f t="shared" ref="V21" si="22">IFERROR(IF(D21&lt;&gt;"대표이사",ROUNDDOWN((P21-AC21)*고용보험율,-1),0),)</f>
        <v>17600</v>
      </c>
      <c r="W21" s="124">
        <f t="shared" ref="W21" si="23">SUM(Q21:V21)</f>
        <v>130290</v>
      </c>
      <c r="X21" s="128">
        <f t="shared" si="7"/>
        <v>2369710</v>
      </c>
      <c r="Z21" s="98">
        <v>1</v>
      </c>
      <c r="AA21" s="99"/>
      <c r="AC21" s="100">
        <f t="shared" ref="AC21" si="24">IF(N21&gt;=100000,100000,N21)+IF(O21&gt;=200000,200000,O21)</f>
        <v>300000</v>
      </c>
    </row>
    <row r="22" spans="2:29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25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ht="20.100000000000001" customHeight="1" x14ac:dyDescent="0.3">
      <c r="B23" s="101"/>
      <c r="C23" s="87"/>
      <c r="D23" s="88"/>
      <c r="E23" s="89"/>
      <c r="F23" s="102"/>
      <c r="G23" s="102"/>
      <c r="H23" s="102"/>
      <c r="I23" s="102"/>
      <c r="J23" s="103"/>
      <c r="K23" s="103"/>
      <c r="L23" s="103"/>
      <c r="M23" s="103"/>
      <c r="N23" s="89"/>
      <c r="O23" s="129"/>
      <c r="P23" s="124"/>
      <c r="Q23" s="125"/>
      <c r="R23" s="126"/>
      <c r="S23" s="126"/>
      <c r="T23" s="95"/>
      <c r="U23" s="96"/>
      <c r="V23" s="127"/>
      <c r="W23" s="124"/>
      <c r="X23" s="128"/>
      <c r="Z23" s="98"/>
      <c r="AA23" s="99"/>
      <c r="AC23" s="100"/>
    </row>
    <row r="24" spans="2:29" ht="20.100000000000001" customHeight="1" x14ac:dyDescent="0.3">
      <c r="B24" s="101"/>
      <c r="C24" s="87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>
        <f t="shared" si="1"/>
        <v>0</v>
      </c>
      <c r="R24" s="126">
        <f t="shared" si="2"/>
        <v>0</v>
      </c>
      <c r="S24" s="126">
        <f t="shared" si="16"/>
        <v>0</v>
      </c>
      <c r="T24" s="95">
        <f t="shared" si="3"/>
        <v>0</v>
      </c>
      <c r="U24" s="96">
        <f t="shared" si="4"/>
        <v>0</v>
      </c>
      <c r="V24" s="127">
        <f t="shared" si="17"/>
        <v>0</v>
      </c>
      <c r="W24" s="124">
        <f t="shared" si="18"/>
        <v>0</v>
      </c>
      <c r="X24" s="128">
        <f t="shared" si="7"/>
        <v>0</v>
      </c>
      <c r="Z24" s="98">
        <v>1</v>
      </c>
      <c r="AA24" s="99"/>
      <c r="AC24" s="100">
        <f t="shared" si="14"/>
        <v>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26">SUM(E9:E24)</f>
        <v>29400000</v>
      </c>
      <c r="F25" s="132">
        <f t="shared" si="26"/>
        <v>0</v>
      </c>
      <c r="G25" s="132">
        <f t="shared" si="26"/>
        <v>0</v>
      </c>
      <c r="H25" s="132">
        <f t="shared" si="26"/>
        <v>0</v>
      </c>
      <c r="I25" s="132">
        <f t="shared" si="26"/>
        <v>0</v>
      </c>
      <c r="J25" s="132">
        <f t="shared" si="26"/>
        <v>0</v>
      </c>
      <c r="K25" s="132">
        <f t="shared" si="26"/>
        <v>0</v>
      </c>
      <c r="L25" s="132">
        <f t="shared" si="26"/>
        <v>0</v>
      </c>
      <c r="M25" s="133">
        <f t="shared" si="26"/>
        <v>0</v>
      </c>
      <c r="N25" s="131">
        <f t="shared" si="26"/>
        <v>2800000</v>
      </c>
      <c r="O25" s="134">
        <f t="shared" si="26"/>
        <v>2800000</v>
      </c>
      <c r="P25" s="135">
        <f t="shared" si="26"/>
        <v>35000000</v>
      </c>
      <c r="Q25" s="131">
        <f t="shared" si="26"/>
        <v>363300</v>
      </c>
      <c r="R25" s="132">
        <f t="shared" si="26"/>
        <v>36260</v>
      </c>
      <c r="S25" s="132">
        <f t="shared" si="26"/>
        <v>693000</v>
      </c>
      <c r="T25" s="132">
        <f t="shared" si="26"/>
        <v>1056440</v>
      </c>
      <c r="U25" s="133">
        <f t="shared" si="26"/>
        <v>121660</v>
      </c>
      <c r="V25" s="133">
        <f t="shared" si="26"/>
        <v>246400</v>
      </c>
      <c r="W25" s="135">
        <f t="shared" si="26"/>
        <v>2517060</v>
      </c>
      <c r="X25" s="136">
        <f t="shared" si="26"/>
        <v>32482940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257</v>
      </c>
      <c r="D28" s="197" t="s">
        <v>260</v>
      </c>
      <c r="E28" s="198"/>
      <c r="F28" s="204" t="s">
        <v>258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/>
      <c r="D32" s="197"/>
      <c r="E32" s="198"/>
      <c r="F32" s="199"/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5"/>
      <c r="C34" s="147"/>
      <c r="D34" s="197"/>
      <c r="E34" s="198"/>
      <c r="F34" s="204"/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6"/>
      <c r="C35" s="122"/>
      <c r="D35" s="197"/>
      <c r="E35" s="198"/>
      <c r="F35" s="204"/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20.100000000000001" customHeight="1" x14ac:dyDescent="0.3">
      <c r="Q36" s="64"/>
      <c r="R36" s="64"/>
      <c r="S36" s="64"/>
      <c r="T36" s="64"/>
      <c r="U36" s="64"/>
      <c r="V36" s="64"/>
    </row>
    <row r="37" spans="2:22" s="64" customFormat="1" ht="20.100000000000001" customHeight="1" x14ac:dyDescent="0.3">
      <c r="B37" s="160"/>
      <c r="C37" s="160"/>
      <c r="D37" s="160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60"/>
      <c r="C38" s="160"/>
      <c r="D38" s="160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60"/>
      <c r="C39" s="160"/>
      <c r="D39" s="160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60"/>
      <c r="C40" s="160"/>
      <c r="D40" s="160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60"/>
      <c r="C41" s="160"/>
      <c r="D41" s="160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60"/>
      <c r="C42" s="160"/>
      <c r="D42" s="160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60"/>
      <c r="C43" s="160"/>
      <c r="D43" s="160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60"/>
      <c r="C44" s="160"/>
      <c r="D44" s="160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60"/>
      <c r="C45" s="160"/>
      <c r="D45" s="160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60"/>
      <c r="C46" s="160"/>
      <c r="D46" s="160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60"/>
      <c r="C47" s="160"/>
      <c r="D47" s="160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60"/>
      <c r="C48" s="160"/>
      <c r="D48" s="160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60"/>
      <c r="C49" s="160"/>
      <c r="D49" s="160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60"/>
      <c r="C50" s="160"/>
      <c r="D50" s="16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60"/>
      <c r="C51" s="160"/>
      <c r="D51" s="160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60"/>
      <c r="C52" s="160"/>
      <c r="D52" s="160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60"/>
      <c r="C53" s="160"/>
      <c r="D53" s="160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60"/>
      <c r="C54" s="160"/>
      <c r="D54" s="160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60"/>
      <c r="C55" s="160"/>
      <c r="D55" s="160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60"/>
      <c r="C56" s="160"/>
      <c r="D56" s="16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60"/>
      <c r="C57" s="160"/>
      <c r="D57" s="160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60"/>
      <c r="C58" s="160"/>
      <c r="D58" s="160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60"/>
      <c r="C59" s="160"/>
      <c r="D59" s="160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60"/>
      <c r="C60" s="160"/>
      <c r="D60" s="160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60"/>
      <c r="C61" s="160"/>
      <c r="D61" s="160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60"/>
      <c r="C62" s="160"/>
      <c r="D62" s="160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60"/>
      <c r="C63" s="160"/>
      <c r="D63" s="160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60"/>
      <c r="C64" s="160"/>
      <c r="D64" s="160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60"/>
      <c r="C65" s="160"/>
      <c r="D65" s="160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60"/>
      <c r="C66" s="160"/>
      <c r="D66" s="160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60"/>
      <c r="C67" s="160"/>
      <c r="D67" s="160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60"/>
      <c r="C68" s="160"/>
      <c r="D68" s="160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60"/>
      <c r="C69" s="160"/>
      <c r="D69" s="160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60"/>
      <c r="C70" s="160"/>
      <c r="D70" s="160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60"/>
      <c r="C71" s="160"/>
      <c r="D71" s="160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60"/>
      <c r="C72" s="160"/>
      <c r="D72" s="160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60"/>
      <c r="C73" s="160"/>
      <c r="D73" s="160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60"/>
      <c r="C74" s="160"/>
      <c r="D74" s="160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60"/>
      <c r="C75" s="160"/>
      <c r="D75" s="160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60"/>
      <c r="C76" s="160"/>
      <c r="D76" s="160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60"/>
      <c r="C77" s="160"/>
      <c r="D77" s="160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60"/>
      <c r="C78" s="160"/>
      <c r="D78" s="160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60"/>
      <c r="C79" s="160"/>
      <c r="D79" s="160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60"/>
      <c r="C80" s="160"/>
      <c r="D80" s="160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60"/>
      <c r="C81" s="160"/>
      <c r="D81" s="160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60"/>
      <c r="C82" s="160"/>
      <c r="D82" s="160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60"/>
      <c r="C83" s="160"/>
      <c r="D83" s="160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60"/>
      <c r="C84" s="160"/>
      <c r="D84" s="160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60"/>
      <c r="C85" s="160"/>
      <c r="D85" s="160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60"/>
      <c r="C86" s="160"/>
      <c r="D86" s="160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60"/>
      <c r="C87" s="160"/>
      <c r="D87" s="160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60"/>
      <c r="C88" s="160"/>
      <c r="D88" s="160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60"/>
      <c r="C89" s="160"/>
      <c r="D89" s="160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60"/>
      <c r="C90" s="160"/>
      <c r="D90" s="160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60"/>
      <c r="C91" s="160"/>
      <c r="D91" s="160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60"/>
      <c r="C92" s="160"/>
      <c r="D92" s="160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60"/>
      <c r="C93" s="160"/>
      <c r="D93" s="160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60"/>
      <c r="C94" s="160"/>
      <c r="D94" s="160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60"/>
      <c r="C95" s="160"/>
      <c r="D95" s="160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60"/>
      <c r="C96" s="160"/>
      <c r="D96" s="160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60"/>
      <c r="C97" s="160"/>
      <c r="D97" s="160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60"/>
      <c r="C98" s="160"/>
      <c r="D98" s="160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60"/>
      <c r="C99" s="160"/>
      <c r="D99" s="160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60"/>
      <c r="C100" s="160"/>
      <c r="D100" s="160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60"/>
      <c r="C101" s="160"/>
      <c r="D101" s="160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60"/>
      <c r="C102" s="160"/>
      <c r="D102" s="160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60"/>
      <c r="C103" s="160"/>
      <c r="D103" s="160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60"/>
      <c r="C104" s="160"/>
      <c r="D104" s="160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60"/>
      <c r="C105" s="160"/>
      <c r="D105" s="160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60"/>
      <c r="C106" s="160"/>
      <c r="D106" s="160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60"/>
      <c r="C107" s="160"/>
      <c r="D107" s="160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60"/>
      <c r="C108" s="160"/>
      <c r="D108" s="160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60"/>
      <c r="C109" s="160"/>
      <c r="D109" s="160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60"/>
      <c r="C110" s="160"/>
      <c r="D110" s="160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60"/>
      <c r="C111" s="160"/>
      <c r="D111" s="160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60"/>
      <c r="C112" s="160"/>
      <c r="D112" s="160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60"/>
      <c r="C113" s="160"/>
      <c r="D113" s="160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60"/>
      <c r="C114" s="160"/>
      <c r="D114" s="160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60"/>
      <c r="C115" s="160"/>
      <c r="D115" s="160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60"/>
      <c r="C116" s="160"/>
      <c r="D116" s="160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60"/>
      <c r="C117" s="160"/>
      <c r="D117" s="160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60"/>
      <c r="C118" s="160"/>
      <c r="D118" s="160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60"/>
      <c r="C119" s="160"/>
      <c r="D119" s="160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60"/>
      <c r="C120" s="160"/>
      <c r="D120" s="160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60"/>
      <c r="C121" s="160"/>
      <c r="D121" s="160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60"/>
      <c r="C122" s="160"/>
      <c r="D122" s="160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60"/>
      <c r="C123" s="160"/>
      <c r="D123" s="160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60"/>
      <c r="C124" s="160"/>
      <c r="D124" s="160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60"/>
      <c r="C125" s="160"/>
      <c r="D125" s="160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60"/>
      <c r="C126" s="160"/>
      <c r="D126" s="160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60"/>
      <c r="C127" s="160"/>
      <c r="D127" s="160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60"/>
      <c r="C128" s="160"/>
      <c r="D128" s="160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60"/>
      <c r="C129" s="160"/>
      <c r="D129" s="160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60"/>
      <c r="C130" s="160"/>
      <c r="D130" s="160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60"/>
      <c r="C131" s="160"/>
      <c r="D131" s="160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60"/>
      <c r="C132" s="160"/>
      <c r="D132" s="160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60"/>
      <c r="C133" s="160"/>
      <c r="D133" s="160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60"/>
      <c r="C134" s="160"/>
      <c r="D134" s="160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60"/>
      <c r="C135" s="160"/>
      <c r="D135" s="160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60"/>
      <c r="C136" s="160"/>
      <c r="D136" s="160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60"/>
      <c r="C137" s="160"/>
      <c r="D137" s="160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60"/>
      <c r="C138" s="160"/>
      <c r="D138" s="160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60"/>
      <c r="C139" s="160"/>
      <c r="D139" s="160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60"/>
      <c r="C140" s="160"/>
      <c r="D140" s="160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60"/>
      <c r="C141" s="160"/>
      <c r="D141" s="160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60"/>
      <c r="C142" s="160"/>
      <c r="D142" s="160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60"/>
      <c r="C143" s="160"/>
      <c r="D143" s="160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60"/>
      <c r="C144" s="160"/>
      <c r="D144" s="160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60"/>
      <c r="C145" s="160"/>
      <c r="D145" s="160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60"/>
      <c r="C146" s="160"/>
      <c r="D146" s="160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60"/>
      <c r="C147" s="160"/>
      <c r="D147" s="160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60"/>
      <c r="C148" s="160"/>
      <c r="D148" s="160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60"/>
      <c r="C149" s="160"/>
      <c r="D149" s="160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60"/>
      <c r="C150" s="160"/>
      <c r="D150" s="160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60"/>
      <c r="C151" s="160"/>
      <c r="D151" s="160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60"/>
      <c r="C152" s="160"/>
      <c r="D152" s="160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60"/>
      <c r="C153" s="160"/>
      <c r="D153" s="160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60"/>
      <c r="C154" s="160"/>
      <c r="D154" s="160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60"/>
      <c r="C155" s="160"/>
      <c r="D155" s="160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60"/>
      <c r="C156" s="160"/>
      <c r="D156" s="160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60"/>
      <c r="C157" s="160"/>
      <c r="D157" s="160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60"/>
      <c r="C158" s="160"/>
      <c r="D158" s="160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60"/>
      <c r="C159" s="160"/>
      <c r="D159" s="160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60"/>
      <c r="C160" s="160"/>
      <c r="D160" s="160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60"/>
      <c r="C161" s="160"/>
      <c r="D161" s="160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60"/>
      <c r="C162" s="160"/>
      <c r="D162" s="160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60"/>
      <c r="C163" s="160"/>
      <c r="D163" s="160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60"/>
      <c r="C164" s="160"/>
      <c r="D164" s="160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60"/>
      <c r="C165" s="160"/>
      <c r="D165" s="160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60"/>
      <c r="C166" s="160"/>
      <c r="D166" s="160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60"/>
      <c r="C167" s="160"/>
      <c r="D167" s="160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60"/>
      <c r="C168" s="160"/>
      <c r="D168" s="160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60"/>
      <c r="C169" s="160"/>
      <c r="D169" s="160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60"/>
      <c r="C170" s="160"/>
      <c r="D170" s="160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60"/>
      <c r="C171" s="160"/>
      <c r="D171" s="160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60"/>
      <c r="C172" s="160"/>
      <c r="D172" s="160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60"/>
      <c r="C173" s="160"/>
      <c r="D173" s="160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60"/>
      <c r="C174" s="160"/>
      <c r="D174" s="160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60"/>
      <c r="C175" s="160"/>
      <c r="D175" s="160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60"/>
      <c r="C176" s="160"/>
      <c r="D176" s="160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60"/>
      <c r="C177" s="160"/>
      <c r="D177" s="160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60"/>
      <c r="C178" s="160"/>
      <c r="D178" s="160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60"/>
      <c r="C179" s="160"/>
      <c r="D179" s="160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60"/>
      <c r="C180" s="160"/>
      <c r="D180" s="160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60"/>
      <c r="C181" s="160"/>
      <c r="D181" s="160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60"/>
      <c r="C182" s="160"/>
      <c r="D182" s="160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60"/>
      <c r="C183" s="160"/>
      <c r="D183" s="160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60"/>
      <c r="C184" s="160"/>
      <c r="D184" s="160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60"/>
      <c r="C185" s="160"/>
      <c r="D185" s="160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60"/>
      <c r="C186" s="160"/>
      <c r="D186" s="160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60"/>
      <c r="C187" s="160"/>
      <c r="D187" s="160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60"/>
      <c r="C188" s="160"/>
      <c r="D188" s="160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60"/>
      <c r="C189" s="160"/>
      <c r="D189" s="160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60"/>
      <c r="C190" s="160"/>
      <c r="D190" s="160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60"/>
      <c r="C191" s="160"/>
      <c r="D191" s="160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60"/>
      <c r="C192" s="160"/>
      <c r="D192" s="160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60"/>
      <c r="C193" s="160"/>
      <c r="D193" s="160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60"/>
      <c r="C194" s="160"/>
      <c r="D194" s="160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60"/>
      <c r="C195" s="160"/>
      <c r="D195" s="160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60"/>
      <c r="C196" s="160"/>
      <c r="D196" s="160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60"/>
      <c r="C197" s="160"/>
      <c r="D197" s="160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60"/>
      <c r="C198" s="160"/>
      <c r="D198" s="160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60"/>
      <c r="C199" s="160"/>
      <c r="D199" s="160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60"/>
      <c r="C200" s="160"/>
      <c r="D200" s="160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60"/>
      <c r="C201" s="160"/>
      <c r="D201" s="160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60"/>
      <c r="C202" s="160"/>
      <c r="D202" s="160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60"/>
      <c r="C203" s="160"/>
      <c r="D203" s="160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60"/>
      <c r="C204" s="160"/>
      <c r="D204" s="160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60"/>
      <c r="C205" s="160"/>
      <c r="D205" s="160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60"/>
      <c r="C206" s="160"/>
      <c r="D206" s="160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60"/>
      <c r="C207" s="160"/>
      <c r="D207" s="160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60"/>
      <c r="C208" s="160"/>
      <c r="D208" s="160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60"/>
      <c r="C209" s="160"/>
      <c r="D209" s="160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60"/>
      <c r="C210" s="160"/>
      <c r="D210" s="160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60"/>
      <c r="C211" s="160"/>
      <c r="D211" s="160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60"/>
      <c r="C212" s="160"/>
      <c r="D212" s="160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60"/>
      <c r="C213" s="160"/>
      <c r="D213" s="160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60"/>
      <c r="C214" s="160"/>
      <c r="D214" s="160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60"/>
      <c r="C215" s="160"/>
      <c r="D215" s="160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60"/>
      <c r="C216" s="160"/>
      <c r="D216" s="160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60"/>
      <c r="C217" s="160"/>
      <c r="D217" s="160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60"/>
      <c r="C218" s="160"/>
      <c r="D218" s="160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60"/>
      <c r="C219" s="160"/>
      <c r="D219" s="160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60"/>
      <c r="C220" s="160"/>
      <c r="D220" s="160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60"/>
      <c r="C221" s="160"/>
      <c r="D221" s="160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60"/>
      <c r="C222" s="160"/>
      <c r="D222" s="160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60"/>
      <c r="C223" s="160"/>
      <c r="D223" s="160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60"/>
      <c r="C224" s="160"/>
      <c r="D224" s="160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60"/>
      <c r="C225" s="160"/>
      <c r="D225" s="160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60"/>
      <c r="C226" s="160"/>
      <c r="D226" s="160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60"/>
      <c r="C227" s="160"/>
      <c r="D227" s="160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60"/>
      <c r="C228" s="160"/>
      <c r="D228" s="160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60"/>
      <c r="C229" s="160"/>
      <c r="D229" s="160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60"/>
      <c r="C230" s="160"/>
      <c r="D230" s="160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60"/>
      <c r="C231" s="160"/>
      <c r="D231" s="160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60"/>
      <c r="C232" s="160"/>
      <c r="D232" s="160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60"/>
      <c r="C233" s="160"/>
      <c r="D233" s="160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60"/>
      <c r="C234" s="160"/>
      <c r="D234" s="160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60"/>
      <c r="C235" s="160"/>
      <c r="D235" s="160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60"/>
      <c r="C236" s="160"/>
      <c r="D236" s="160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60"/>
      <c r="C237" s="160"/>
      <c r="D237" s="160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60"/>
      <c r="C238" s="160"/>
      <c r="D238" s="160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60"/>
      <c r="C239" s="160"/>
      <c r="D239" s="160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60"/>
      <c r="C240" s="160"/>
      <c r="D240" s="160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60"/>
      <c r="C241" s="160"/>
      <c r="D241" s="160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60"/>
      <c r="C242" s="160"/>
      <c r="D242" s="160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60"/>
      <c r="C243" s="160"/>
      <c r="D243" s="160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60"/>
      <c r="C244" s="160"/>
      <c r="D244" s="160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60"/>
      <c r="C245" s="160"/>
      <c r="D245" s="160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60"/>
      <c r="C246" s="160"/>
      <c r="D246" s="160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60"/>
      <c r="C247" s="160"/>
      <c r="D247" s="160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60"/>
      <c r="C248" s="160"/>
      <c r="D248" s="160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60"/>
      <c r="C249" s="160"/>
      <c r="D249" s="160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60"/>
      <c r="C250" s="160"/>
      <c r="D250" s="160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60"/>
      <c r="C251" s="160"/>
      <c r="D251" s="160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60"/>
      <c r="C252" s="160"/>
      <c r="D252" s="160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60"/>
      <c r="C253" s="160"/>
      <c r="D253" s="160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60"/>
      <c r="C254" s="160"/>
      <c r="D254" s="160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60"/>
      <c r="C255" s="160"/>
      <c r="D255" s="160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60"/>
      <c r="C256" s="160"/>
      <c r="D256" s="160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60"/>
      <c r="C257" s="160"/>
      <c r="D257" s="160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60"/>
      <c r="C258" s="160"/>
      <c r="D258" s="160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60"/>
      <c r="C259" s="160"/>
      <c r="D259" s="160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60"/>
      <c r="C260" s="160"/>
      <c r="D260" s="160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60"/>
      <c r="C261" s="160"/>
      <c r="D261" s="160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60"/>
      <c r="C262" s="160"/>
      <c r="D262" s="160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60"/>
      <c r="C263" s="160"/>
      <c r="D263" s="160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60"/>
      <c r="C264" s="160"/>
      <c r="D264" s="160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60"/>
      <c r="C265" s="160"/>
      <c r="D265" s="160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60"/>
      <c r="C266" s="160"/>
      <c r="D266" s="160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60"/>
      <c r="C267" s="160"/>
      <c r="D267" s="160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60"/>
      <c r="C268" s="160"/>
      <c r="D268" s="160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60"/>
      <c r="C269" s="160"/>
      <c r="D269" s="160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60"/>
      <c r="C270" s="160"/>
      <c r="D270" s="160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60"/>
      <c r="C271" s="160"/>
      <c r="D271" s="160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60"/>
      <c r="C272" s="160"/>
      <c r="D272" s="160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60"/>
      <c r="C273" s="160"/>
      <c r="D273" s="160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60"/>
      <c r="C274" s="160"/>
      <c r="D274" s="160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60"/>
      <c r="C275" s="160"/>
      <c r="D275" s="160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60"/>
      <c r="C276" s="160"/>
      <c r="D276" s="160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60"/>
      <c r="C277" s="160"/>
      <c r="D277" s="160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60"/>
      <c r="C278" s="160"/>
      <c r="D278" s="160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60"/>
      <c r="C279" s="160"/>
      <c r="D279" s="160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60"/>
      <c r="C280" s="160"/>
      <c r="D280" s="160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60"/>
      <c r="C281" s="160"/>
      <c r="D281" s="160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60"/>
      <c r="C282" s="160"/>
      <c r="D282" s="160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60"/>
      <c r="C283" s="160"/>
      <c r="D283" s="160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B32:B35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  <mergeCell ref="D31:E31"/>
    <mergeCell ref="F31:G31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topLeftCell="A7" workbookViewId="0">
      <selection activeCell="D28" sqref="D28:E28"/>
    </sheetView>
  </sheetViews>
  <sheetFormatPr defaultRowHeight="13.5" x14ac:dyDescent="0.3"/>
  <cols>
    <col min="1" max="1" width="1.625" style="160" customWidth="1"/>
    <col min="2" max="2" width="4.625" style="160" bestFit="1" customWidth="1"/>
    <col min="3" max="3" width="7.625" style="160" bestFit="1" customWidth="1"/>
    <col min="4" max="4" width="8" style="160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60" customWidth="1"/>
    <col min="26" max="26" width="8.375" style="160" customWidth="1"/>
    <col min="27" max="27" width="7.25" style="160" customWidth="1"/>
    <col min="28" max="28" width="3.875" style="160" customWidth="1"/>
    <col min="29" max="29" width="0.5" style="160" customWidth="1"/>
    <col min="30" max="257" width="9" style="160"/>
    <col min="258" max="258" width="4.625" style="160" bestFit="1" customWidth="1"/>
    <col min="259" max="259" width="7.5" style="160" bestFit="1" customWidth="1"/>
    <col min="260" max="260" width="6.25" style="160" customWidth="1"/>
    <col min="261" max="261" width="11" style="160" bestFit="1" customWidth="1"/>
    <col min="262" max="263" width="9.625" style="160" bestFit="1" customWidth="1"/>
    <col min="264" max="264" width="8.25" style="160" bestFit="1" customWidth="1"/>
    <col min="265" max="266" width="9.625" style="160" bestFit="1" customWidth="1"/>
    <col min="267" max="267" width="8.25" style="160" bestFit="1" customWidth="1"/>
    <col min="268" max="269" width="9.625" style="160" bestFit="1" customWidth="1"/>
    <col min="270" max="271" width="8.25" style="160" bestFit="1" customWidth="1"/>
    <col min="272" max="272" width="11" style="160" bestFit="1" customWidth="1"/>
    <col min="273" max="273" width="8" style="160" bestFit="1" customWidth="1"/>
    <col min="274" max="274" width="7.75" style="160" bestFit="1" customWidth="1"/>
    <col min="275" max="276" width="9.625" style="160" bestFit="1" customWidth="1"/>
    <col min="277" max="278" width="9.625" style="160" customWidth="1"/>
    <col min="279" max="279" width="9.25" style="160" bestFit="1" customWidth="1"/>
    <col min="280" max="280" width="11" style="160" bestFit="1" customWidth="1"/>
    <col min="281" max="513" width="9" style="160"/>
    <col min="514" max="514" width="4.625" style="160" bestFit="1" customWidth="1"/>
    <col min="515" max="515" width="7.5" style="160" bestFit="1" customWidth="1"/>
    <col min="516" max="516" width="6.25" style="160" customWidth="1"/>
    <col min="517" max="517" width="11" style="160" bestFit="1" customWidth="1"/>
    <col min="518" max="519" width="9.625" style="160" bestFit="1" customWidth="1"/>
    <col min="520" max="520" width="8.25" style="160" bestFit="1" customWidth="1"/>
    <col min="521" max="522" width="9.625" style="160" bestFit="1" customWidth="1"/>
    <col min="523" max="523" width="8.25" style="160" bestFit="1" customWidth="1"/>
    <col min="524" max="525" width="9.625" style="160" bestFit="1" customWidth="1"/>
    <col min="526" max="527" width="8.25" style="160" bestFit="1" customWidth="1"/>
    <col min="528" max="528" width="11" style="160" bestFit="1" customWidth="1"/>
    <col min="529" max="529" width="8" style="160" bestFit="1" customWidth="1"/>
    <col min="530" max="530" width="7.75" style="160" bestFit="1" customWidth="1"/>
    <col min="531" max="532" width="9.625" style="160" bestFit="1" customWidth="1"/>
    <col min="533" max="534" width="9.625" style="160" customWidth="1"/>
    <col min="535" max="535" width="9.25" style="160" bestFit="1" customWidth="1"/>
    <col min="536" max="536" width="11" style="160" bestFit="1" customWidth="1"/>
    <col min="537" max="769" width="9" style="160"/>
    <col min="770" max="770" width="4.625" style="160" bestFit="1" customWidth="1"/>
    <col min="771" max="771" width="7.5" style="160" bestFit="1" customWidth="1"/>
    <col min="772" max="772" width="6.25" style="160" customWidth="1"/>
    <col min="773" max="773" width="11" style="160" bestFit="1" customWidth="1"/>
    <col min="774" max="775" width="9.625" style="160" bestFit="1" customWidth="1"/>
    <col min="776" max="776" width="8.25" style="160" bestFit="1" customWidth="1"/>
    <col min="777" max="778" width="9.625" style="160" bestFit="1" customWidth="1"/>
    <col min="779" max="779" width="8.25" style="160" bestFit="1" customWidth="1"/>
    <col min="780" max="781" width="9.625" style="160" bestFit="1" customWidth="1"/>
    <col min="782" max="783" width="8.25" style="160" bestFit="1" customWidth="1"/>
    <col min="784" max="784" width="11" style="160" bestFit="1" customWidth="1"/>
    <col min="785" max="785" width="8" style="160" bestFit="1" customWidth="1"/>
    <col min="786" max="786" width="7.75" style="160" bestFit="1" customWidth="1"/>
    <col min="787" max="788" width="9.625" style="160" bestFit="1" customWidth="1"/>
    <col min="789" max="790" width="9.625" style="160" customWidth="1"/>
    <col min="791" max="791" width="9.25" style="160" bestFit="1" customWidth="1"/>
    <col min="792" max="792" width="11" style="160" bestFit="1" customWidth="1"/>
    <col min="793" max="1025" width="9" style="160"/>
    <col min="1026" max="1026" width="4.625" style="160" bestFit="1" customWidth="1"/>
    <col min="1027" max="1027" width="7.5" style="160" bestFit="1" customWidth="1"/>
    <col min="1028" max="1028" width="6.25" style="160" customWidth="1"/>
    <col min="1029" max="1029" width="11" style="160" bestFit="1" customWidth="1"/>
    <col min="1030" max="1031" width="9.625" style="160" bestFit="1" customWidth="1"/>
    <col min="1032" max="1032" width="8.25" style="160" bestFit="1" customWidth="1"/>
    <col min="1033" max="1034" width="9.625" style="160" bestFit="1" customWidth="1"/>
    <col min="1035" max="1035" width="8.25" style="160" bestFit="1" customWidth="1"/>
    <col min="1036" max="1037" width="9.625" style="160" bestFit="1" customWidth="1"/>
    <col min="1038" max="1039" width="8.25" style="160" bestFit="1" customWidth="1"/>
    <col min="1040" max="1040" width="11" style="160" bestFit="1" customWidth="1"/>
    <col min="1041" max="1041" width="8" style="160" bestFit="1" customWidth="1"/>
    <col min="1042" max="1042" width="7.75" style="160" bestFit="1" customWidth="1"/>
    <col min="1043" max="1044" width="9.625" style="160" bestFit="1" customWidth="1"/>
    <col min="1045" max="1046" width="9.625" style="160" customWidth="1"/>
    <col min="1047" max="1047" width="9.25" style="160" bestFit="1" customWidth="1"/>
    <col min="1048" max="1048" width="11" style="160" bestFit="1" customWidth="1"/>
    <col min="1049" max="1281" width="9" style="160"/>
    <col min="1282" max="1282" width="4.625" style="160" bestFit="1" customWidth="1"/>
    <col min="1283" max="1283" width="7.5" style="160" bestFit="1" customWidth="1"/>
    <col min="1284" max="1284" width="6.25" style="160" customWidth="1"/>
    <col min="1285" max="1285" width="11" style="160" bestFit="1" customWidth="1"/>
    <col min="1286" max="1287" width="9.625" style="160" bestFit="1" customWidth="1"/>
    <col min="1288" max="1288" width="8.25" style="160" bestFit="1" customWidth="1"/>
    <col min="1289" max="1290" width="9.625" style="160" bestFit="1" customWidth="1"/>
    <col min="1291" max="1291" width="8.25" style="160" bestFit="1" customWidth="1"/>
    <col min="1292" max="1293" width="9.625" style="160" bestFit="1" customWidth="1"/>
    <col min="1294" max="1295" width="8.25" style="160" bestFit="1" customWidth="1"/>
    <col min="1296" max="1296" width="11" style="160" bestFit="1" customWidth="1"/>
    <col min="1297" max="1297" width="8" style="160" bestFit="1" customWidth="1"/>
    <col min="1298" max="1298" width="7.75" style="160" bestFit="1" customWidth="1"/>
    <col min="1299" max="1300" width="9.625" style="160" bestFit="1" customWidth="1"/>
    <col min="1301" max="1302" width="9.625" style="160" customWidth="1"/>
    <col min="1303" max="1303" width="9.25" style="160" bestFit="1" customWidth="1"/>
    <col min="1304" max="1304" width="11" style="160" bestFit="1" customWidth="1"/>
    <col min="1305" max="1537" width="9" style="160"/>
    <col min="1538" max="1538" width="4.625" style="160" bestFit="1" customWidth="1"/>
    <col min="1539" max="1539" width="7.5" style="160" bestFit="1" customWidth="1"/>
    <col min="1540" max="1540" width="6.25" style="160" customWidth="1"/>
    <col min="1541" max="1541" width="11" style="160" bestFit="1" customWidth="1"/>
    <col min="1542" max="1543" width="9.625" style="160" bestFit="1" customWidth="1"/>
    <col min="1544" max="1544" width="8.25" style="160" bestFit="1" customWidth="1"/>
    <col min="1545" max="1546" width="9.625" style="160" bestFit="1" customWidth="1"/>
    <col min="1547" max="1547" width="8.25" style="160" bestFit="1" customWidth="1"/>
    <col min="1548" max="1549" width="9.625" style="160" bestFit="1" customWidth="1"/>
    <col min="1550" max="1551" width="8.25" style="160" bestFit="1" customWidth="1"/>
    <col min="1552" max="1552" width="11" style="160" bestFit="1" customWidth="1"/>
    <col min="1553" max="1553" width="8" style="160" bestFit="1" customWidth="1"/>
    <col min="1554" max="1554" width="7.75" style="160" bestFit="1" customWidth="1"/>
    <col min="1555" max="1556" width="9.625" style="160" bestFit="1" customWidth="1"/>
    <col min="1557" max="1558" width="9.625" style="160" customWidth="1"/>
    <col min="1559" max="1559" width="9.25" style="160" bestFit="1" customWidth="1"/>
    <col min="1560" max="1560" width="11" style="160" bestFit="1" customWidth="1"/>
    <col min="1561" max="1793" width="9" style="160"/>
    <col min="1794" max="1794" width="4.625" style="160" bestFit="1" customWidth="1"/>
    <col min="1795" max="1795" width="7.5" style="160" bestFit="1" customWidth="1"/>
    <col min="1796" max="1796" width="6.25" style="160" customWidth="1"/>
    <col min="1797" max="1797" width="11" style="160" bestFit="1" customWidth="1"/>
    <col min="1798" max="1799" width="9.625" style="160" bestFit="1" customWidth="1"/>
    <col min="1800" max="1800" width="8.25" style="160" bestFit="1" customWidth="1"/>
    <col min="1801" max="1802" width="9.625" style="160" bestFit="1" customWidth="1"/>
    <col min="1803" max="1803" width="8.25" style="160" bestFit="1" customWidth="1"/>
    <col min="1804" max="1805" width="9.625" style="160" bestFit="1" customWidth="1"/>
    <col min="1806" max="1807" width="8.25" style="160" bestFit="1" customWidth="1"/>
    <col min="1808" max="1808" width="11" style="160" bestFit="1" customWidth="1"/>
    <col min="1809" max="1809" width="8" style="160" bestFit="1" customWidth="1"/>
    <col min="1810" max="1810" width="7.75" style="160" bestFit="1" customWidth="1"/>
    <col min="1811" max="1812" width="9.625" style="160" bestFit="1" customWidth="1"/>
    <col min="1813" max="1814" width="9.625" style="160" customWidth="1"/>
    <col min="1815" max="1815" width="9.25" style="160" bestFit="1" customWidth="1"/>
    <col min="1816" max="1816" width="11" style="160" bestFit="1" customWidth="1"/>
    <col min="1817" max="2049" width="9" style="160"/>
    <col min="2050" max="2050" width="4.625" style="160" bestFit="1" customWidth="1"/>
    <col min="2051" max="2051" width="7.5" style="160" bestFit="1" customWidth="1"/>
    <col min="2052" max="2052" width="6.25" style="160" customWidth="1"/>
    <col min="2053" max="2053" width="11" style="160" bestFit="1" customWidth="1"/>
    <col min="2054" max="2055" width="9.625" style="160" bestFit="1" customWidth="1"/>
    <col min="2056" max="2056" width="8.25" style="160" bestFit="1" customWidth="1"/>
    <col min="2057" max="2058" width="9.625" style="160" bestFit="1" customWidth="1"/>
    <col min="2059" max="2059" width="8.25" style="160" bestFit="1" customWidth="1"/>
    <col min="2060" max="2061" width="9.625" style="160" bestFit="1" customWidth="1"/>
    <col min="2062" max="2063" width="8.25" style="160" bestFit="1" customWidth="1"/>
    <col min="2064" max="2064" width="11" style="160" bestFit="1" customWidth="1"/>
    <col min="2065" max="2065" width="8" style="160" bestFit="1" customWidth="1"/>
    <col min="2066" max="2066" width="7.75" style="160" bestFit="1" customWidth="1"/>
    <col min="2067" max="2068" width="9.625" style="160" bestFit="1" customWidth="1"/>
    <col min="2069" max="2070" width="9.625" style="160" customWidth="1"/>
    <col min="2071" max="2071" width="9.25" style="160" bestFit="1" customWidth="1"/>
    <col min="2072" max="2072" width="11" style="160" bestFit="1" customWidth="1"/>
    <col min="2073" max="2305" width="9" style="160"/>
    <col min="2306" max="2306" width="4.625" style="160" bestFit="1" customWidth="1"/>
    <col min="2307" max="2307" width="7.5" style="160" bestFit="1" customWidth="1"/>
    <col min="2308" max="2308" width="6.25" style="160" customWidth="1"/>
    <col min="2309" max="2309" width="11" style="160" bestFit="1" customWidth="1"/>
    <col min="2310" max="2311" width="9.625" style="160" bestFit="1" customWidth="1"/>
    <col min="2312" max="2312" width="8.25" style="160" bestFit="1" customWidth="1"/>
    <col min="2313" max="2314" width="9.625" style="160" bestFit="1" customWidth="1"/>
    <col min="2315" max="2315" width="8.25" style="160" bestFit="1" customWidth="1"/>
    <col min="2316" max="2317" width="9.625" style="160" bestFit="1" customWidth="1"/>
    <col min="2318" max="2319" width="8.25" style="160" bestFit="1" customWidth="1"/>
    <col min="2320" max="2320" width="11" style="160" bestFit="1" customWidth="1"/>
    <col min="2321" max="2321" width="8" style="160" bestFit="1" customWidth="1"/>
    <col min="2322" max="2322" width="7.75" style="160" bestFit="1" customWidth="1"/>
    <col min="2323" max="2324" width="9.625" style="160" bestFit="1" customWidth="1"/>
    <col min="2325" max="2326" width="9.625" style="160" customWidth="1"/>
    <col min="2327" max="2327" width="9.25" style="160" bestFit="1" customWidth="1"/>
    <col min="2328" max="2328" width="11" style="160" bestFit="1" customWidth="1"/>
    <col min="2329" max="2561" width="9" style="160"/>
    <col min="2562" max="2562" width="4.625" style="160" bestFit="1" customWidth="1"/>
    <col min="2563" max="2563" width="7.5" style="160" bestFit="1" customWidth="1"/>
    <col min="2564" max="2564" width="6.25" style="160" customWidth="1"/>
    <col min="2565" max="2565" width="11" style="160" bestFit="1" customWidth="1"/>
    <col min="2566" max="2567" width="9.625" style="160" bestFit="1" customWidth="1"/>
    <col min="2568" max="2568" width="8.25" style="160" bestFit="1" customWidth="1"/>
    <col min="2569" max="2570" width="9.625" style="160" bestFit="1" customWidth="1"/>
    <col min="2571" max="2571" width="8.25" style="160" bestFit="1" customWidth="1"/>
    <col min="2572" max="2573" width="9.625" style="160" bestFit="1" customWidth="1"/>
    <col min="2574" max="2575" width="8.25" style="160" bestFit="1" customWidth="1"/>
    <col min="2576" max="2576" width="11" style="160" bestFit="1" customWidth="1"/>
    <col min="2577" max="2577" width="8" style="160" bestFit="1" customWidth="1"/>
    <col min="2578" max="2578" width="7.75" style="160" bestFit="1" customWidth="1"/>
    <col min="2579" max="2580" width="9.625" style="160" bestFit="1" customWidth="1"/>
    <col min="2581" max="2582" width="9.625" style="160" customWidth="1"/>
    <col min="2583" max="2583" width="9.25" style="160" bestFit="1" customWidth="1"/>
    <col min="2584" max="2584" width="11" style="160" bestFit="1" customWidth="1"/>
    <col min="2585" max="2817" width="9" style="160"/>
    <col min="2818" max="2818" width="4.625" style="160" bestFit="1" customWidth="1"/>
    <col min="2819" max="2819" width="7.5" style="160" bestFit="1" customWidth="1"/>
    <col min="2820" max="2820" width="6.25" style="160" customWidth="1"/>
    <col min="2821" max="2821" width="11" style="160" bestFit="1" customWidth="1"/>
    <col min="2822" max="2823" width="9.625" style="160" bestFit="1" customWidth="1"/>
    <col min="2824" max="2824" width="8.25" style="160" bestFit="1" customWidth="1"/>
    <col min="2825" max="2826" width="9.625" style="160" bestFit="1" customWidth="1"/>
    <col min="2827" max="2827" width="8.25" style="160" bestFit="1" customWidth="1"/>
    <col min="2828" max="2829" width="9.625" style="160" bestFit="1" customWidth="1"/>
    <col min="2830" max="2831" width="8.25" style="160" bestFit="1" customWidth="1"/>
    <col min="2832" max="2832" width="11" style="160" bestFit="1" customWidth="1"/>
    <col min="2833" max="2833" width="8" style="160" bestFit="1" customWidth="1"/>
    <col min="2834" max="2834" width="7.75" style="160" bestFit="1" customWidth="1"/>
    <col min="2835" max="2836" width="9.625" style="160" bestFit="1" customWidth="1"/>
    <col min="2837" max="2838" width="9.625" style="160" customWidth="1"/>
    <col min="2839" max="2839" width="9.25" style="160" bestFit="1" customWidth="1"/>
    <col min="2840" max="2840" width="11" style="160" bestFit="1" customWidth="1"/>
    <col min="2841" max="3073" width="9" style="160"/>
    <col min="3074" max="3074" width="4.625" style="160" bestFit="1" customWidth="1"/>
    <col min="3075" max="3075" width="7.5" style="160" bestFit="1" customWidth="1"/>
    <col min="3076" max="3076" width="6.25" style="160" customWidth="1"/>
    <col min="3077" max="3077" width="11" style="160" bestFit="1" customWidth="1"/>
    <col min="3078" max="3079" width="9.625" style="160" bestFit="1" customWidth="1"/>
    <col min="3080" max="3080" width="8.25" style="160" bestFit="1" customWidth="1"/>
    <col min="3081" max="3082" width="9.625" style="160" bestFit="1" customWidth="1"/>
    <col min="3083" max="3083" width="8.25" style="160" bestFit="1" customWidth="1"/>
    <col min="3084" max="3085" width="9.625" style="160" bestFit="1" customWidth="1"/>
    <col min="3086" max="3087" width="8.25" style="160" bestFit="1" customWidth="1"/>
    <col min="3088" max="3088" width="11" style="160" bestFit="1" customWidth="1"/>
    <col min="3089" max="3089" width="8" style="160" bestFit="1" customWidth="1"/>
    <col min="3090" max="3090" width="7.75" style="160" bestFit="1" customWidth="1"/>
    <col min="3091" max="3092" width="9.625" style="160" bestFit="1" customWidth="1"/>
    <col min="3093" max="3094" width="9.625" style="160" customWidth="1"/>
    <col min="3095" max="3095" width="9.25" style="160" bestFit="1" customWidth="1"/>
    <col min="3096" max="3096" width="11" style="160" bestFit="1" customWidth="1"/>
    <col min="3097" max="3329" width="9" style="160"/>
    <col min="3330" max="3330" width="4.625" style="160" bestFit="1" customWidth="1"/>
    <col min="3331" max="3331" width="7.5" style="160" bestFit="1" customWidth="1"/>
    <col min="3332" max="3332" width="6.25" style="160" customWidth="1"/>
    <col min="3333" max="3333" width="11" style="160" bestFit="1" customWidth="1"/>
    <col min="3334" max="3335" width="9.625" style="160" bestFit="1" customWidth="1"/>
    <col min="3336" max="3336" width="8.25" style="160" bestFit="1" customWidth="1"/>
    <col min="3337" max="3338" width="9.625" style="160" bestFit="1" customWidth="1"/>
    <col min="3339" max="3339" width="8.25" style="160" bestFit="1" customWidth="1"/>
    <col min="3340" max="3341" width="9.625" style="160" bestFit="1" customWidth="1"/>
    <col min="3342" max="3343" width="8.25" style="160" bestFit="1" customWidth="1"/>
    <col min="3344" max="3344" width="11" style="160" bestFit="1" customWidth="1"/>
    <col min="3345" max="3345" width="8" style="160" bestFit="1" customWidth="1"/>
    <col min="3346" max="3346" width="7.75" style="160" bestFit="1" customWidth="1"/>
    <col min="3347" max="3348" width="9.625" style="160" bestFit="1" customWidth="1"/>
    <col min="3349" max="3350" width="9.625" style="160" customWidth="1"/>
    <col min="3351" max="3351" width="9.25" style="160" bestFit="1" customWidth="1"/>
    <col min="3352" max="3352" width="11" style="160" bestFit="1" customWidth="1"/>
    <col min="3353" max="3585" width="9" style="160"/>
    <col min="3586" max="3586" width="4.625" style="160" bestFit="1" customWidth="1"/>
    <col min="3587" max="3587" width="7.5" style="160" bestFit="1" customWidth="1"/>
    <col min="3588" max="3588" width="6.25" style="160" customWidth="1"/>
    <col min="3589" max="3589" width="11" style="160" bestFit="1" customWidth="1"/>
    <col min="3590" max="3591" width="9.625" style="160" bestFit="1" customWidth="1"/>
    <col min="3592" max="3592" width="8.25" style="160" bestFit="1" customWidth="1"/>
    <col min="3593" max="3594" width="9.625" style="160" bestFit="1" customWidth="1"/>
    <col min="3595" max="3595" width="8.25" style="160" bestFit="1" customWidth="1"/>
    <col min="3596" max="3597" width="9.625" style="160" bestFit="1" customWidth="1"/>
    <col min="3598" max="3599" width="8.25" style="160" bestFit="1" customWidth="1"/>
    <col min="3600" max="3600" width="11" style="160" bestFit="1" customWidth="1"/>
    <col min="3601" max="3601" width="8" style="160" bestFit="1" customWidth="1"/>
    <col min="3602" max="3602" width="7.75" style="160" bestFit="1" customWidth="1"/>
    <col min="3603" max="3604" width="9.625" style="160" bestFit="1" customWidth="1"/>
    <col min="3605" max="3606" width="9.625" style="160" customWidth="1"/>
    <col min="3607" max="3607" width="9.25" style="160" bestFit="1" customWidth="1"/>
    <col min="3608" max="3608" width="11" style="160" bestFit="1" customWidth="1"/>
    <col min="3609" max="3841" width="9" style="160"/>
    <col min="3842" max="3842" width="4.625" style="160" bestFit="1" customWidth="1"/>
    <col min="3843" max="3843" width="7.5" style="160" bestFit="1" customWidth="1"/>
    <col min="3844" max="3844" width="6.25" style="160" customWidth="1"/>
    <col min="3845" max="3845" width="11" style="160" bestFit="1" customWidth="1"/>
    <col min="3846" max="3847" width="9.625" style="160" bestFit="1" customWidth="1"/>
    <col min="3848" max="3848" width="8.25" style="160" bestFit="1" customWidth="1"/>
    <col min="3849" max="3850" width="9.625" style="160" bestFit="1" customWidth="1"/>
    <col min="3851" max="3851" width="8.25" style="160" bestFit="1" customWidth="1"/>
    <col min="3852" max="3853" width="9.625" style="160" bestFit="1" customWidth="1"/>
    <col min="3854" max="3855" width="8.25" style="160" bestFit="1" customWidth="1"/>
    <col min="3856" max="3856" width="11" style="160" bestFit="1" customWidth="1"/>
    <col min="3857" max="3857" width="8" style="160" bestFit="1" customWidth="1"/>
    <col min="3858" max="3858" width="7.75" style="160" bestFit="1" customWidth="1"/>
    <col min="3859" max="3860" width="9.625" style="160" bestFit="1" customWidth="1"/>
    <col min="3861" max="3862" width="9.625" style="160" customWidth="1"/>
    <col min="3863" max="3863" width="9.25" style="160" bestFit="1" customWidth="1"/>
    <col min="3864" max="3864" width="11" style="160" bestFit="1" customWidth="1"/>
    <col min="3865" max="4097" width="9" style="160"/>
    <col min="4098" max="4098" width="4.625" style="160" bestFit="1" customWidth="1"/>
    <col min="4099" max="4099" width="7.5" style="160" bestFit="1" customWidth="1"/>
    <col min="4100" max="4100" width="6.25" style="160" customWidth="1"/>
    <col min="4101" max="4101" width="11" style="160" bestFit="1" customWidth="1"/>
    <col min="4102" max="4103" width="9.625" style="160" bestFit="1" customWidth="1"/>
    <col min="4104" max="4104" width="8.25" style="160" bestFit="1" customWidth="1"/>
    <col min="4105" max="4106" width="9.625" style="160" bestFit="1" customWidth="1"/>
    <col min="4107" max="4107" width="8.25" style="160" bestFit="1" customWidth="1"/>
    <col min="4108" max="4109" width="9.625" style="160" bestFit="1" customWidth="1"/>
    <col min="4110" max="4111" width="8.25" style="160" bestFit="1" customWidth="1"/>
    <col min="4112" max="4112" width="11" style="160" bestFit="1" customWidth="1"/>
    <col min="4113" max="4113" width="8" style="160" bestFit="1" customWidth="1"/>
    <col min="4114" max="4114" width="7.75" style="160" bestFit="1" customWidth="1"/>
    <col min="4115" max="4116" width="9.625" style="160" bestFit="1" customWidth="1"/>
    <col min="4117" max="4118" width="9.625" style="160" customWidth="1"/>
    <col min="4119" max="4119" width="9.25" style="160" bestFit="1" customWidth="1"/>
    <col min="4120" max="4120" width="11" style="160" bestFit="1" customWidth="1"/>
    <col min="4121" max="4353" width="9" style="160"/>
    <col min="4354" max="4354" width="4.625" style="160" bestFit="1" customWidth="1"/>
    <col min="4355" max="4355" width="7.5" style="160" bestFit="1" customWidth="1"/>
    <col min="4356" max="4356" width="6.25" style="160" customWidth="1"/>
    <col min="4357" max="4357" width="11" style="160" bestFit="1" customWidth="1"/>
    <col min="4358" max="4359" width="9.625" style="160" bestFit="1" customWidth="1"/>
    <col min="4360" max="4360" width="8.25" style="160" bestFit="1" customWidth="1"/>
    <col min="4361" max="4362" width="9.625" style="160" bestFit="1" customWidth="1"/>
    <col min="4363" max="4363" width="8.25" style="160" bestFit="1" customWidth="1"/>
    <col min="4364" max="4365" width="9.625" style="160" bestFit="1" customWidth="1"/>
    <col min="4366" max="4367" width="8.25" style="160" bestFit="1" customWidth="1"/>
    <col min="4368" max="4368" width="11" style="160" bestFit="1" customWidth="1"/>
    <col min="4369" max="4369" width="8" style="160" bestFit="1" customWidth="1"/>
    <col min="4370" max="4370" width="7.75" style="160" bestFit="1" customWidth="1"/>
    <col min="4371" max="4372" width="9.625" style="160" bestFit="1" customWidth="1"/>
    <col min="4373" max="4374" width="9.625" style="160" customWidth="1"/>
    <col min="4375" max="4375" width="9.25" style="160" bestFit="1" customWidth="1"/>
    <col min="4376" max="4376" width="11" style="160" bestFit="1" customWidth="1"/>
    <col min="4377" max="4609" width="9" style="160"/>
    <col min="4610" max="4610" width="4.625" style="160" bestFit="1" customWidth="1"/>
    <col min="4611" max="4611" width="7.5" style="160" bestFit="1" customWidth="1"/>
    <col min="4612" max="4612" width="6.25" style="160" customWidth="1"/>
    <col min="4613" max="4613" width="11" style="160" bestFit="1" customWidth="1"/>
    <col min="4614" max="4615" width="9.625" style="160" bestFit="1" customWidth="1"/>
    <col min="4616" max="4616" width="8.25" style="160" bestFit="1" customWidth="1"/>
    <col min="4617" max="4618" width="9.625" style="160" bestFit="1" customWidth="1"/>
    <col min="4619" max="4619" width="8.25" style="160" bestFit="1" customWidth="1"/>
    <col min="4620" max="4621" width="9.625" style="160" bestFit="1" customWidth="1"/>
    <col min="4622" max="4623" width="8.25" style="160" bestFit="1" customWidth="1"/>
    <col min="4624" max="4624" width="11" style="160" bestFit="1" customWidth="1"/>
    <col min="4625" max="4625" width="8" style="160" bestFit="1" customWidth="1"/>
    <col min="4626" max="4626" width="7.75" style="160" bestFit="1" customWidth="1"/>
    <col min="4627" max="4628" width="9.625" style="160" bestFit="1" customWidth="1"/>
    <col min="4629" max="4630" width="9.625" style="160" customWidth="1"/>
    <col min="4631" max="4631" width="9.25" style="160" bestFit="1" customWidth="1"/>
    <col min="4632" max="4632" width="11" style="160" bestFit="1" customWidth="1"/>
    <col min="4633" max="4865" width="9" style="160"/>
    <col min="4866" max="4866" width="4.625" style="160" bestFit="1" customWidth="1"/>
    <col min="4867" max="4867" width="7.5" style="160" bestFit="1" customWidth="1"/>
    <col min="4868" max="4868" width="6.25" style="160" customWidth="1"/>
    <col min="4869" max="4869" width="11" style="160" bestFit="1" customWidth="1"/>
    <col min="4870" max="4871" width="9.625" style="160" bestFit="1" customWidth="1"/>
    <col min="4872" max="4872" width="8.25" style="160" bestFit="1" customWidth="1"/>
    <col min="4873" max="4874" width="9.625" style="160" bestFit="1" customWidth="1"/>
    <col min="4875" max="4875" width="8.25" style="160" bestFit="1" customWidth="1"/>
    <col min="4876" max="4877" width="9.625" style="160" bestFit="1" customWidth="1"/>
    <col min="4878" max="4879" width="8.25" style="160" bestFit="1" customWidth="1"/>
    <col min="4880" max="4880" width="11" style="160" bestFit="1" customWidth="1"/>
    <col min="4881" max="4881" width="8" style="160" bestFit="1" customWidth="1"/>
    <col min="4882" max="4882" width="7.75" style="160" bestFit="1" customWidth="1"/>
    <col min="4883" max="4884" width="9.625" style="160" bestFit="1" customWidth="1"/>
    <col min="4885" max="4886" width="9.625" style="160" customWidth="1"/>
    <col min="4887" max="4887" width="9.25" style="160" bestFit="1" customWidth="1"/>
    <col min="4888" max="4888" width="11" style="160" bestFit="1" customWidth="1"/>
    <col min="4889" max="5121" width="9" style="160"/>
    <col min="5122" max="5122" width="4.625" style="160" bestFit="1" customWidth="1"/>
    <col min="5123" max="5123" width="7.5" style="160" bestFit="1" customWidth="1"/>
    <col min="5124" max="5124" width="6.25" style="160" customWidth="1"/>
    <col min="5125" max="5125" width="11" style="160" bestFit="1" customWidth="1"/>
    <col min="5126" max="5127" width="9.625" style="160" bestFit="1" customWidth="1"/>
    <col min="5128" max="5128" width="8.25" style="160" bestFit="1" customWidth="1"/>
    <col min="5129" max="5130" width="9.625" style="160" bestFit="1" customWidth="1"/>
    <col min="5131" max="5131" width="8.25" style="160" bestFit="1" customWidth="1"/>
    <col min="5132" max="5133" width="9.625" style="160" bestFit="1" customWidth="1"/>
    <col min="5134" max="5135" width="8.25" style="160" bestFit="1" customWidth="1"/>
    <col min="5136" max="5136" width="11" style="160" bestFit="1" customWidth="1"/>
    <col min="5137" max="5137" width="8" style="160" bestFit="1" customWidth="1"/>
    <col min="5138" max="5138" width="7.75" style="160" bestFit="1" customWidth="1"/>
    <col min="5139" max="5140" width="9.625" style="160" bestFit="1" customWidth="1"/>
    <col min="5141" max="5142" width="9.625" style="160" customWidth="1"/>
    <col min="5143" max="5143" width="9.25" style="160" bestFit="1" customWidth="1"/>
    <col min="5144" max="5144" width="11" style="160" bestFit="1" customWidth="1"/>
    <col min="5145" max="5377" width="9" style="160"/>
    <col min="5378" max="5378" width="4.625" style="160" bestFit="1" customWidth="1"/>
    <col min="5379" max="5379" width="7.5" style="160" bestFit="1" customWidth="1"/>
    <col min="5380" max="5380" width="6.25" style="160" customWidth="1"/>
    <col min="5381" max="5381" width="11" style="160" bestFit="1" customWidth="1"/>
    <col min="5382" max="5383" width="9.625" style="160" bestFit="1" customWidth="1"/>
    <col min="5384" max="5384" width="8.25" style="160" bestFit="1" customWidth="1"/>
    <col min="5385" max="5386" width="9.625" style="160" bestFit="1" customWidth="1"/>
    <col min="5387" max="5387" width="8.25" style="160" bestFit="1" customWidth="1"/>
    <col min="5388" max="5389" width="9.625" style="160" bestFit="1" customWidth="1"/>
    <col min="5390" max="5391" width="8.25" style="160" bestFit="1" customWidth="1"/>
    <col min="5392" max="5392" width="11" style="160" bestFit="1" customWidth="1"/>
    <col min="5393" max="5393" width="8" style="160" bestFit="1" customWidth="1"/>
    <col min="5394" max="5394" width="7.75" style="160" bestFit="1" customWidth="1"/>
    <col min="5395" max="5396" width="9.625" style="160" bestFit="1" customWidth="1"/>
    <col min="5397" max="5398" width="9.625" style="160" customWidth="1"/>
    <col min="5399" max="5399" width="9.25" style="160" bestFit="1" customWidth="1"/>
    <col min="5400" max="5400" width="11" style="160" bestFit="1" customWidth="1"/>
    <col min="5401" max="5633" width="9" style="160"/>
    <col min="5634" max="5634" width="4.625" style="160" bestFit="1" customWidth="1"/>
    <col min="5635" max="5635" width="7.5" style="160" bestFit="1" customWidth="1"/>
    <col min="5636" max="5636" width="6.25" style="160" customWidth="1"/>
    <col min="5637" max="5637" width="11" style="160" bestFit="1" customWidth="1"/>
    <col min="5638" max="5639" width="9.625" style="160" bestFit="1" customWidth="1"/>
    <col min="5640" max="5640" width="8.25" style="160" bestFit="1" customWidth="1"/>
    <col min="5641" max="5642" width="9.625" style="160" bestFit="1" customWidth="1"/>
    <col min="5643" max="5643" width="8.25" style="160" bestFit="1" customWidth="1"/>
    <col min="5644" max="5645" width="9.625" style="160" bestFit="1" customWidth="1"/>
    <col min="5646" max="5647" width="8.25" style="160" bestFit="1" customWidth="1"/>
    <col min="5648" max="5648" width="11" style="160" bestFit="1" customWidth="1"/>
    <col min="5649" max="5649" width="8" style="160" bestFit="1" customWidth="1"/>
    <col min="5650" max="5650" width="7.75" style="160" bestFit="1" customWidth="1"/>
    <col min="5651" max="5652" width="9.625" style="160" bestFit="1" customWidth="1"/>
    <col min="5653" max="5654" width="9.625" style="160" customWidth="1"/>
    <col min="5655" max="5655" width="9.25" style="160" bestFit="1" customWidth="1"/>
    <col min="5656" max="5656" width="11" style="160" bestFit="1" customWidth="1"/>
    <col min="5657" max="5889" width="9" style="160"/>
    <col min="5890" max="5890" width="4.625" style="160" bestFit="1" customWidth="1"/>
    <col min="5891" max="5891" width="7.5" style="160" bestFit="1" customWidth="1"/>
    <col min="5892" max="5892" width="6.25" style="160" customWidth="1"/>
    <col min="5893" max="5893" width="11" style="160" bestFit="1" customWidth="1"/>
    <col min="5894" max="5895" width="9.625" style="160" bestFit="1" customWidth="1"/>
    <col min="5896" max="5896" width="8.25" style="160" bestFit="1" customWidth="1"/>
    <col min="5897" max="5898" width="9.625" style="160" bestFit="1" customWidth="1"/>
    <col min="5899" max="5899" width="8.25" style="160" bestFit="1" customWidth="1"/>
    <col min="5900" max="5901" width="9.625" style="160" bestFit="1" customWidth="1"/>
    <col min="5902" max="5903" width="8.25" style="160" bestFit="1" customWidth="1"/>
    <col min="5904" max="5904" width="11" style="160" bestFit="1" customWidth="1"/>
    <col min="5905" max="5905" width="8" style="160" bestFit="1" customWidth="1"/>
    <col min="5906" max="5906" width="7.75" style="160" bestFit="1" customWidth="1"/>
    <col min="5907" max="5908" width="9.625" style="160" bestFit="1" customWidth="1"/>
    <col min="5909" max="5910" width="9.625" style="160" customWidth="1"/>
    <col min="5911" max="5911" width="9.25" style="160" bestFit="1" customWidth="1"/>
    <col min="5912" max="5912" width="11" style="160" bestFit="1" customWidth="1"/>
    <col min="5913" max="6145" width="9" style="160"/>
    <col min="6146" max="6146" width="4.625" style="160" bestFit="1" customWidth="1"/>
    <col min="6147" max="6147" width="7.5" style="160" bestFit="1" customWidth="1"/>
    <col min="6148" max="6148" width="6.25" style="160" customWidth="1"/>
    <col min="6149" max="6149" width="11" style="160" bestFit="1" customWidth="1"/>
    <col min="6150" max="6151" width="9.625" style="160" bestFit="1" customWidth="1"/>
    <col min="6152" max="6152" width="8.25" style="160" bestFit="1" customWidth="1"/>
    <col min="6153" max="6154" width="9.625" style="160" bestFit="1" customWidth="1"/>
    <col min="6155" max="6155" width="8.25" style="160" bestFit="1" customWidth="1"/>
    <col min="6156" max="6157" width="9.625" style="160" bestFit="1" customWidth="1"/>
    <col min="6158" max="6159" width="8.25" style="160" bestFit="1" customWidth="1"/>
    <col min="6160" max="6160" width="11" style="160" bestFit="1" customWidth="1"/>
    <col min="6161" max="6161" width="8" style="160" bestFit="1" customWidth="1"/>
    <col min="6162" max="6162" width="7.75" style="160" bestFit="1" customWidth="1"/>
    <col min="6163" max="6164" width="9.625" style="160" bestFit="1" customWidth="1"/>
    <col min="6165" max="6166" width="9.625" style="160" customWidth="1"/>
    <col min="6167" max="6167" width="9.25" style="160" bestFit="1" customWidth="1"/>
    <col min="6168" max="6168" width="11" style="160" bestFit="1" customWidth="1"/>
    <col min="6169" max="6401" width="9" style="160"/>
    <col min="6402" max="6402" width="4.625" style="160" bestFit="1" customWidth="1"/>
    <col min="6403" max="6403" width="7.5" style="160" bestFit="1" customWidth="1"/>
    <col min="6404" max="6404" width="6.25" style="160" customWidth="1"/>
    <col min="6405" max="6405" width="11" style="160" bestFit="1" customWidth="1"/>
    <col min="6406" max="6407" width="9.625" style="160" bestFit="1" customWidth="1"/>
    <col min="6408" max="6408" width="8.25" style="160" bestFit="1" customWidth="1"/>
    <col min="6409" max="6410" width="9.625" style="160" bestFit="1" customWidth="1"/>
    <col min="6411" max="6411" width="8.25" style="160" bestFit="1" customWidth="1"/>
    <col min="6412" max="6413" width="9.625" style="160" bestFit="1" customWidth="1"/>
    <col min="6414" max="6415" width="8.25" style="160" bestFit="1" customWidth="1"/>
    <col min="6416" max="6416" width="11" style="160" bestFit="1" customWidth="1"/>
    <col min="6417" max="6417" width="8" style="160" bestFit="1" customWidth="1"/>
    <col min="6418" max="6418" width="7.75" style="160" bestFit="1" customWidth="1"/>
    <col min="6419" max="6420" width="9.625" style="160" bestFit="1" customWidth="1"/>
    <col min="6421" max="6422" width="9.625" style="160" customWidth="1"/>
    <col min="6423" max="6423" width="9.25" style="160" bestFit="1" customWidth="1"/>
    <col min="6424" max="6424" width="11" style="160" bestFit="1" customWidth="1"/>
    <col min="6425" max="6657" width="9" style="160"/>
    <col min="6658" max="6658" width="4.625" style="160" bestFit="1" customWidth="1"/>
    <col min="6659" max="6659" width="7.5" style="160" bestFit="1" customWidth="1"/>
    <col min="6660" max="6660" width="6.25" style="160" customWidth="1"/>
    <col min="6661" max="6661" width="11" style="160" bestFit="1" customWidth="1"/>
    <col min="6662" max="6663" width="9.625" style="160" bestFit="1" customWidth="1"/>
    <col min="6664" max="6664" width="8.25" style="160" bestFit="1" customWidth="1"/>
    <col min="6665" max="6666" width="9.625" style="160" bestFit="1" customWidth="1"/>
    <col min="6667" max="6667" width="8.25" style="160" bestFit="1" customWidth="1"/>
    <col min="6668" max="6669" width="9.625" style="160" bestFit="1" customWidth="1"/>
    <col min="6670" max="6671" width="8.25" style="160" bestFit="1" customWidth="1"/>
    <col min="6672" max="6672" width="11" style="160" bestFit="1" customWidth="1"/>
    <col min="6673" max="6673" width="8" style="160" bestFit="1" customWidth="1"/>
    <col min="6674" max="6674" width="7.75" style="160" bestFit="1" customWidth="1"/>
    <col min="6675" max="6676" width="9.625" style="160" bestFit="1" customWidth="1"/>
    <col min="6677" max="6678" width="9.625" style="160" customWidth="1"/>
    <col min="6679" max="6679" width="9.25" style="160" bestFit="1" customWidth="1"/>
    <col min="6680" max="6680" width="11" style="160" bestFit="1" customWidth="1"/>
    <col min="6681" max="6913" width="9" style="160"/>
    <col min="6914" max="6914" width="4.625" style="160" bestFit="1" customWidth="1"/>
    <col min="6915" max="6915" width="7.5" style="160" bestFit="1" customWidth="1"/>
    <col min="6916" max="6916" width="6.25" style="160" customWidth="1"/>
    <col min="6917" max="6917" width="11" style="160" bestFit="1" customWidth="1"/>
    <col min="6918" max="6919" width="9.625" style="160" bestFit="1" customWidth="1"/>
    <col min="6920" max="6920" width="8.25" style="160" bestFit="1" customWidth="1"/>
    <col min="6921" max="6922" width="9.625" style="160" bestFit="1" customWidth="1"/>
    <col min="6923" max="6923" width="8.25" style="160" bestFit="1" customWidth="1"/>
    <col min="6924" max="6925" width="9.625" style="160" bestFit="1" customWidth="1"/>
    <col min="6926" max="6927" width="8.25" style="160" bestFit="1" customWidth="1"/>
    <col min="6928" max="6928" width="11" style="160" bestFit="1" customWidth="1"/>
    <col min="6929" max="6929" width="8" style="160" bestFit="1" customWidth="1"/>
    <col min="6930" max="6930" width="7.75" style="160" bestFit="1" customWidth="1"/>
    <col min="6931" max="6932" width="9.625" style="160" bestFit="1" customWidth="1"/>
    <col min="6933" max="6934" width="9.625" style="160" customWidth="1"/>
    <col min="6935" max="6935" width="9.25" style="160" bestFit="1" customWidth="1"/>
    <col min="6936" max="6936" width="11" style="160" bestFit="1" customWidth="1"/>
    <col min="6937" max="7169" width="9" style="160"/>
    <col min="7170" max="7170" width="4.625" style="160" bestFit="1" customWidth="1"/>
    <col min="7171" max="7171" width="7.5" style="160" bestFit="1" customWidth="1"/>
    <col min="7172" max="7172" width="6.25" style="160" customWidth="1"/>
    <col min="7173" max="7173" width="11" style="160" bestFit="1" customWidth="1"/>
    <col min="7174" max="7175" width="9.625" style="160" bestFit="1" customWidth="1"/>
    <col min="7176" max="7176" width="8.25" style="160" bestFit="1" customWidth="1"/>
    <col min="7177" max="7178" width="9.625" style="160" bestFit="1" customWidth="1"/>
    <col min="7179" max="7179" width="8.25" style="160" bestFit="1" customWidth="1"/>
    <col min="7180" max="7181" width="9.625" style="160" bestFit="1" customWidth="1"/>
    <col min="7182" max="7183" width="8.25" style="160" bestFit="1" customWidth="1"/>
    <col min="7184" max="7184" width="11" style="160" bestFit="1" customWidth="1"/>
    <col min="7185" max="7185" width="8" style="160" bestFit="1" customWidth="1"/>
    <col min="7186" max="7186" width="7.75" style="160" bestFit="1" customWidth="1"/>
    <col min="7187" max="7188" width="9.625" style="160" bestFit="1" customWidth="1"/>
    <col min="7189" max="7190" width="9.625" style="160" customWidth="1"/>
    <col min="7191" max="7191" width="9.25" style="160" bestFit="1" customWidth="1"/>
    <col min="7192" max="7192" width="11" style="160" bestFit="1" customWidth="1"/>
    <col min="7193" max="7425" width="9" style="160"/>
    <col min="7426" max="7426" width="4.625" style="160" bestFit="1" customWidth="1"/>
    <col min="7427" max="7427" width="7.5" style="160" bestFit="1" customWidth="1"/>
    <col min="7428" max="7428" width="6.25" style="160" customWidth="1"/>
    <col min="7429" max="7429" width="11" style="160" bestFit="1" customWidth="1"/>
    <col min="7430" max="7431" width="9.625" style="160" bestFit="1" customWidth="1"/>
    <col min="7432" max="7432" width="8.25" style="160" bestFit="1" customWidth="1"/>
    <col min="7433" max="7434" width="9.625" style="160" bestFit="1" customWidth="1"/>
    <col min="7435" max="7435" width="8.25" style="160" bestFit="1" customWidth="1"/>
    <col min="7436" max="7437" width="9.625" style="160" bestFit="1" customWidth="1"/>
    <col min="7438" max="7439" width="8.25" style="160" bestFit="1" customWidth="1"/>
    <col min="7440" max="7440" width="11" style="160" bestFit="1" customWidth="1"/>
    <col min="7441" max="7441" width="8" style="160" bestFit="1" customWidth="1"/>
    <col min="7442" max="7442" width="7.75" style="160" bestFit="1" customWidth="1"/>
    <col min="7443" max="7444" width="9.625" style="160" bestFit="1" customWidth="1"/>
    <col min="7445" max="7446" width="9.625" style="160" customWidth="1"/>
    <col min="7447" max="7447" width="9.25" style="160" bestFit="1" customWidth="1"/>
    <col min="7448" max="7448" width="11" style="160" bestFit="1" customWidth="1"/>
    <col min="7449" max="7681" width="9" style="160"/>
    <col min="7682" max="7682" width="4.625" style="160" bestFit="1" customWidth="1"/>
    <col min="7683" max="7683" width="7.5" style="160" bestFit="1" customWidth="1"/>
    <col min="7684" max="7684" width="6.25" style="160" customWidth="1"/>
    <col min="7685" max="7685" width="11" style="160" bestFit="1" customWidth="1"/>
    <col min="7686" max="7687" width="9.625" style="160" bestFit="1" customWidth="1"/>
    <col min="7688" max="7688" width="8.25" style="160" bestFit="1" customWidth="1"/>
    <col min="7689" max="7690" width="9.625" style="160" bestFit="1" customWidth="1"/>
    <col min="7691" max="7691" width="8.25" style="160" bestFit="1" customWidth="1"/>
    <col min="7692" max="7693" width="9.625" style="160" bestFit="1" customWidth="1"/>
    <col min="7694" max="7695" width="8.25" style="160" bestFit="1" customWidth="1"/>
    <col min="7696" max="7696" width="11" style="160" bestFit="1" customWidth="1"/>
    <col min="7697" max="7697" width="8" style="160" bestFit="1" customWidth="1"/>
    <col min="7698" max="7698" width="7.75" style="160" bestFit="1" customWidth="1"/>
    <col min="7699" max="7700" width="9.625" style="160" bestFit="1" customWidth="1"/>
    <col min="7701" max="7702" width="9.625" style="160" customWidth="1"/>
    <col min="7703" max="7703" width="9.25" style="160" bestFit="1" customWidth="1"/>
    <col min="7704" max="7704" width="11" style="160" bestFit="1" customWidth="1"/>
    <col min="7705" max="7937" width="9" style="160"/>
    <col min="7938" max="7938" width="4.625" style="160" bestFit="1" customWidth="1"/>
    <col min="7939" max="7939" width="7.5" style="160" bestFit="1" customWidth="1"/>
    <col min="7940" max="7940" width="6.25" style="160" customWidth="1"/>
    <col min="7941" max="7941" width="11" style="160" bestFit="1" customWidth="1"/>
    <col min="7942" max="7943" width="9.625" style="160" bestFit="1" customWidth="1"/>
    <col min="7944" max="7944" width="8.25" style="160" bestFit="1" customWidth="1"/>
    <col min="7945" max="7946" width="9.625" style="160" bestFit="1" customWidth="1"/>
    <col min="7947" max="7947" width="8.25" style="160" bestFit="1" customWidth="1"/>
    <col min="7948" max="7949" width="9.625" style="160" bestFit="1" customWidth="1"/>
    <col min="7950" max="7951" width="8.25" style="160" bestFit="1" customWidth="1"/>
    <col min="7952" max="7952" width="11" style="160" bestFit="1" customWidth="1"/>
    <col min="7953" max="7953" width="8" style="160" bestFit="1" customWidth="1"/>
    <col min="7954" max="7954" width="7.75" style="160" bestFit="1" customWidth="1"/>
    <col min="7955" max="7956" width="9.625" style="160" bestFit="1" customWidth="1"/>
    <col min="7957" max="7958" width="9.625" style="160" customWidth="1"/>
    <col min="7959" max="7959" width="9.25" style="160" bestFit="1" customWidth="1"/>
    <col min="7960" max="7960" width="11" style="160" bestFit="1" customWidth="1"/>
    <col min="7961" max="8193" width="9" style="160"/>
    <col min="8194" max="8194" width="4.625" style="160" bestFit="1" customWidth="1"/>
    <col min="8195" max="8195" width="7.5" style="160" bestFit="1" customWidth="1"/>
    <col min="8196" max="8196" width="6.25" style="160" customWidth="1"/>
    <col min="8197" max="8197" width="11" style="160" bestFit="1" customWidth="1"/>
    <col min="8198" max="8199" width="9.625" style="160" bestFit="1" customWidth="1"/>
    <col min="8200" max="8200" width="8.25" style="160" bestFit="1" customWidth="1"/>
    <col min="8201" max="8202" width="9.625" style="160" bestFit="1" customWidth="1"/>
    <col min="8203" max="8203" width="8.25" style="160" bestFit="1" customWidth="1"/>
    <col min="8204" max="8205" width="9.625" style="160" bestFit="1" customWidth="1"/>
    <col min="8206" max="8207" width="8.25" style="160" bestFit="1" customWidth="1"/>
    <col min="8208" max="8208" width="11" style="160" bestFit="1" customWidth="1"/>
    <col min="8209" max="8209" width="8" style="160" bestFit="1" customWidth="1"/>
    <col min="8210" max="8210" width="7.75" style="160" bestFit="1" customWidth="1"/>
    <col min="8211" max="8212" width="9.625" style="160" bestFit="1" customWidth="1"/>
    <col min="8213" max="8214" width="9.625" style="160" customWidth="1"/>
    <col min="8215" max="8215" width="9.25" style="160" bestFit="1" customWidth="1"/>
    <col min="8216" max="8216" width="11" style="160" bestFit="1" customWidth="1"/>
    <col min="8217" max="8449" width="9" style="160"/>
    <col min="8450" max="8450" width="4.625" style="160" bestFit="1" customWidth="1"/>
    <col min="8451" max="8451" width="7.5" style="160" bestFit="1" customWidth="1"/>
    <col min="8452" max="8452" width="6.25" style="160" customWidth="1"/>
    <col min="8453" max="8453" width="11" style="160" bestFit="1" customWidth="1"/>
    <col min="8454" max="8455" width="9.625" style="160" bestFit="1" customWidth="1"/>
    <col min="8456" max="8456" width="8.25" style="160" bestFit="1" customWidth="1"/>
    <col min="8457" max="8458" width="9.625" style="160" bestFit="1" customWidth="1"/>
    <col min="8459" max="8459" width="8.25" style="160" bestFit="1" customWidth="1"/>
    <col min="8460" max="8461" width="9.625" style="160" bestFit="1" customWidth="1"/>
    <col min="8462" max="8463" width="8.25" style="160" bestFit="1" customWidth="1"/>
    <col min="8464" max="8464" width="11" style="160" bestFit="1" customWidth="1"/>
    <col min="8465" max="8465" width="8" style="160" bestFit="1" customWidth="1"/>
    <col min="8466" max="8466" width="7.75" style="160" bestFit="1" customWidth="1"/>
    <col min="8467" max="8468" width="9.625" style="160" bestFit="1" customWidth="1"/>
    <col min="8469" max="8470" width="9.625" style="160" customWidth="1"/>
    <col min="8471" max="8471" width="9.25" style="160" bestFit="1" customWidth="1"/>
    <col min="8472" max="8472" width="11" style="160" bestFit="1" customWidth="1"/>
    <col min="8473" max="8705" width="9" style="160"/>
    <col min="8706" max="8706" width="4.625" style="160" bestFit="1" customWidth="1"/>
    <col min="8707" max="8707" width="7.5" style="160" bestFit="1" customWidth="1"/>
    <col min="8708" max="8708" width="6.25" style="160" customWidth="1"/>
    <col min="8709" max="8709" width="11" style="160" bestFit="1" customWidth="1"/>
    <col min="8710" max="8711" width="9.625" style="160" bestFit="1" customWidth="1"/>
    <col min="8712" max="8712" width="8.25" style="160" bestFit="1" customWidth="1"/>
    <col min="8713" max="8714" width="9.625" style="160" bestFit="1" customWidth="1"/>
    <col min="8715" max="8715" width="8.25" style="160" bestFit="1" customWidth="1"/>
    <col min="8716" max="8717" width="9.625" style="160" bestFit="1" customWidth="1"/>
    <col min="8718" max="8719" width="8.25" style="160" bestFit="1" customWidth="1"/>
    <col min="8720" max="8720" width="11" style="160" bestFit="1" customWidth="1"/>
    <col min="8721" max="8721" width="8" style="160" bestFit="1" customWidth="1"/>
    <col min="8722" max="8722" width="7.75" style="160" bestFit="1" customWidth="1"/>
    <col min="8723" max="8724" width="9.625" style="160" bestFit="1" customWidth="1"/>
    <col min="8725" max="8726" width="9.625" style="160" customWidth="1"/>
    <col min="8727" max="8727" width="9.25" style="160" bestFit="1" customWidth="1"/>
    <col min="8728" max="8728" width="11" style="160" bestFit="1" customWidth="1"/>
    <col min="8729" max="8961" width="9" style="160"/>
    <col min="8962" max="8962" width="4.625" style="160" bestFit="1" customWidth="1"/>
    <col min="8963" max="8963" width="7.5" style="160" bestFit="1" customWidth="1"/>
    <col min="8964" max="8964" width="6.25" style="160" customWidth="1"/>
    <col min="8965" max="8965" width="11" style="160" bestFit="1" customWidth="1"/>
    <col min="8966" max="8967" width="9.625" style="160" bestFit="1" customWidth="1"/>
    <col min="8968" max="8968" width="8.25" style="160" bestFit="1" customWidth="1"/>
    <col min="8969" max="8970" width="9.625" style="160" bestFit="1" customWidth="1"/>
    <col min="8971" max="8971" width="8.25" style="160" bestFit="1" customWidth="1"/>
    <col min="8972" max="8973" width="9.625" style="160" bestFit="1" customWidth="1"/>
    <col min="8974" max="8975" width="8.25" style="160" bestFit="1" customWidth="1"/>
    <col min="8976" max="8976" width="11" style="160" bestFit="1" customWidth="1"/>
    <col min="8977" max="8977" width="8" style="160" bestFit="1" customWidth="1"/>
    <col min="8978" max="8978" width="7.75" style="160" bestFit="1" customWidth="1"/>
    <col min="8979" max="8980" width="9.625" style="160" bestFit="1" customWidth="1"/>
    <col min="8981" max="8982" width="9.625" style="160" customWidth="1"/>
    <col min="8983" max="8983" width="9.25" style="160" bestFit="1" customWidth="1"/>
    <col min="8984" max="8984" width="11" style="160" bestFit="1" customWidth="1"/>
    <col min="8985" max="9217" width="9" style="160"/>
    <col min="9218" max="9218" width="4.625" style="160" bestFit="1" customWidth="1"/>
    <col min="9219" max="9219" width="7.5" style="160" bestFit="1" customWidth="1"/>
    <col min="9220" max="9220" width="6.25" style="160" customWidth="1"/>
    <col min="9221" max="9221" width="11" style="160" bestFit="1" customWidth="1"/>
    <col min="9222" max="9223" width="9.625" style="160" bestFit="1" customWidth="1"/>
    <col min="9224" max="9224" width="8.25" style="160" bestFit="1" customWidth="1"/>
    <col min="9225" max="9226" width="9.625" style="160" bestFit="1" customWidth="1"/>
    <col min="9227" max="9227" width="8.25" style="160" bestFit="1" customWidth="1"/>
    <col min="9228" max="9229" width="9.625" style="160" bestFit="1" customWidth="1"/>
    <col min="9230" max="9231" width="8.25" style="160" bestFit="1" customWidth="1"/>
    <col min="9232" max="9232" width="11" style="160" bestFit="1" customWidth="1"/>
    <col min="9233" max="9233" width="8" style="160" bestFit="1" customWidth="1"/>
    <col min="9234" max="9234" width="7.75" style="160" bestFit="1" customWidth="1"/>
    <col min="9235" max="9236" width="9.625" style="160" bestFit="1" customWidth="1"/>
    <col min="9237" max="9238" width="9.625" style="160" customWidth="1"/>
    <col min="9239" max="9239" width="9.25" style="160" bestFit="1" customWidth="1"/>
    <col min="9240" max="9240" width="11" style="160" bestFit="1" customWidth="1"/>
    <col min="9241" max="9473" width="9" style="160"/>
    <col min="9474" max="9474" width="4.625" style="160" bestFit="1" customWidth="1"/>
    <col min="9475" max="9475" width="7.5" style="160" bestFit="1" customWidth="1"/>
    <col min="9476" max="9476" width="6.25" style="160" customWidth="1"/>
    <col min="9477" max="9477" width="11" style="160" bestFit="1" customWidth="1"/>
    <col min="9478" max="9479" width="9.625" style="160" bestFit="1" customWidth="1"/>
    <col min="9480" max="9480" width="8.25" style="160" bestFit="1" customWidth="1"/>
    <col min="9481" max="9482" width="9.625" style="160" bestFit="1" customWidth="1"/>
    <col min="9483" max="9483" width="8.25" style="160" bestFit="1" customWidth="1"/>
    <col min="9484" max="9485" width="9.625" style="160" bestFit="1" customWidth="1"/>
    <col min="9486" max="9487" width="8.25" style="160" bestFit="1" customWidth="1"/>
    <col min="9488" max="9488" width="11" style="160" bestFit="1" customWidth="1"/>
    <col min="9489" max="9489" width="8" style="160" bestFit="1" customWidth="1"/>
    <col min="9490" max="9490" width="7.75" style="160" bestFit="1" customWidth="1"/>
    <col min="9491" max="9492" width="9.625" style="160" bestFit="1" customWidth="1"/>
    <col min="9493" max="9494" width="9.625" style="160" customWidth="1"/>
    <col min="9495" max="9495" width="9.25" style="160" bestFit="1" customWidth="1"/>
    <col min="9496" max="9496" width="11" style="160" bestFit="1" customWidth="1"/>
    <col min="9497" max="9729" width="9" style="160"/>
    <col min="9730" max="9730" width="4.625" style="160" bestFit="1" customWidth="1"/>
    <col min="9731" max="9731" width="7.5" style="160" bestFit="1" customWidth="1"/>
    <col min="9732" max="9732" width="6.25" style="160" customWidth="1"/>
    <col min="9733" max="9733" width="11" style="160" bestFit="1" customWidth="1"/>
    <col min="9734" max="9735" width="9.625" style="160" bestFit="1" customWidth="1"/>
    <col min="9736" max="9736" width="8.25" style="160" bestFit="1" customWidth="1"/>
    <col min="9737" max="9738" width="9.625" style="160" bestFit="1" customWidth="1"/>
    <col min="9739" max="9739" width="8.25" style="160" bestFit="1" customWidth="1"/>
    <col min="9740" max="9741" width="9.625" style="160" bestFit="1" customWidth="1"/>
    <col min="9742" max="9743" width="8.25" style="160" bestFit="1" customWidth="1"/>
    <col min="9744" max="9744" width="11" style="160" bestFit="1" customWidth="1"/>
    <col min="9745" max="9745" width="8" style="160" bestFit="1" customWidth="1"/>
    <col min="9746" max="9746" width="7.75" style="160" bestFit="1" customWidth="1"/>
    <col min="9747" max="9748" width="9.625" style="160" bestFit="1" customWidth="1"/>
    <col min="9749" max="9750" width="9.625" style="160" customWidth="1"/>
    <col min="9751" max="9751" width="9.25" style="160" bestFit="1" customWidth="1"/>
    <col min="9752" max="9752" width="11" style="160" bestFit="1" customWidth="1"/>
    <col min="9753" max="9985" width="9" style="160"/>
    <col min="9986" max="9986" width="4.625" style="160" bestFit="1" customWidth="1"/>
    <col min="9987" max="9987" width="7.5" style="160" bestFit="1" customWidth="1"/>
    <col min="9988" max="9988" width="6.25" style="160" customWidth="1"/>
    <col min="9989" max="9989" width="11" style="160" bestFit="1" customWidth="1"/>
    <col min="9990" max="9991" width="9.625" style="160" bestFit="1" customWidth="1"/>
    <col min="9992" max="9992" width="8.25" style="160" bestFit="1" customWidth="1"/>
    <col min="9993" max="9994" width="9.625" style="160" bestFit="1" customWidth="1"/>
    <col min="9995" max="9995" width="8.25" style="160" bestFit="1" customWidth="1"/>
    <col min="9996" max="9997" width="9.625" style="160" bestFit="1" customWidth="1"/>
    <col min="9998" max="9999" width="8.25" style="160" bestFit="1" customWidth="1"/>
    <col min="10000" max="10000" width="11" style="160" bestFit="1" customWidth="1"/>
    <col min="10001" max="10001" width="8" style="160" bestFit="1" customWidth="1"/>
    <col min="10002" max="10002" width="7.75" style="160" bestFit="1" customWidth="1"/>
    <col min="10003" max="10004" width="9.625" style="160" bestFit="1" customWidth="1"/>
    <col min="10005" max="10006" width="9.625" style="160" customWidth="1"/>
    <col min="10007" max="10007" width="9.25" style="160" bestFit="1" customWidth="1"/>
    <col min="10008" max="10008" width="11" style="160" bestFit="1" customWidth="1"/>
    <col min="10009" max="10241" width="9" style="160"/>
    <col min="10242" max="10242" width="4.625" style="160" bestFit="1" customWidth="1"/>
    <col min="10243" max="10243" width="7.5" style="160" bestFit="1" customWidth="1"/>
    <col min="10244" max="10244" width="6.25" style="160" customWidth="1"/>
    <col min="10245" max="10245" width="11" style="160" bestFit="1" customWidth="1"/>
    <col min="10246" max="10247" width="9.625" style="160" bestFit="1" customWidth="1"/>
    <col min="10248" max="10248" width="8.25" style="160" bestFit="1" customWidth="1"/>
    <col min="10249" max="10250" width="9.625" style="160" bestFit="1" customWidth="1"/>
    <col min="10251" max="10251" width="8.25" style="160" bestFit="1" customWidth="1"/>
    <col min="10252" max="10253" width="9.625" style="160" bestFit="1" customWidth="1"/>
    <col min="10254" max="10255" width="8.25" style="160" bestFit="1" customWidth="1"/>
    <col min="10256" max="10256" width="11" style="160" bestFit="1" customWidth="1"/>
    <col min="10257" max="10257" width="8" style="160" bestFit="1" customWidth="1"/>
    <col min="10258" max="10258" width="7.75" style="160" bestFit="1" customWidth="1"/>
    <col min="10259" max="10260" width="9.625" style="160" bestFit="1" customWidth="1"/>
    <col min="10261" max="10262" width="9.625" style="160" customWidth="1"/>
    <col min="10263" max="10263" width="9.25" style="160" bestFit="1" customWidth="1"/>
    <col min="10264" max="10264" width="11" style="160" bestFit="1" customWidth="1"/>
    <col min="10265" max="10497" width="9" style="160"/>
    <col min="10498" max="10498" width="4.625" style="160" bestFit="1" customWidth="1"/>
    <col min="10499" max="10499" width="7.5" style="160" bestFit="1" customWidth="1"/>
    <col min="10500" max="10500" width="6.25" style="160" customWidth="1"/>
    <col min="10501" max="10501" width="11" style="160" bestFit="1" customWidth="1"/>
    <col min="10502" max="10503" width="9.625" style="160" bestFit="1" customWidth="1"/>
    <col min="10504" max="10504" width="8.25" style="160" bestFit="1" customWidth="1"/>
    <col min="10505" max="10506" width="9.625" style="160" bestFit="1" customWidth="1"/>
    <col min="10507" max="10507" width="8.25" style="160" bestFit="1" customWidth="1"/>
    <col min="10508" max="10509" width="9.625" style="160" bestFit="1" customWidth="1"/>
    <col min="10510" max="10511" width="8.25" style="160" bestFit="1" customWidth="1"/>
    <col min="10512" max="10512" width="11" style="160" bestFit="1" customWidth="1"/>
    <col min="10513" max="10513" width="8" style="160" bestFit="1" customWidth="1"/>
    <col min="10514" max="10514" width="7.75" style="160" bestFit="1" customWidth="1"/>
    <col min="10515" max="10516" width="9.625" style="160" bestFit="1" customWidth="1"/>
    <col min="10517" max="10518" width="9.625" style="160" customWidth="1"/>
    <col min="10519" max="10519" width="9.25" style="160" bestFit="1" customWidth="1"/>
    <col min="10520" max="10520" width="11" style="160" bestFit="1" customWidth="1"/>
    <col min="10521" max="10753" width="9" style="160"/>
    <col min="10754" max="10754" width="4.625" style="160" bestFit="1" customWidth="1"/>
    <col min="10755" max="10755" width="7.5" style="160" bestFit="1" customWidth="1"/>
    <col min="10756" max="10756" width="6.25" style="160" customWidth="1"/>
    <col min="10757" max="10757" width="11" style="160" bestFit="1" customWidth="1"/>
    <col min="10758" max="10759" width="9.625" style="160" bestFit="1" customWidth="1"/>
    <col min="10760" max="10760" width="8.25" style="160" bestFit="1" customWidth="1"/>
    <col min="10761" max="10762" width="9.625" style="160" bestFit="1" customWidth="1"/>
    <col min="10763" max="10763" width="8.25" style="160" bestFit="1" customWidth="1"/>
    <col min="10764" max="10765" width="9.625" style="160" bestFit="1" customWidth="1"/>
    <col min="10766" max="10767" width="8.25" style="160" bestFit="1" customWidth="1"/>
    <col min="10768" max="10768" width="11" style="160" bestFit="1" customWidth="1"/>
    <col min="10769" max="10769" width="8" style="160" bestFit="1" customWidth="1"/>
    <col min="10770" max="10770" width="7.75" style="160" bestFit="1" customWidth="1"/>
    <col min="10771" max="10772" width="9.625" style="160" bestFit="1" customWidth="1"/>
    <col min="10773" max="10774" width="9.625" style="160" customWidth="1"/>
    <col min="10775" max="10775" width="9.25" style="160" bestFit="1" customWidth="1"/>
    <col min="10776" max="10776" width="11" style="160" bestFit="1" customWidth="1"/>
    <col min="10777" max="11009" width="9" style="160"/>
    <col min="11010" max="11010" width="4.625" style="160" bestFit="1" customWidth="1"/>
    <col min="11011" max="11011" width="7.5" style="160" bestFit="1" customWidth="1"/>
    <col min="11012" max="11012" width="6.25" style="160" customWidth="1"/>
    <col min="11013" max="11013" width="11" style="160" bestFit="1" customWidth="1"/>
    <col min="11014" max="11015" width="9.625" style="160" bestFit="1" customWidth="1"/>
    <col min="11016" max="11016" width="8.25" style="160" bestFit="1" customWidth="1"/>
    <col min="11017" max="11018" width="9.625" style="160" bestFit="1" customWidth="1"/>
    <col min="11019" max="11019" width="8.25" style="160" bestFit="1" customWidth="1"/>
    <col min="11020" max="11021" width="9.625" style="160" bestFit="1" customWidth="1"/>
    <col min="11022" max="11023" width="8.25" style="160" bestFit="1" customWidth="1"/>
    <col min="11024" max="11024" width="11" style="160" bestFit="1" customWidth="1"/>
    <col min="11025" max="11025" width="8" style="160" bestFit="1" customWidth="1"/>
    <col min="11026" max="11026" width="7.75" style="160" bestFit="1" customWidth="1"/>
    <col min="11027" max="11028" width="9.625" style="160" bestFit="1" customWidth="1"/>
    <col min="11029" max="11030" width="9.625" style="160" customWidth="1"/>
    <col min="11031" max="11031" width="9.25" style="160" bestFit="1" customWidth="1"/>
    <col min="11032" max="11032" width="11" style="160" bestFit="1" customWidth="1"/>
    <col min="11033" max="11265" width="9" style="160"/>
    <col min="11266" max="11266" width="4.625" style="160" bestFit="1" customWidth="1"/>
    <col min="11267" max="11267" width="7.5" style="160" bestFit="1" customWidth="1"/>
    <col min="11268" max="11268" width="6.25" style="160" customWidth="1"/>
    <col min="11269" max="11269" width="11" style="160" bestFit="1" customWidth="1"/>
    <col min="11270" max="11271" width="9.625" style="160" bestFit="1" customWidth="1"/>
    <col min="11272" max="11272" width="8.25" style="160" bestFit="1" customWidth="1"/>
    <col min="11273" max="11274" width="9.625" style="160" bestFit="1" customWidth="1"/>
    <col min="11275" max="11275" width="8.25" style="160" bestFit="1" customWidth="1"/>
    <col min="11276" max="11277" width="9.625" style="160" bestFit="1" customWidth="1"/>
    <col min="11278" max="11279" width="8.25" style="160" bestFit="1" customWidth="1"/>
    <col min="11280" max="11280" width="11" style="160" bestFit="1" customWidth="1"/>
    <col min="11281" max="11281" width="8" style="160" bestFit="1" customWidth="1"/>
    <col min="11282" max="11282" width="7.75" style="160" bestFit="1" customWidth="1"/>
    <col min="11283" max="11284" width="9.625" style="160" bestFit="1" customWidth="1"/>
    <col min="11285" max="11286" width="9.625" style="160" customWidth="1"/>
    <col min="11287" max="11287" width="9.25" style="160" bestFit="1" customWidth="1"/>
    <col min="11288" max="11288" width="11" style="160" bestFit="1" customWidth="1"/>
    <col min="11289" max="11521" width="9" style="160"/>
    <col min="11522" max="11522" width="4.625" style="160" bestFit="1" customWidth="1"/>
    <col min="11523" max="11523" width="7.5" style="160" bestFit="1" customWidth="1"/>
    <col min="11524" max="11524" width="6.25" style="160" customWidth="1"/>
    <col min="11525" max="11525" width="11" style="160" bestFit="1" customWidth="1"/>
    <col min="11526" max="11527" width="9.625" style="160" bestFit="1" customWidth="1"/>
    <col min="11528" max="11528" width="8.25" style="160" bestFit="1" customWidth="1"/>
    <col min="11529" max="11530" width="9.625" style="160" bestFit="1" customWidth="1"/>
    <col min="11531" max="11531" width="8.25" style="160" bestFit="1" customWidth="1"/>
    <col min="11532" max="11533" width="9.625" style="160" bestFit="1" customWidth="1"/>
    <col min="11534" max="11535" width="8.25" style="160" bestFit="1" customWidth="1"/>
    <col min="11536" max="11536" width="11" style="160" bestFit="1" customWidth="1"/>
    <col min="11537" max="11537" width="8" style="160" bestFit="1" customWidth="1"/>
    <col min="11538" max="11538" width="7.75" style="160" bestFit="1" customWidth="1"/>
    <col min="11539" max="11540" width="9.625" style="160" bestFit="1" customWidth="1"/>
    <col min="11541" max="11542" width="9.625" style="160" customWidth="1"/>
    <col min="11543" max="11543" width="9.25" style="160" bestFit="1" customWidth="1"/>
    <col min="11544" max="11544" width="11" style="160" bestFit="1" customWidth="1"/>
    <col min="11545" max="11777" width="9" style="160"/>
    <col min="11778" max="11778" width="4.625" style="160" bestFit="1" customWidth="1"/>
    <col min="11779" max="11779" width="7.5" style="160" bestFit="1" customWidth="1"/>
    <col min="11780" max="11780" width="6.25" style="160" customWidth="1"/>
    <col min="11781" max="11781" width="11" style="160" bestFit="1" customWidth="1"/>
    <col min="11782" max="11783" width="9.625" style="160" bestFit="1" customWidth="1"/>
    <col min="11784" max="11784" width="8.25" style="160" bestFit="1" customWidth="1"/>
    <col min="11785" max="11786" width="9.625" style="160" bestFit="1" customWidth="1"/>
    <col min="11787" max="11787" width="8.25" style="160" bestFit="1" customWidth="1"/>
    <col min="11788" max="11789" width="9.625" style="160" bestFit="1" customWidth="1"/>
    <col min="11790" max="11791" width="8.25" style="160" bestFit="1" customWidth="1"/>
    <col min="11792" max="11792" width="11" style="160" bestFit="1" customWidth="1"/>
    <col min="11793" max="11793" width="8" style="160" bestFit="1" customWidth="1"/>
    <col min="11794" max="11794" width="7.75" style="160" bestFit="1" customWidth="1"/>
    <col min="11795" max="11796" width="9.625" style="160" bestFit="1" customWidth="1"/>
    <col min="11797" max="11798" width="9.625" style="160" customWidth="1"/>
    <col min="11799" max="11799" width="9.25" style="160" bestFit="1" customWidth="1"/>
    <col min="11800" max="11800" width="11" style="160" bestFit="1" customWidth="1"/>
    <col min="11801" max="12033" width="9" style="160"/>
    <col min="12034" max="12034" width="4.625" style="160" bestFit="1" customWidth="1"/>
    <col min="12035" max="12035" width="7.5" style="160" bestFit="1" customWidth="1"/>
    <col min="12036" max="12036" width="6.25" style="160" customWidth="1"/>
    <col min="12037" max="12037" width="11" style="160" bestFit="1" customWidth="1"/>
    <col min="12038" max="12039" width="9.625" style="160" bestFit="1" customWidth="1"/>
    <col min="12040" max="12040" width="8.25" style="160" bestFit="1" customWidth="1"/>
    <col min="12041" max="12042" width="9.625" style="160" bestFit="1" customWidth="1"/>
    <col min="12043" max="12043" width="8.25" style="160" bestFit="1" customWidth="1"/>
    <col min="12044" max="12045" width="9.625" style="160" bestFit="1" customWidth="1"/>
    <col min="12046" max="12047" width="8.25" style="160" bestFit="1" customWidth="1"/>
    <col min="12048" max="12048" width="11" style="160" bestFit="1" customWidth="1"/>
    <col min="12049" max="12049" width="8" style="160" bestFit="1" customWidth="1"/>
    <col min="12050" max="12050" width="7.75" style="160" bestFit="1" customWidth="1"/>
    <col min="12051" max="12052" width="9.625" style="160" bestFit="1" customWidth="1"/>
    <col min="12053" max="12054" width="9.625" style="160" customWidth="1"/>
    <col min="12055" max="12055" width="9.25" style="160" bestFit="1" customWidth="1"/>
    <col min="12056" max="12056" width="11" style="160" bestFit="1" customWidth="1"/>
    <col min="12057" max="12289" width="9" style="160"/>
    <col min="12290" max="12290" width="4.625" style="160" bestFit="1" customWidth="1"/>
    <col min="12291" max="12291" width="7.5" style="160" bestFit="1" customWidth="1"/>
    <col min="12292" max="12292" width="6.25" style="160" customWidth="1"/>
    <col min="12293" max="12293" width="11" style="160" bestFit="1" customWidth="1"/>
    <col min="12294" max="12295" width="9.625" style="160" bestFit="1" customWidth="1"/>
    <col min="12296" max="12296" width="8.25" style="160" bestFit="1" customWidth="1"/>
    <col min="12297" max="12298" width="9.625" style="160" bestFit="1" customWidth="1"/>
    <col min="12299" max="12299" width="8.25" style="160" bestFit="1" customWidth="1"/>
    <col min="12300" max="12301" width="9.625" style="160" bestFit="1" customWidth="1"/>
    <col min="12302" max="12303" width="8.25" style="160" bestFit="1" customWidth="1"/>
    <col min="12304" max="12304" width="11" style="160" bestFit="1" customWidth="1"/>
    <col min="12305" max="12305" width="8" style="160" bestFit="1" customWidth="1"/>
    <col min="12306" max="12306" width="7.75" style="160" bestFit="1" customWidth="1"/>
    <col min="12307" max="12308" width="9.625" style="160" bestFit="1" customWidth="1"/>
    <col min="12309" max="12310" width="9.625" style="160" customWidth="1"/>
    <col min="12311" max="12311" width="9.25" style="160" bestFit="1" customWidth="1"/>
    <col min="12312" max="12312" width="11" style="160" bestFit="1" customWidth="1"/>
    <col min="12313" max="12545" width="9" style="160"/>
    <col min="12546" max="12546" width="4.625" style="160" bestFit="1" customWidth="1"/>
    <col min="12547" max="12547" width="7.5" style="160" bestFit="1" customWidth="1"/>
    <col min="12548" max="12548" width="6.25" style="160" customWidth="1"/>
    <col min="12549" max="12549" width="11" style="160" bestFit="1" customWidth="1"/>
    <col min="12550" max="12551" width="9.625" style="160" bestFit="1" customWidth="1"/>
    <col min="12552" max="12552" width="8.25" style="160" bestFit="1" customWidth="1"/>
    <col min="12553" max="12554" width="9.625" style="160" bestFit="1" customWidth="1"/>
    <col min="12555" max="12555" width="8.25" style="160" bestFit="1" customWidth="1"/>
    <col min="12556" max="12557" width="9.625" style="160" bestFit="1" customWidth="1"/>
    <col min="12558" max="12559" width="8.25" style="160" bestFit="1" customWidth="1"/>
    <col min="12560" max="12560" width="11" style="160" bestFit="1" customWidth="1"/>
    <col min="12561" max="12561" width="8" style="160" bestFit="1" customWidth="1"/>
    <col min="12562" max="12562" width="7.75" style="160" bestFit="1" customWidth="1"/>
    <col min="12563" max="12564" width="9.625" style="160" bestFit="1" customWidth="1"/>
    <col min="12565" max="12566" width="9.625" style="160" customWidth="1"/>
    <col min="12567" max="12567" width="9.25" style="160" bestFit="1" customWidth="1"/>
    <col min="12568" max="12568" width="11" style="160" bestFit="1" customWidth="1"/>
    <col min="12569" max="12801" width="9" style="160"/>
    <col min="12802" max="12802" width="4.625" style="160" bestFit="1" customWidth="1"/>
    <col min="12803" max="12803" width="7.5" style="160" bestFit="1" customWidth="1"/>
    <col min="12804" max="12804" width="6.25" style="160" customWidth="1"/>
    <col min="12805" max="12805" width="11" style="160" bestFit="1" customWidth="1"/>
    <col min="12806" max="12807" width="9.625" style="160" bestFit="1" customWidth="1"/>
    <col min="12808" max="12808" width="8.25" style="160" bestFit="1" customWidth="1"/>
    <col min="12809" max="12810" width="9.625" style="160" bestFit="1" customWidth="1"/>
    <col min="12811" max="12811" width="8.25" style="160" bestFit="1" customWidth="1"/>
    <col min="12812" max="12813" width="9.625" style="160" bestFit="1" customWidth="1"/>
    <col min="12814" max="12815" width="8.25" style="160" bestFit="1" customWidth="1"/>
    <col min="12816" max="12816" width="11" style="160" bestFit="1" customWidth="1"/>
    <col min="12817" max="12817" width="8" style="160" bestFit="1" customWidth="1"/>
    <col min="12818" max="12818" width="7.75" style="160" bestFit="1" customWidth="1"/>
    <col min="12819" max="12820" width="9.625" style="160" bestFit="1" customWidth="1"/>
    <col min="12821" max="12822" width="9.625" style="160" customWidth="1"/>
    <col min="12823" max="12823" width="9.25" style="160" bestFit="1" customWidth="1"/>
    <col min="12824" max="12824" width="11" style="160" bestFit="1" customWidth="1"/>
    <col min="12825" max="13057" width="9" style="160"/>
    <col min="13058" max="13058" width="4.625" style="160" bestFit="1" customWidth="1"/>
    <col min="13059" max="13059" width="7.5" style="160" bestFit="1" customWidth="1"/>
    <col min="13060" max="13060" width="6.25" style="160" customWidth="1"/>
    <col min="13061" max="13061" width="11" style="160" bestFit="1" customWidth="1"/>
    <col min="13062" max="13063" width="9.625" style="160" bestFit="1" customWidth="1"/>
    <col min="13064" max="13064" width="8.25" style="160" bestFit="1" customWidth="1"/>
    <col min="13065" max="13066" width="9.625" style="160" bestFit="1" customWidth="1"/>
    <col min="13067" max="13067" width="8.25" style="160" bestFit="1" customWidth="1"/>
    <col min="13068" max="13069" width="9.625" style="160" bestFit="1" customWidth="1"/>
    <col min="13070" max="13071" width="8.25" style="160" bestFit="1" customWidth="1"/>
    <col min="13072" max="13072" width="11" style="160" bestFit="1" customWidth="1"/>
    <col min="13073" max="13073" width="8" style="160" bestFit="1" customWidth="1"/>
    <col min="13074" max="13074" width="7.75" style="160" bestFit="1" customWidth="1"/>
    <col min="13075" max="13076" width="9.625" style="160" bestFit="1" customWidth="1"/>
    <col min="13077" max="13078" width="9.625" style="160" customWidth="1"/>
    <col min="13079" max="13079" width="9.25" style="160" bestFit="1" customWidth="1"/>
    <col min="13080" max="13080" width="11" style="160" bestFit="1" customWidth="1"/>
    <col min="13081" max="13313" width="9" style="160"/>
    <col min="13314" max="13314" width="4.625" style="160" bestFit="1" customWidth="1"/>
    <col min="13315" max="13315" width="7.5" style="160" bestFit="1" customWidth="1"/>
    <col min="13316" max="13316" width="6.25" style="160" customWidth="1"/>
    <col min="13317" max="13317" width="11" style="160" bestFit="1" customWidth="1"/>
    <col min="13318" max="13319" width="9.625" style="160" bestFit="1" customWidth="1"/>
    <col min="13320" max="13320" width="8.25" style="160" bestFit="1" customWidth="1"/>
    <col min="13321" max="13322" width="9.625" style="160" bestFit="1" customWidth="1"/>
    <col min="13323" max="13323" width="8.25" style="160" bestFit="1" customWidth="1"/>
    <col min="13324" max="13325" width="9.625" style="160" bestFit="1" customWidth="1"/>
    <col min="13326" max="13327" width="8.25" style="160" bestFit="1" customWidth="1"/>
    <col min="13328" max="13328" width="11" style="160" bestFit="1" customWidth="1"/>
    <col min="13329" max="13329" width="8" style="160" bestFit="1" customWidth="1"/>
    <col min="13330" max="13330" width="7.75" style="160" bestFit="1" customWidth="1"/>
    <col min="13331" max="13332" width="9.625" style="160" bestFit="1" customWidth="1"/>
    <col min="13333" max="13334" width="9.625" style="160" customWidth="1"/>
    <col min="13335" max="13335" width="9.25" style="160" bestFit="1" customWidth="1"/>
    <col min="13336" max="13336" width="11" style="160" bestFit="1" customWidth="1"/>
    <col min="13337" max="13569" width="9" style="160"/>
    <col min="13570" max="13570" width="4.625" style="160" bestFit="1" customWidth="1"/>
    <col min="13571" max="13571" width="7.5" style="160" bestFit="1" customWidth="1"/>
    <col min="13572" max="13572" width="6.25" style="160" customWidth="1"/>
    <col min="13573" max="13573" width="11" style="160" bestFit="1" customWidth="1"/>
    <col min="13574" max="13575" width="9.625" style="160" bestFit="1" customWidth="1"/>
    <col min="13576" max="13576" width="8.25" style="160" bestFit="1" customWidth="1"/>
    <col min="13577" max="13578" width="9.625" style="160" bestFit="1" customWidth="1"/>
    <col min="13579" max="13579" width="8.25" style="160" bestFit="1" customWidth="1"/>
    <col min="13580" max="13581" width="9.625" style="160" bestFit="1" customWidth="1"/>
    <col min="13582" max="13583" width="8.25" style="160" bestFit="1" customWidth="1"/>
    <col min="13584" max="13584" width="11" style="160" bestFit="1" customWidth="1"/>
    <col min="13585" max="13585" width="8" style="160" bestFit="1" customWidth="1"/>
    <col min="13586" max="13586" width="7.75" style="160" bestFit="1" customWidth="1"/>
    <col min="13587" max="13588" width="9.625" style="160" bestFit="1" customWidth="1"/>
    <col min="13589" max="13590" width="9.625" style="160" customWidth="1"/>
    <col min="13591" max="13591" width="9.25" style="160" bestFit="1" customWidth="1"/>
    <col min="13592" max="13592" width="11" style="160" bestFit="1" customWidth="1"/>
    <col min="13593" max="13825" width="9" style="160"/>
    <col min="13826" max="13826" width="4.625" style="160" bestFit="1" customWidth="1"/>
    <col min="13827" max="13827" width="7.5" style="160" bestFit="1" customWidth="1"/>
    <col min="13828" max="13828" width="6.25" style="160" customWidth="1"/>
    <col min="13829" max="13829" width="11" style="160" bestFit="1" customWidth="1"/>
    <col min="13830" max="13831" width="9.625" style="160" bestFit="1" customWidth="1"/>
    <col min="13832" max="13832" width="8.25" style="160" bestFit="1" customWidth="1"/>
    <col min="13833" max="13834" width="9.625" style="160" bestFit="1" customWidth="1"/>
    <col min="13835" max="13835" width="8.25" style="160" bestFit="1" customWidth="1"/>
    <col min="13836" max="13837" width="9.625" style="160" bestFit="1" customWidth="1"/>
    <col min="13838" max="13839" width="8.25" style="160" bestFit="1" customWidth="1"/>
    <col min="13840" max="13840" width="11" style="160" bestFit="1" customWidth="1"/>
    <col min="13841" max="13841" width="8" style="160" bestFit="1" customWidth="1"/>
    <col min="13842" max="13842" width="7.75" style="160" bestFit="1" customWidth="1"/>
    <col min="13843" max="13844" width="9.625" style="160" bestFit="1" customWidth="1"/>
    <col min="13845" max="13846" width="9.625" style="160" customWidth="1"/>
    <col min="13847" max="13847" width="9.25" style="160" bestFit="1" customWidth="1"/>
    <col min="13848" max="13848" width="11" style="160" bestFit="1" customWidth="1"/>
    <col min="13849" max="14081" width="9" style="160"/>
    <col min="14082" max="14082" width="4.625" style="160" bestFit="1" customWidth="1"/>
    <col min="14083" max="14083" width="7.5" style="160" bestFit="1" customWidth="1"/>
    <col min="14084" max="14084" width="6.25" style="160" customWidth="1"/>
    <col min="14085" max="14085" width="11" style="160" bestFit="1" customWidth="1"/>
    <col min="14086" max="14087" width="9.625" style="160" bestFit="1" customWidth="1"/>
    <col min="14088" max="14088" width="8.25" style="160" bestFit="1" customWidth="1"/>
    <col min="14089" max="14090" width="9.625" style="160" bestFit="1" customWidth="1"/>
    <col min="14091" max="14091" width="8.25" style="160" bestFit="1" customWidth="1"/>
    <col min="14092" max="14093" width="9.625" style="160" bestFit="1" customWidth="1"/>
    <col min="14094" max="14095" width="8.25" style="160" bestFit="1" customWidth="1"/>
    <col min="14096" max="14096" width="11" style="160" bestFit="1" customWidth="1"/>
    <col min="14097" max="14097" width="8" style="160" bestFit="1" customWidth="1"/>
    <col min="14098" max="14098" width="7.75" style="160" bestFit="1" customWidth="1"/>
    <col min="14099" max="14100" width="9.625" style="160" bestFit="1" customWidth="1"/>
    <col min="14101" max="14102" width="9.625" style="160" customWidth="1"/>
    <col min="14103" max="14103" width="9.25" style="160" bestFit="1" customWidth="1"/>
    <col min="14104" max="14104" width="11" style="160" bestFit="1" customWidth="1"/>
    <col min="14105" max="14337" width="9" style="160"/>
    <col min="14338" max="14338" width="4.625" style="160" bestFit="1" customWidth="1"/>
    <col min="14339" max="14339" width="7.5" style="160" bestFit="1" customWidth="1"/>
    <col min="14340" max="14340" width="6.25" style="160" customWidth="1"/>
    <col min="14341" max="14341" width="11" style="160" bestFit="1" customWidth="1"/>
    <col min="14342" max="14343" width="9.625" style="160" bestFit="1" customWidth="1"/>
    <col min="14344" max="14344" width="8.25" style="160" bestFit="1" customWidth="1"/>
    <col min="14345" max="14346" width="9.625" style="160" bestFit="1" customWidth="1"/>
    <col min="14347" max="14347" width="8.25" style="160" bestFit="1" customWidth="1"/>
    <col min="14348" max="14349" width="9.625" style="160" bestFit="1" customWidth="1"/>
    <col min="14350" max="14351" width="8.25" style="160" bestFit="1" customWidth="1"/>
    <col min="14352" max="14352" width="11" style="160" bestFit="1" customWidth="1"/>
    <col min="14353" max="14353" width="8" style="160" bestFit="1" customWidth="1"/>
    <col min="14354" max="14354" width="7.75" style="160" bestFit="1" customWidth="1"/>
    <col min="14355" max="14356" width="9.625" style="160" bestFit="1" customWidth="1"/>
    <col min="14357" max="14358" width="9.625" style="160" customWidth="1"/>
    <col min="14359" max="14359" width="9.25" style="160" bestFit="1" customWidth="1"/>
    <col min="14360" max="14360" width="11" style="160" bestFit="1" customWidth="1"/>
    <col min="14361" max="14593" width="9" style="160"/>
    <col min="14594" max="14594" width="4.625" style="160" bestFit="1" customWidth="1"/>
    <col min="14595" max="14595" width="7.5" style="160" bestFit="1" customWidth="1"/>
    <col min="14596" max="14596" width="6.25" style="160" customWidth="1"/>
    <col min="14597" max="14597" width="11" style="160" bestFit="1" customWidth="1"/>
    <col min="14598" max="14599" width="9.625" style="160" bestFit="1" customWidth="1"/>
    <col min="14600" max="14600" width="8.25" style="160" bestFit="1" customWidth="1"/>
    <col min="14601" max="14602" width="9.625" style="160" bestFit="1" customWidth="1"/>
    <col min="14603" max="14603" width="8.25" style="160" bestFit="1" customWidth="1"/>
    <col min="14604" max="14605" width="9.625" style="160" bestFit="1" customWidth="1"/>
    <col min="14606" max="14607" width="8.25" style="160" bestFit="1" customWidth="1"/>
    <col min="14608" max="14608" width="11" style="160" bestFit="1" customWidth="1"/>
    <col min="14609" max="14609" width="8" style="160" bestFit="1" customWidth="1"/>
    <col min="14610" max="14610" width="7.75" style="160" bestFit="1" customWidth="1"/>
    <col min="14611" max="14612" width="9.625" style="160" bestFit="1" customWidth="1"/>
    <col min="14613" max="14614" width="9.625" style="160" customWidth="1"/>
    <col min="14615" max="14615" width="9.25" style="160" bestFit="1" customWidth="1"/>
    <col min="14616" max="14616" width="11" style="160" bestFit="1" customWidth="1"/>
    <col min="14617" max="14849" width="9" style="160"/>
    <col min="14850" max="14850" width="4.625" style="160" bestFit="1" customWidth="1"/>
    <col min="14851" max="14851" width="7.5" style="160" bestFit="1" customWidth="1"/>
    <col min="14852" max="14852" width="6.25" style="160" customWidth="1"/>
    <col min="14853" max="14853" width="11" style="160" bestFit="1" customWidth="1"/>
    <col min="14854" max="14855" width="9.625" style="160" bestFit="1" customWidth="1"/>
    <col min="14856" max="14856" width="8.25" style="160" bestFit="1" customWidth="1"/>
    <col min="14857" max="14858" width="9.625" style="160" bestFit="1" customWidth="1"/>
    <col min="14859" max="14859" width="8.25" style="160" bestFit="1" customWidth="1"/>
    <col min="14860" max="14861" width="9.625" style="160" bestFit="1" customWidth="1"/>
    <col min="14862" max="14863" width="8.25" style="160" bestFit="1" customWidth="1"/>
    <col min="14864" max="14864" width="11" style="160" bestFit="1" customWidth="1"/>
    <col min="14865" max="14865" width="8" style="160" bestFit="1" customWidth="1"/>
    <col min="14866" max="14866" width="7.75" style="160" bestFit="1" customWidth="1"/>
    <col min="14867" max="14868" width="9.625" style="160" bestFit="1" customWidth="1"/>
    <col min="14869" max="14870" width="9.625" style="160" customWidth="1"/>
    <col min="14871" max="14871" width="9.25" style="160" bestFit="1" customWidth="1"/>
    <col min="14872" max="14872" width="11" style="160" bestFit="1" customWidth="1"/>
    <col min="14873" max="15105" width="9" style="160"/>
    <col min="15106" max="15106" width="4.625" style="160" bestFit="1" customWidth="1"/>
    <col min="15107" max="15107" width="7.5" style="160" bestFit="1" customWidth="1"/>
    <col min="15108" max="15108" width="6.25" style="160" customWidth="1"/>
    <col min="15109" max="15109" width="11" style="160" bestFit="1" customWidth="1"/>
    <col min="15110" max="15111" width="9.625" style="160" bestFit="1" customWidth="1"/>
    <col min="15112" max="15112" width="8.25" style="160" bestFit="1" customWidth="1"/>
    <col min="15113" max="15114" width="9.625" style="160" bestFit="1" customWidth="1"/>
    <col min="15115" max="15115" width="8.25" style="160" bestFit="1" customWidth="1"/>
    <col min="15116" max="15117" width="9.625" style="160" bestFit="1" customWidth="1"/>
    <col min="15118" max="15119" width="8.25" style="160" bestFit="1" customWidth="1"/>
    <col min="15120" max="15120" width="11" style="160" bestFit="1" customWidth="1"/>
    <col min="15121" max="15121" width="8" style="160" bestFit="1" customWidth="1"/>
    <col min="15122" max="15122" width="7.75" style="160" bestFit="1" customWidth="1"/>
    <col min="15123" max="15124" width="9.625" style="160" bestFit="1" customWidth="1"/>
    <col min="15125" max="15126" width="9.625" style="160" customWidth="1"/>
    <col min="15127" max="15127" width="9.25" style="160" bestFit="1" customWidth="1"/>
    <col min="15128" max="15128" width="11" style="160" bestFit="1" customWidth="1"/>
    <col min="15129" max="15361" width="9" style="160"/>
    <col min="15362" max="15362" width="4.625" style="160" bestFit="1" customWidth="1"/>
    <col min="15363" max="15363" width="7.5" style="160" bestFit="1" customWidth="1"/>
    <col min="15364" max="15364" width="6.25" style="160" customWidth="1"/>
    <col min="15365" max="15365" width="11" style="160" bestFit="1" customWidth="1"/>
    <col min="15366" max="15367" width="9.625" style="160" bestFit="1" customWidth="1"/>
    <col min="15368" max="15368" width="8.25" style="160" bestFit="1" customWidth="1"/>
    <col min="15369" max="15370" width="9.625" style="160" bestFit="1" customWidth="1"/>
    <col min="15371" max="15371" width="8.25" style="160" bestFit="1" customWidth="1"/>
    <col min="15372" max="15373" width="9.625" style="160" bestFit="1" customWidth="1"/>
    <col min="15374" max="15375" width="8.25" style="160" bestFit="1" customWidth="1"/>
    <col min="15376" max="15376" width="11" style="160" bestFit="1" customWidth="1"/>
    <col min="15377" max="15377" width="8" style="160" bestFit="1" customWidth="1"/>
    <col min="15378" max="15378" width="7.75" style="160" bestFit="1" customWidth="1"/>
    <col min="15379" max="15380" width="9.625" style="160" bestFit="1" customWidth="1"/>
    <col min="15381" max="15382" width="9.625" style="160" customWidth="1"/>
    <col min="15383" max="15383" width="9.25" style="160" bestFit="1" customWidth="1"/>
    <col min="15384" max="15384" width="11" style="160" bestFit="1" customWidth="1"/>
    <col min="15385" max="15617" width="9" style="160"/>
    <col min="15618" max="15618" width="4.625" style="160" bestFit="1" customWidth="1"/>
    <col min="15619" max="15619" width="7.5" style="160" bestFit="1" customWidth="1"/>
    <col min="15620" max="15620" width="6.25" style="160" customWidth="1"/>
    <col min="15621" max="15621" width="11" style="160" bestFit="1" customWidth="1"/>
    <col min="15622" max="15623" width="9.625" style="160" bestFit="1" customWidth="1"/>
    <col min="15624" max="15624" width="8.25" style="160" bestFit="1" customWidth="1"/>
    <col min="15625" max="15626" width="9.625" style="160" bestFit="1" customWidth="1"/>
    <col min="15627" max="15627" width="8.25" style="160" bestFit="1" customWidth="1"/>
    <col min="15628" max="15629" width="9.625" style="160" bestFit="1" customWidth="1"/>
    <col min="15630" max="15631" width="8.25" style="160" bestFit="1" customWidth="1"/>
    <col min="15632" max="15632" width="11" style="160" bestFit="1" customWidth="1"/>
    <col min="15633" max="15633" width="8" style="160" bestFit="1" customWidth="1"/>
    <col min="15634" max="15634" width="7.75" style="160" bestFit="1" customWidth="1"/>
    <col min="15635" max="15636" width="9.625" style="160" bestFit="1" customWidth="1"/>
    <col min="15637" max="15638" width="9.625" style="160" customWidth="1"/>
    <col min="15639" max="15639" width="9.25" style="160" bestFit="1" customWidth="1"/>
    <col min="15640" max="15640" width="11" style="160" bestFit="1" customWidth="1"/>
    <col min="15641" max="15873" width="9" style="160"/>
    <col min="15874" max="15874" width="4.625" style="160" bestFit="1" customWidth="1"/>
    <col min="15875" max="15875" width="7.5" style="160" bestFit="1" customWidth="1"/>
    <col min="15876" max="15876" width="6.25" style="160" customWidth="1"/>
    <col min="15877" max="15877" width="11" style="160" bestFit="1" customWidth="1"/>
    <col min="15878" max="15879" width="9.625" style="160" bestFit="1" customWidth="1"/>
    <col min="15880" max="15880" width="8.25" style="160" bestFit="1" customWidth="1"/>
    <col min="15881" max="15882" width="9.625" style="160" bestFit="1" customWidth="1"/>
    <col min="15883" max="15883" width="8.25" style="160" bestFit="1" customWidth="1"/>
    <col min="15884" max="15885" width="9.625" style="160" bestFit="1" customWidth="1"/>
    <col min="15886" max="15887" width="8.25" style="160" bestFit="1" customWidth="1"/>
    <col min="15888" max="15888" width="11" style="160" bestFit="1" customWidth="1"/>
    <col min="15889" max="15889" width="8" style="160" bestFit="1" customWidth="1"/>
    <col min="15890" max="15890" width="7.75" style="160" bestFit="1" customWidth="1"/>
    <col min="15891" max="15892" width="9.625" style="160" bestFit="1" customWidth="1"/>
    <col min="15893" max="15894" width="9.625" style="160" customWidth="1"/>
    <col min="15895" max="15895" width="9.25" style="160" bestFit="1" customWidth="1"/>
    <col min="15896" max="15896" width="11" style="160" bestFit="1" customWidth="1"/>
    <col min="15897" max="16129" width="9" style="160"/>
    <col min="16130" max="16130" width="4.625" style="160" bestFit="1" customWidth="1"/>
    <col min="16131" max="16131" width="7.5" style="160" bestFit="1" customWidth="1"/>
    <col min="16132" max="16132" width="6.25" style="160" customWidth="1"/>
    <col min="16133" max="16133" width="11" style="160" bestFit="1" customWidth="1"/>
    <col min="16134" max="16135" width="9.625" style="160" bestFit="1" customWidth="1"/>
    <col min="16136" max="16136" width="8.25" style="160" bestFit="1" customWidth="1"/>
    <col min="16137" max="16138" width="9.625" style="160" bestFit="1" customWidth="1"/>
    <col min="16139" max="16139" width="8.25" style="160" bestFit="1" customWidth="1"/>
    <col min="16140" max="16141" width="9.625" style="160" bestFit="1" customWidth="1"/>
    <col min="16142" max="16143" width="8.25" style="160" bestFit="1" customWidth="1"/>
    <col min="16144" max="16144" width="11" style="160" bestFit="1" customWidth="1"/>
    <col min="16145" max="16145" width="8" style="160" bestFit="1" customWidth="1"/>
    <col min="16146" max="16146" width="7.75" style="160" bestFit="1" customWidth="1"/>
    <col min="16147" max="16148" width="9.625" style="160" bestFit="1" customWidth="1"/>
    <col min="16149" max="16150" width="9.625" style="160" customWidth="1"/>
    <col min="16151" max="16151" width="9.25" style="160" bestFit="1" customWidth="1"/>
    <col min="16152" max="16152" width="11" style="160" bestFit="1" customWidth="1"/>
    <col min="16153" max="16384" width="9" style="160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261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58"/>
      <c r="V4" s="252"/>
      <c r="W4" s="252"/>
      <c r="X4" s="252"/>
    </row>
    <row r="5" spans="2:29" ht="20.25" customHeight="1" x14ac:dyDescent="0.3">
      <c r="B5" s="253" t="s">
        <v>262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59"/>
      <c r="Q5" s="69"/>
      <c r="R5" s="69"/>
      <c r="S5" s="69"/>
      <c r="T5" s="252"/>
      <c r="U5" s="15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" si="10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1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" si="12">IFERROR(IF(D15&lt;&gt;"대표이사",ROUNDDOWN((P15-AC15)*고용보험율,-1),0),)</f>
        <v>17600</v>
      </c>
      <c r="W15" s="124">
        <f t="shared" ref="W15" si="13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24" si="14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119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4"/>
        <v>300000</v>
      </c>
    </row>
    <row r="17" spans="2:29" ht="20.100000000000001" customHeight="1" x14ac:dyDescent="0.3">
      <c r="B17" s="101">
        <v>9</v>
      </c>
      <c r="C17" s="87" t="s">
        <v>247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19" si="15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6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ref="V17:V24" si="17">IFERROR(IF(D17&lt;&gt;"대표이사",ROUNDDOWN((P17-AC17)*고용보험율,-1),0),)</f>
        <v>17600</v>
      </c>
      <c r="W17" s="124">
        <f t="shared" ref="W17:W24" si="18">SUM(Q17:V17)</f>
        <v>229290</v>
      </c>
      <c r="X17" s="128">
        <f t="shared" si="7"/>
        <v>2270710</v>
      </c>
      <c r="Z17" s="98">
        <v>1</v>
      </c>
      <c r="AA17" s="99"/>
      <c r="AC17" s="100">
        <f t="shared" si="14"/>
        <v>300000</v>
      </c>
    </row>
    <row r="18" spans="2:29" ht="20.100000000000001" customHeight="1" x14ac:dyDescent="0.3">
      <c r="B18" s="101">
        <v>10</v>
      </c>
      <c r="C18" s="87" t="s">
        <v>143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5"/>
        <v>2500000</v>
      </c>
      <c r="Q18" s="125">
        <f t="shared" si="1"/>
        <v>25950</v>
      </c>
      <c r="R18" s="126">
        <f t="shared" si="2"/>
        <v>2590</v>
      </c>
      <c r="S18" s="126">
        <f t="shared" si="16"/>
        <v>99000</v>
      </c>
      <c r="T18" s="95">
        <f t="shared" si="3"/>
        <v>75460</v>
      </c>
      <c r="U18" s="96">
        <f t="shared" si="4"/>
        <v>8690</v>
      </c>
      <c r="V18" s="127">
        <f t="shared" si="17"/>
        <v>17600</v>
      </c>
      <c r="W18" s="124">
        <f t="shared" si="18"/>
        <v>229290</v>
      </c>
      <c r="X18" s="128">
        <f t="shared" si="7"/>
        <v>2270710</v>
      </c>
      <c r="Z18" s="98">
        <v>1</v>
      </c>
      <c r="AA18" s="99"/>
      <c r="AC18" s="100">
        <f t="shared" si="14"/>
        <v>300000</v>
      </c>
    </row>
    <row r="19" spans="2:29" ht="20.100000000000001" customHeight="1" x14ac:dyDescent="0.3">
      <c r="B19" s="101">
        <v>11</v>
      </c>
      <c r="C19" s="87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5"/>
        <v>2500000</v>
      </c>
      <c r="Q19" s="125">
        <f t="shared" ref="Q19" si="19">IFERROR(IF(P19-AC19&lt;=10000000,VLOOKUP((P19-AC19)/1000,간이세액표,IF(11&lt;Z19+AA19,13,2+Z19+AA19),TRUE),IF(P19-AC19&gt;14000000,VLOOKUP((P19-AC19)/1000,간이세액표,IF(11&lt;Z19+AA19,13,2+Z19+AA19),TRUE)+1372000+ROUNDDOWN(((P19-AC19-14000000)*98%)*38%,-1),VLOOKUP((P19-AC19)/1000,간이세액표,IF(11&lt;Z19+AA19,13,2+Z19+AA19),TRUE)+ROUNDDOWN(((P19-AC19-10000000)*98%)*35%,-1))),)</f>
        <v>25950</v>
      </c>
      <c r="R19" s="126">
        <f t="shared" ref="R19" si="20">ROUNDDOWN(Q19*10%,-1)</f>
        <v>2590</v>
      </c>
      <c r="S19" s="126"/>
      <c r="T19" s="95">
        <f t="shared" ref="T19" si="21">IFERROR(ROUNDDOWN((P19-AC19)*3.43%,-1),)</f>
        <v>75460</v>
      </c>
      <c r="U19" s="96">
        <f t="shared" ref="U19" si="22">ROUNDDOWN(T19*11.52%,-1)</f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4"/>
        <v>300000</v>
      </c>
    </row>
    <row r="20" spans="2:29" ht="20.100000000000001" customHeight="1" x14ac:dyDescent="0.3">
      <c r="B20" s="101">
        <v>12</v>
      </c>
      <c r="C20" s="87" t="s">
        <v>259</v>
      </c>
      <c r="D20" s="88" t="s">
        <v>50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ref="P20:P21" si="23">SUM(E20:O20)</f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251</v>
      </c>
      <c r="D21" s="88" t="s">
        <v>50</v>
      </c>
      <c r="E21" s="89">
        <v>2100000</v>
      </c>
      <c r="F21" s="106"/>
      <c r="G21" s="106"/>
      <c r="H21" s="106"/>
      <c r="I21" s="106"/>
      <c r="J21" s="107"/>
      <c r="K21" s="107"/>
      <c r="L21" s="107"/>
      <c r="M21" s="107"/>
      <c r="N21" s="89">
        <v>200000</v>
      </c>
      <c r="O21" s="130">
        <v>200000</v>
      </c>
      <c r="P21" s="124">
        <f t="shared" si="23"/>
        <v>2500000</v>
      </c>
      <c r="Q21" s="125">
        <f t="shared" ref="Q21" si="24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/>
      <c r="T21" s="95">
        <f t="shared" ref="T21" si="25">IFERROR(ROUNDDOWN((P21-AC21)*3.43%,-1),)</f>
        <v>75460</v>
      </c>
      <c r="U21" s="96">
        <f t="shared" si="4"/>
        <v>8690</v>
      </c>
      <c r="V21" s="127">
        <f t="shared" ref="V21" si="26">IFERROR(IF(D21&lt;&gt;"대표이사",ROUNDDOWN((P21-AC21)*고용보험율,-1),0),)</f>
        <v>17600</v>
      </c>
      <c r="W21" s="124">
        <f t="shared" ref="W21" si="27">SUM(Q21:V21)</f>
        <v>130290</v>
      </c>
      <c r="X21" s="128">
        <f t="shared" si="7"/>
        <v>2369710</v>
      </c>
      <c r="Z21" s="98">
        <v>1</v>
      </c>
      <c r="AA21" s="99"/>
      <c r="AC21" s="100">
        <f t="shared" ref="AC21" si="28">IF(N21&gt;=100000,100000,N21)+IF(O21&gt;=200000,200000,O21)</f>
        <v>300000</v>
      </c>
    </row>
    <row r="22" spans="2:29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29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s="161" customFormat="1" ht="20.100000000000001" customHeight="1" x14ac:dyDescent="0.3">
      <c r="B23" s="101">
        <v>15</v>
      </c>
      <c r="C23" s="87" t="s">
        <v>268</v>
      </c>
      <c r="D23" s="88" t="s">
        <v>50</v>
      </c>
      <c r="E23" s="89">
        <v>2100000</v>
      </c>
      <c r="F23" s="106"/>
      <c r="G23" s="106"/>
      <c r="H23" s="106"/>
      <c r="I23" s="106"/>
      <c r="J23" s="107"/>
      <c r="K23" s="107"/>
      <c r="L23" s="107"/>
      <c r="M23" s="107"/>
      <c r="N23" s="89">
        <v>200000</v>
      </c>
      <c r="O23" s="130">
        <v>200000</v>
      </c>
      <c r="P23" s="124">
        <f t="shared" ref="P23" si="30">SUM(E23:O23)</f>
        <v>2500000</v>
      </c>
      <c r="Q23" s="94">
        <v>25950</v>
      </c>
      <c r="R23" s="126">
        <f t="shared" ref="R23" si="31">ROUNDDOWN(Q23*10%,-1)</f>
        <v>2590</v>
      </c>
      <c r="S23" s="126">
        <v>99000</v>
      </c>
      <c r="T23" s="95">
        <v>75460</v>
      </c>
      <c r="U23" s="96">
        <f t="shared" ref="U23" si="32">ROUNDDOWN(T23*11.52%,-1)</f>
        <v>8690</v>
      </c>
      <c r="V23" s="127">
        <v>17600</v>
      </c>
      <c r="W23" s="124">
        <f>SUM(Q23:V23)</f>
        <v>229290</v>
      </c>
      <c r="X23" s="97">
        <f t="shared" ref="X23" si="33">P23-W23</f>
        <v>2270710</v>
      </c>
      <c r="Z23" s="98">
        <v>1</v>
      </c>
      <c r="AA23" s="99"/>
      <c r="AC23" s="100"/>
    </row>
    <row r="24" spans="2:29" ht="20.100000000000001" customHeight="1" x14ac:dyDescent="0.3">
      <c r="B24" s="101"/>
      <c r="C24" s="87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>
        <f t="shared" si="1"/>
        <v>0</v>
      </c>
      <c r="R24" s="126">
        <f t="shared" si="2"/>
        <v>0</v>
      </c>
      <c r="S24" s="126">
        <f t="shared" si="16"/>
        <v>0</v>
      </c>
      <c r="T24" s="95">
        <f t="shared" si="3"/>
        <v>0</v>
      </c>
      <c r="U24" s="96">
        <f t="shared" si="4"/>
        <v>0</v>
      </c>
      <c r="V24" s="127">
        <f t="shared" si="17"/>
        <v>0</v>
      </c>
      <c r="W24" s="124">
        <f t="shared" si="18"/>
        <v>0</v>
      </c>
      <c r="X24" s="128">
        <f t="shared" si="7"/>
        <v>0</v>
      </c>
      <c r="Z24" s="98">
        <v>1</v>
      </c>
      <c r="AA24" s="99"/>
      <c r="AC24" s="100">
        <f t="shared" si="14"/>
        <v>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34">SUM(E9:E24)</f>
        <v>31500000</v>
      </c>
      <c r="F25" s="132">
        <f t="shared" si="34"/>
        <v>0</v>
      </c>
      <c r="G25" s="132">
        <f t="shared" si="34"/>
        <v>0</v>
      </c>
      <c r="H25" s="132">
        <f t="shared" si="34"/>
        <v>0</v>
      </c>
      <c r="I25" s="132">
        <f t="shared" si="34"/>
        <v>0</v>
      </c>
      <c r="J25" s="132">
        <f t="shared" si="34"/>
        <v>0</v>
      </c>
      <c r="K25" s="132">
        <f t="shared" si="34"/>
        <v>0</v>
      </c>
      <c r="L25" s="132">
        <f t="shared" si="34"/>
        <v>0</v>
      </c>
      <c r="M25" s="133">
        <f t="shared" si="34"/>
        <v>0</v>
      </c>
      <c r="N25" s="131">
        <f t="shared" si="34"/>
        <v>3000000</v>
      </c>
      <c r="O25" s="134">
        <f t="shared" si="34"/>
        <v>3000000</v>
      </c>
      <c r="P25" s="135">
        <f t="shared" si="34"/>
        <v>37500000</v>
      </c>
      <c r="Q25" s="131">
        <f t="shared" si="34"/>
        <v>389250</v>
      </c>
      <c r="R25" s="132">
        <f t="shared" si="34"/>
        <v>38850</v>
      </c>
      <c r="S25" s="132">
        <f t="shared" si="34"/>
        <v>792000</v>
      </c>
      <c r="T25" s="132">
        <f t="shared" si="34"/>
        <v>1131900</v>
      </c>
      <c r="U25" s="133">
        <f t="shared" si="34"/>
        <v>130350</v>
      </c>
      <c r="V25" s="133">
        <f t="shared" si="34"/>
        <v>264000</v>
      </c>
      <c r="W25" s="135">
        <f t="shared" si="34"/>
        <v>2746350</v>
      </c>
      <c r="X25" s="136">
        <f t="shared" si="34"/>
        <v>34753650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275</v>
      </c>
      <c r="D28" s="197" t="s">
        <v>220</v>
      </c>
      <c r="E28" s="198"/>
      <c r="F28" s="204" t="s">
        <v>267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 t="s">
        <v>269</v>
      </c>
      <c r="D32" s="197" t="s">
        <v>260</v>
      </c>
      <c r="E32" s="198"/>
      <c r="F32" s="199" t="s">
        <v>270</v>
      </c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5"/>
      <c r="C34" s="147"/>
      <c r="D34" s="197"/>
      <c r="E34" s="198"/>
      <c r="F34" s="204"/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6"/>
      <c r="C35" s="122"/>
      <c r="D35" s="197"/>
      <c r="E35" s="198"/>
      <c r="F35" s="204"/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20.100000000000001" customHeight="1" x14ac:dyDescent="0.3">
      <c r="Q36" s="64"/>
      <c r="R36" s="64"/>
      <c r="S36" s="64"/>
      <c r="T36" s="64"/>
      <c r="U36" s="64"/>
      <c r="V36" s="64"/>
    </row>
    <row r="37" spans="2:22" s="64" customFormat="1" ht="20.100000000000001" customHeight="1" x14ac:dyDescent="0.3">
      <c r="B37" s="160"/>
      <c r="C37" s="160"/>
      <c r="D37" s="160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60"/>
      <c r="C38" s="160"/>
      <c r="D38" s="160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60"/>
      <c r="C39" s="160"/>
      <c r="D39" s="160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60"/>
      <c r="C40" s="160"/>
      <c r="D40" s="160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60"/>
      <c r="C41" s="160"/>
      <c r="D41" s="160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60"/>
      <c r="C42" s="160"/>
      <c r="D42" s="160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60"/>
      <c r="C43" s="160"/>
      <c r="D43" s="160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60"/>
      <c r="C44" s="160"/>
      <c r="D44" s="160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60"/>
      <c r="C45" s="160"/>
      <c r="D45" s="160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60"/>
      <c r="C46" s="160"/>
      <c r="D46" s="160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60"/>
      <c r="C47" s="160"/>
      <c r="D47" s="160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60"/>
      <c r="C48" s="160"/>
      <c r="D48" s="160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60"/>
      <c r="C49" s="160"/>
      <c r="D49" s="160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60"/>
      <c r="C50" s="160"/>
      <c r="D50" s="16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60"/>
      <c r="C51" s="160"/>
      <c r="D51" s="160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60"/>
      <c r="C52" s="160"/>
      <c r="D52" s="160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60"/>
      <c r="C53" s="160"/>
      <c r="D53" s="160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60"/>
      <c r="C54" s="160"/>
      <c r="D54" s="160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60"/>
      <c r="C55" s="160"/>
      <c r="D55" s="160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60"/>
      <c r="C56" s="160"/>
      <c r="D56" s="16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60"/>
      <c r="C57" s="160"/>
      <c r="D57" s="160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60"/>
      <c r="C58" s="160"/>
      <c r="D58" s="160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60"/>
      <c r="C59" s="160"/>
      <c r="D59" s="160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60"/>
      <c r="C60" s="160"/>
      <c r="D60" s="160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60"/>
      <c r="C61" s="160"/>
      <c r="D61" s="160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60"/>
      <c r="C62" s="160"/>
      <c r="D62" s="160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60"/>
      <c r="C63" s="160"/>
      <c r="D63" s="160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60"/>
      <c r="C64" s="160"/>
      <c r="D64" s="160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60"/>
      <c r="C65" s="160"/>
      <c r="D65" s="160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60"/>
      <c r="C66" s="160"/>
      <c r="D66" s="160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60"/>
      <c r="C67" s="160"/>
      <c r="D67" s="160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60"/>
      <c r="C68" s="160"/>
      <c r="D68" s="160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60"/>
      <c r="C69" s="160"/>
      <c r="D69" s="160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60"/>
      <c r="C70" s="160"/>
      <c r="D70" s="160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60"/>
      <c r="C71" s="160"/>
      <c r="D71" s="160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60"/>
      <c r="C72" s="160"/>
      <c r="D72" s="160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60"/>
      <c r="C73" s="160"/>
      <c r="D73" s="160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60"/>
      <c r="C74" s="160"/>
      <c r="D74" s="160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60"/>
      <c r="C75" s="160"/>
      <c r="D75" s="160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60"/>
      <c r="C76" s="160"/>
      <c r="D76" s="160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60"/>
      <c r="C77" s="160"/>
      <c r="D77" s="160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60"/>
      <c r="C78" s="160"/>
      <c r="D78" s="160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60"/>
      <c r="C79" s="160"/>
      <c r="D79" s="160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60"/>
      <c r="C80" s="160"/>
      <c r="D80" s="160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60"/>
      <c r="C81" s="160"/>
      <c r="D81" s="160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60"/>
      <c r="C82" s="160"/>
      <c r="D82" s="160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60"/>
      <c r="C83" s="160"/>
      <c r="D83" s="160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60"/>
      <c r="C84" s="160"/>
      <c r="D84" s="160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60"/>
      <c r="C85" s="160"/>
      <c r="D85" s="160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60"/>
      <c r="C86" s="160"/>
      <c r="D86" s="160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60"/>
      <c r="C87" s="160"/>
      <c r="D87" s="160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60"/>
      <c r="C88" s="160"/>
      <c r="D88" s="160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60"/>
      <c r="C89" s="160"/>
      <c r="D89" s="160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60"/>
      <c r="C90" s="160"/>
      <c r="D90" s="160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60"/>
      <c r="C91" s="160"/>
      <c r="D91" s="160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60"/>
      <c r="C92" s="160"/>
      <c r="D92" s="160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60"/>
      <c r="C93" s="160"/>
      <c r="D93" s="160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60"/>
      <c r="C94" s="160"/>
      <c r="D94" s="160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60"/>
      <c r="C95" s="160"/>
      <c r="D95" s="160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60"/>
      <c r="C96" s="160"/>
      <c r="D96" s="160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60"/>
      <c r="C97" s="160"/>
      <c r="D97" s="160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60"/>
      <c r="C98" s="160"/>
      <c r="D98" s="160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60"/>
      <c r="C99" s="160"/>
      <c r="D99" s="160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60"/>
      <c r="C100" s="160"/>
      <c r="D100" s="160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60"/>
      <c r="C101" s="160"/>
      <c r="D101" s="160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60"/>
      <c r="C102" s="160"/>
      <c r="D102" s="160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60"/>
      <c r="C103" s="160"/>
      <c r="D103" s="160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60"/>
      <c r="C104" s="160"/>
      <c r="D104" s="160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60"/>
      <c r="C105" s="160"/>
      <c r="D105" s="160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60"/>
      <c r="C106" s="160"/>
      <c r="D106" s="160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60"/>
      <c r="C107" s="160"/>
      <c r="D107" s="160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60"/>
      <c r="C108" s="160"/>
      <c r="D108" s="160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60"/>
      <c r="C109" s="160"/>
      <c r="D109" s="160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60"/>
      <c r="C110" s="160"/>
      <c r="D110" s="160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60"/>
      <c r="C111" s="160"/>
      <c r="D111" s="160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60"/>
      <c r="C112" s="160"/>
      <c r="D112" s="160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60"/>
      <c r="C113" s="160"/>
      <c r="D113" s="160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60"/>
      <c r="C114" s="160"/>
      <c r="D114" s="160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60"/>
      <c r="C115" s="160"/>
      <c r="D115" s="160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60"/>
      <c r="C116" s="160"/>
      <c r="D116" s="160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60"/>
      <c r="C117" s="160"/>
      <c r="D117" s="160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60"/>
      <c r="C118" s="160"/>
      <c r="D118" s="160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60"/>
      <c r="C119" s="160"/>
      <c r="D119" s="160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60"/>
      <c r="C120" s="160"/>
      <c r="D120" s="160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60"/>
      <c r="C121" s="160"/>
      <c r="D121" s="160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60"/>
      <c r="C122" s="160"/>
      <c r="D122" s="160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60"/>
      <c r="C123" s="160"/>
      <c r="D123" s="160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60"/>
      <c r="C124" s="160"/>
      <c r="D124" s="160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60"/>
      <c r="C125" s="160"/>
      <c r="D125" s="160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60"/>
      <c r="C126" s="160"/>
      <c r="D126" s="160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60"/>
      <c r="C127" s="160"/>
      <c r="D127" s="160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60"/>
      <c r="C128" s="160"/>
      <c r="D128" s="160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60"/>
      <c r="C129" s="160"/>
      <c r="D129" s="160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60"/>
      <c r="C130" s="160"/>
      <c r="D130" s="160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60"/>
      <c r="C131" s="160"/>
      <c r="D131" s="160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60"/>
      <c r="C132" s="160"/>
      <c r="D132" s="160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60"/>
      <c r="C133" s="160"/>
      <c r="D133" s="160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60"/>
      <c r="C134" s="160"/>
      <c r="D134" s="160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60"/>
      <c r="C135" s="160"/>
      <c r="D135" s="160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60"/>
      <c r="C136" s="160"/>
      <c r="D136" s="160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60"/>
      <c r="C137" s="160"/>
      <c r="D137" s="160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60"/>
      <c r="C138" s="160"/>
      <c r="D138" s="160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60"/>
      <c r="C139" s="160"/>
      <c r="D139" s="160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60"/>
      <c r="C140" s="160"/>
      <c r="D140" s="160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60"/>
      <c r="C141" s="160"/>
      <c r="D141" s="160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60"/>
      <c r="C142" s="160"/>
      <c r="D142" s="160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60"/>
      <c r="C143" s="160"/>
      <c r="D143" s="160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60"/>
      <c r="C144" s="160"/>
      <c r="D144" s="160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60"/>
      <c r="C145" s="160"/>
      <c r="D145" s="160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60"/>
      <c r="C146" s="160"/>
      <c r="D146" s="160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60"/>
      <c r="C147" s="160"/>
      <c r="D147" s="160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60"/>
      <c r="C148" s="160"/>
      <c r="D148" s="160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60"/>
      <c r="C149" s="160"/>
      <c r="D149" s="160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60"/>
      <c r="C150" s="160"/>
      <c r="D150" s="160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60"/>
      <c r="C151" s="160"/>
      <c r="D151" s="160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60"/>
      <c r="C152" s="160"/>
      <c r="D152" s="160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60"/>
      <c r="C153" s="160"/>
      <c r="D153" s="160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60"/>
      <c r="C154" s="160"/>
      <c r="D154" s="160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60"/>
      <c r="C155" s="160"/>
      <c r="D155" s="160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60"/>
      <c r="C156" s="160"/>
      <c r="D156" s="160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60"/>
      <c r="C157" s="160"/>
      <c r="D157" s="160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60"/>
      <c r="C158" s="160"/>
      <c r="D158" s="160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60"/>
      <c r="C159" s="160"/>
      <c r="D159" s="160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60"/>
      <c r="C160" s="160"/>
      <c r="D160" s="160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60"/>
      <c r="C161" s="160"/>
      <c r="D161" s="160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60"/>
      <c r="C162" s="160"/>
      <c r="D162" s="160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60"/>
      <c r="C163" s="160"/>
      <c r="D163" s="160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60"/>
      <c r="C164" s="160"/>
      <c r="D164" s="160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60"/>
      <c r="C165" s="160"/>
      <c r="D165" s="160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60"/>
      <c r="C166" s="160"/>
      <c r="D166" s="160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60"/>
      <c r="C167" s="160"/>
      <c r="D167" s="160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60"/>
      <c r="C168" s="160"/>
      <c r="D168" s="160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60"/>
      <c r="C169" s="160"/>
      <c r="D169" s="160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60"/>
      <c r="C170" s="160"/>
      <c r="D170" s="160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60"/>
      <c r="C171" s="160"/>
      <c r="D171" s="160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60"/>
      <c r="C172" s="160"/>
      <c r="D172" s="160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60"/>
      <c r="C173" s="160"/>
      <c r="D173" s="160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60"/>
      <c r="C174" s="160"/>
      <c r="D174" s="160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60"/>
      <c r="C175" s="160"/>
      <c r="D175" s="160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60"/>
      <c r="C176" s="160"/>
      <c r="D176" s="160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60"/>
      <c r="C177" s="160"/>
      <c r="D177" s="160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60"/>
      <c r="C178" s="160"/>
      <c r="D178" s="160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60"/>
      <c r="C179" s="160"/>
      <c r="D179" s="160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60"/>
      <c r="C180" s="160"/>
      <c r="D180" s="160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60"/>
      <c r="C181" s="160"/>
      <c r="D181" s="160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60"/>
      <c r="C182" s="160"/>
      <c r="D182" s="160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60"/>
      <c r="C183" s="160"/>
      <c r="D183" s="160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60"/>
      <c r="C184" s="160"/>
      <c r="D184" s="160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60"/>
      <c r="C185" s="160"/>
      <c r="D185" s="160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60"/>
      <c r="C186" s="160"/>
      <c r="D186" s="160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60"/>
      <c r="C187" s="160"/>
      <c r="D187" s="160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60"/>
      <c r="C188" s="160"/>
      <c r="D188" s="160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60"/>
      <c r="C189" s="160"/>
      <c r="D189" s="160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60"/>
      <c r="C190" s="160"/>
      <c r="D190" s="160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60"/>
      <c r="C191" s="160"/>
      <c r="D191" s="160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60"/>
      <c r="C192" s="160"/>
      <c r="D192" s="160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60"/>
      <c r="C193" s="160"/>
      <c r="D193" s="160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60"/>
      <c r="C194" s="160"/>
      <c r="D194" s="160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60"/>
      <c r="C195" s="160"/>
      <c r="D195" s="160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60"/>
      <c r="C196" s="160"/>
      <c r="D196" s="160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60"/>
      <c r="C197" s="160"/>
      <c r="D197" s="160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60"/>
      <c r="C198" s="160"/>
      <c r="D198" s="160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60"/>
      <c r="C199" s="160"/>
      <c r="D199" s="160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60"/>
      <c r="C200" s="160"/>
      <c r="D200" s="160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60"/>
      <c r="C201" s="160"/>
      <c r="D201" s="160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60"/>
      <c r="C202" s="160"/>
      <c r="D202" s="160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60"/>
      <c r="C203" s="160"/>
      <c r="D203" s="160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60"/>
      <c r="C204" s="160"/>
      <c r="D204" s="160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60"/>
      <c r="C205" s="160"/>
      <c r="D205" s="160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60"/>
      <c r="C206" s="160"/>
      <c r="D206" s="160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60"/>
      <c r="C207" s="160"/>
      <c r="D207" s="160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60"/>
      <c r="C208" s="160"/>
      <c r="D208" s="160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60"/>
      <c r="C209" s="160"/>
      <c r="D209" s="160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60"/>
      <c r="C210" s="160"/>
      <c r="D210" s="160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60"/>
      <c r="C211" s="160"/>
      <c r="D211" s="160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60"/>
      <c r="C212" s="160"/>
      <c r="D212" s="160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60"/>
      <c r="C213" s="160"/>
      <c r="D213" s="160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60"/>
      <c r="C214" s="160"/>
      <c r="D214" s="160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60"/>
      <c r="C215" s="160"/>
      <c r="D215" s="160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60"/>
      <c r="C216" s="160"/>
      <c r="D216" s="160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60"/>
      <c r="C217" s="160"/>
      <c r="D217" s="160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60"/>
      <c r="C218" s="160"/>
      <c r="D218" s="160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60"/>
      <c r="C219" s="160"/>
      <c r="D219" s="160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60"/>
      <c r="C220" s="160"/>
      <c r="D220" s="160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60"/>
      <c r="C221" s="160"/>
      <c r="D221" s="160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60"/>
      <c r="C222" s="160"/>
      <c r="D222" s="160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60"/>
      <c r="C223" s="160"/>
      <c r="D223" s="160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60"/>
      <c r="C224" s="160"/>
      <c r="D224" s="160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60"/>
      <c r="C225" s="160"/>
      <c r="D225" s="160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60"/>
      <c r="C226" s="160"/>
      <c r="D226" s="160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60"/>
      <c r="C227" s="160"/>
      <c r="D227" s="160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60"/>
      <c r="C228" s="160"/>
      <c r="D228" s="160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60"/>
      <c r="C229" s="160"/>
      <c r="D229" s="160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60"/>
      <c r="C230" s="160"/>
      <c r="D230" s="160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60"/>
      <c r="C231" s="160"/>
      <c r="D231" s="160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60"/>
      <c r="C232" s="160"/>
      <c r="D232" s="160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60"/>
      <c r="C233" s="160"/>
      <c r="D233" s="160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60"/>
      <c r="C234" s="160"/>
      <c r="D234" s="160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60"/>
      <c r="C235" s="160"/>
      <c r="D235" s="160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60"/>
      <c r="C236" s="160"/>
      <c r="D236" s="160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60"/>
      <c r="C237" s="160"/>
      <c r="D237" s="160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60"/>
      <c r="C238" s="160"/>
      <c r="D238" s="160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60"/>
      <c r="C239" s="160"/>
      <c r="D239" s="160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60"/>
      <c r="C240" s="160"/>
      <c r="D240" s="160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60"/>
      <c r="C241" s="160"/>
      <c r="D241" s="160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60"/>
      <c r="C242" s="160"/>
      <c r="D242" s="160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60"/>
      <c r="C243" s="160"/>
      <c r="D243" s="160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60"/>
      <c r="C244" s="160"/>
      <c r="D244" s="160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60"/>
      <c r="C245" s="160"/>
      <c r="D245" s="160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60"/>
      <c r="C246" s="160"/>
      <c r="D246" s="160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60"/>
      <c r="C247" s="160"/>
      <c r="D247" s="160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60"/>
      <c r="C248" s="160"/>
      <c r="D248" s="160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60"/>
      <c r="C249" s="160"/>
      <c r="D249" s="160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60"/>
      <c r="C250" s="160"/>
      <c r="D250" s="160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60"/>
      <c r="C251" s="160"/>
      <c r="D251" s="160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60"/>
      <c r="C252" s="160"/>
      <c r="D252" s="160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60"/>
      <c r="C253" s="160"/>
      <c r="D253" s="160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60"/>
      <c r="C254" s="160"/>
      <c r="D254" s="160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60"/>
      <c r="C255" s="160"/>
      <c r="D255" s="160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60"/>
      <c r="C256" s="160"/>
      <c r="D256" s="160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60"/>
      <c r="C257" s="160"/>
      <c r="D257" s="160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60"/>
      <c r="C258" s="160"/>
      <c r="D258" s="160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60"/>
      <c r="C259" s="160"/>
      <c r="D259" s="160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60"/>
      <c r="C260" s="160"/>
      <c r="D260" s="160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60"/>
      <c r="C261" s="160"/>
      <c r="D261" s="160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60"/>
      <c r="C262" s="160"/>
      <c r="D262" s="160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60"/>
      <c r="C263" s="160"/>
      <c r="D263" s="160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60"/>
      <c r="C264" s="160"/>
      <c r="D264" s="160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60"/>
      <c r="C265" s="160"/>
      <c r="D265" s="160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60"/>
      <c r="C266" s="160"/>
      <c r="D266" s="160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60"/>
      <c r="C267" s="160"/>
      <c r="D267" s="160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60"/>
      <c r="C268" s="160"/>
      <c r="D268" s="160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60"/>
      <c r="C269" s="160"/>
      <c r="D269" s="160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60"/>
      <c r="C270" s="160"/>
      <c r="D270" s="160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60"/>
      <c r="C271" s="160"/>
      <c r="D271" s="160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60"/>
      <c r="C272" s="160"/>
      <c r="D272" s="160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60"/>
      <c r="C273" s="160"/>
      <c r="D273" s="160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60"/>
      <c r="C274" s="160"/>
      <c r="D274" s="160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60"/>
      <c r="C275" s="160"/>
      <c r="D275" s="160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60"/>
      <c r="C276" s="160"/>
      <c r="D276" s="160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60"/>
      <c r="C277" s="160"/>
      <c r="D277" s="160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60"/>
      <c r="C278" s="160"/>
      <c r="D278" s="160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60"/>
      <c r="C279" s="160"/>
      <c r="D279" s="160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60"/>
      <c r="C280" s="160"/>
      <c r="D280" s="160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60"/>
      <c r="C281" s="160"/>
      <c r="D281" s="160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60"/>
      <c r="C282" s="160"/>
      <c r="D282" s="160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60"/>
      <c r="C283" s="160"/>
      <c r="D283" s="160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B32:B35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  <mergeCell ref="D31:E31"/>
    <mergeCell ref="F31:G31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topLeftCell="A10" workbookViewId="0">
      <selection activeCell="H23" sqref="H23"/>
    </sheetView>
  </sheetViews>
  <sheetFormatPr defaultRowHeight="13.5" x14ac:dyDescent="0.3"/>
  <cols>
    <col min="1" max="1" width="1.625" style="162" customWidth="1"/>
    <col min="2" max="2" width="4.625" style="162" bestFit="1" customWidth="1"/>
    <col min="3" max="3" width="7.625" style="162" bestFit="1" customWidth="1"/>
    <col min="4" max="4" width="8" style="162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62" customWidth="1"/>
    <col min="26" max="26" width="8.375" style="162" customWidth="1"/>
    <col min="27" max="27" width="7.25" style="162" customWidth="1"/>
    <col min="28" max="28" width="3.875" style="162" customWidth="1"/>
    <col min="29" max="29" width="0.5" style="162" customWidth="1"/>
    <col min="30" max="257" width="9" style="162"/>
    <col min="258" max="258" width="4.625" style="162" bestFit="1" customWidth="1"/>
    <col min="259" max="259" width="7.5" style="162" bestFit="1" customWidth="1"/>
    <col min="260" max="260" width="6.25" style="162" customWidth="1"/>
    <col min="261" max="261" width="11" style="162" bestFit="1" customWidth="1"/>
    <col min="262" max="263" width="9.625" style="162" bestFit="1" customWidth="1"/>
    <col min="264" max="264" width="8.25" style="162" bestFit="1" customWidth="1"/>
    <col min="265" max="266" width="9.625" style="162" bestFit="1" customWidth="1"/>
    <col min="267" max="267" width="8.25" style="162" bestFit="1" customWidth="1"/>
    <col min="268" max="269" width="9.625" style="162" bestFit="1" customWidth="1"/>
    <col min="270" max="271" width="8.25" style="162" bestFit="1" customWidth="1"/>
    <col min="272" max="272" width="11" style="162" bestFit="1" customWidth="1"/>
    <col min="273" max="273" width="8" style="162" bestFit="1" customWidth="1"/>
    <col min="274" max="274" width="7.75" style="162" bestFit="1" customWidth="1"/>
    <col min="275" max="276" width="9.625" style="162" bestFit="1" customWidth="1"/>
    <col min="277" max="278" width="9.625" style="162" customWidth="1"/>
    <col min="279" max="279" width="9.25" style="162" bestFit="1" customWidth="1"/>
    <col min="280" max="280" width="11" style="162" bestFit="1" customWidth="1"/>
    <col min="281" max="513" width="9" style="162"/>
    <col min="514" max="514" width="4.625" style="162" bestFit="1" customWidth="1"/>
    <col min="515" max="515" width="7.5" style="162" bestFit="1" customWidth="1"/>
    <col min="516" max="516" width="6.25" style="162" customWidth="1"/>
    <col min="517" max="517" width="11" style="162" bestFit="1" customWidth="1"/>
    <col min="518" max="519" width="9.625" style="162" bestFit="1" customWidth="1"/>
    <col min="520" max="520" width="8.25" style="162" bestFit="1" customWidth="1"/>
    <col min="521" max="522" width="9.625" style="162" bestFit="1" customWidth="1"/>
    <col min="523" max="523" width="8.25" style="162" bestFit="1" customWidth="1"/>
    <col min="524" max="525" width="9.625" style="162" bestFit="1" customWidth="1"/>
    <col min="526" max="527" width="8.25" style="162" bestFit="1" customWidth="1"/>
    <col min="528" max="528" width="11" style="162" bestFit="1" customWidth="1"/>
    <col min="529" max="529" width="8" style="162" bestFit="1" customWidth="1"/>
    <col min="530" max="530" width="7.75" style="162" bestFit="1" customWidth="1"/>
    <col min="531" max="532" width="9.625" style="162" bestFit="1" customWidth="1"/>
    <col min="533" max="534" width="9.625" style="162" customWidth="1"/>
    <col min="535" max="535" width="9.25" style="162" bestFit="1" customWidth="1"/>
    <col min="536" max="536" width="11" style="162" bestFit="1" customWidth="1"/>
    <col min="537" max="769" width="9" style="162"/>
    <col min="770" max="770" width="4.625" style="162" bestFit="1" customWidth="1"/>
    <col min="771" max="771" width="7.5" style="162" bestFit="1" customWidth="1"/>
    <col min="772" max="772" width="6.25" style="162" customWidth="1"/>
    <col min="773" max="773" width="11" style="162" bestFit="1" customWidth="1"/>
    <col min="774" max="775" width="9.625" style="162" bestFit="1" customWidth="1"/>
    <col min="776" max="776" width="8.25" style="162" bestFit="1" customWidth="1"/>
    <col min="777" max="778" width="9.625" style="162" bestFit="1" customWidth="1"/>
    <col min="779" max="779" width="8.25" style="162" bestFit="1" customWidth="1"/>
    <col min="780" max="781" width="9.625" style="162" bestFit="1" customWidth="1"/>
    <col min="782" max="783" width="8.25" style="162" bestFit="1" customWidth="1"/>
    <col min="784" max="784" width="11" style="162" bestFit="1" customWidth="1"/>
    <col min="785" max="785" width="8" style="162" bestFit="1" customWidth="1"/>
    <col min="786" max="786" width="7.75" style="162" bestFit="1" customWidth="1"/>
    <col min="787" max="788" width="9.625" style="162" bestFit="1" customWidth="1"/>
    <col min="789" max="790" width="9.625" style="162" customWidth="1"/>
    <col min="791" max="791" width="9.25" style="162" bestFit="1" customWidth="1"/>
    <col min="792" max="792" width="11" style="162" bestFit="1" customWidth="1"/>
    <col min="793" max="1025" width="9" style="162"/>
    <col min="1026" max="1026" width="4.625" style="162" bestFit="1" customWidth="1"/>
    <col min="1027" max="1027" width="7.5" style="162" bestFit="1" customWidth="1"/>
    <col min="1028" max="1028" width="6.25" style="162" customWidth="1"/>
    <col min="1029" max="1029" width="11" style="162" bestFit="1" customWidth="1"/>
    <col min="1030" max="1031" width="9.625" style="162" bestFit="1" customWidth="1"/>
    <col min="1032" max="1032" width="8.25" style="162" bestFit="1" customWidth="1"/>
    <col min="1033" max="1034" width="9.625" style="162" bestFit="1" customWidth="1"/>
    <col min="1035" max="1035" width="8.25" style="162" bestFit="1" customWidth="1"/>
    <col min="1036" max="1037" width="9.625" style="162" bestFit="1" customWidth="1"/>
    <col min="1038" max="1039" width="8.25" style="162" bestFit="1" customWidth="1"/>
    <col min="1040" max="1040" width="11" style="162" bestFit="1" customWidth="1"/>
    <col min="1041" max="1041" width="8" style="162" bestFit="1" customWidth="1"/>
    <col min="1042" max="1042" width="7.75" style="162" bestFit="1" customWidth="1"/>
    <col min="1043" max="1044" width="9.625" style="162" bestFit="1" customWidth="1"/>
    <col min="1045" max="1046" width="9.625" style="162" customWidth="1"/>
    <col min="1047" max="1047" width="9.25" style="162" bestFit="1" customWidth="1"/>
    <col min="1048" max="1048" width="11" style="162" bestFit="1" customWidth="1"/>
    <col min="1049" max="1281" width="9" style="162"/>
    <col min="1282" max="1282" width="4.625" style="162" bestFit="1" customWidth="1"/>
    <col min="1283" max="1283" width="7.5" style="162" bestFit="1" customWidth="1"/>
    <col min="1284" max="1284" width="6.25" style="162" customWidth="1"/>
    <col min="1285" max="1285" width="11" style="162" bestFit="1" customWidth="1"/>
    <col min="1286" max="1287" width="9.625" style="162" bestFit="1" customWidth="1"/>
    <col min="1288" max="1288" width="8.25" style="162" bestFit="1" customWidth="1"/>
    <col min="1289" max="1290" width="9.625" style="162" bestFit="1" customWidth="1"/>
    <col min="1291" max="1291" width="8.25" style="162" bestFit="1" customWidth="1"/>
    <col min="1292" max="1293" width="9.625" style="162" bestFit="1" customWidth="1"/>
    <col min="1294" max="1295" width="8.25" style="162" bestFit="1" customWidth="1"/>
    <col min="1296" max="1296" width="11" style="162" bestFit="1" customWidth="1"/>
    <col min="1297" max="1297" width="8" style="162" bestFit="1" customWidth="1"/>
    <col min="1298" max="1298" width="7.75" style="162" bestFit="1" customWidth="1"/>
    <col min="1299" max="1300" width="9.625" style="162" bestFit="1" customWidth="1"/>
    <col min="1301" max="1302" width="9.625" style="162" customWidth="1"/>
    <col min="1303" max="1303" width="9.25" style="162" bestFit="1" customWidth="1"/>
    <col min="1304" max="1304" width="11" style="162" bestFit="1" customWidth="1"/>
    <col min="1305" max="1537" width="9" style="162"/>
    <col min="1538" max="1538" width="4.625" style="162" bestFit="1" customWidth="1"/>
    <col min="1539" max="1539" width="7.5" style="162" bestFit="1" customWidth="1"/>
    <col min="1540" max="1540" width="6.25" style="162" customWidth="1"/>
    <col min="1541" max="1541" width="11" style="162" bestFit="1" customWidth="1"/>
    <col min="1542" max="1543" width="9.625" style="162" bestFit="1" customWidth="1"/>
    <col min="1544" max="1544" width="8.25" style="162" bestFit="1" customWidth="1"/>
    <col min="1545" max="1546" width="9.625" style="162" bestFit="1" customWidth="1"/>
    <col min="1547" max="1547" width="8.25" style="162" bestFit="1" customWidth="1"/>
    <col min="1548" max="1549" width="9.625" style="162" bestFit="1" customWidth="1"/>
    <col min="1550" max="1551" width="8.25" style="162" bestFit="1" customWidth="1"/>
    <col min="1552" max="1552" width="11" style="162" bestFit="1" customWidth="1"/>
    <col min="1553" max="1553" width="8" style="162" bestFit="1" customWidth="1"/>
    <col min="1554" max="1554" width="7.75" style="162" bestFit="1" customWidth="1"/>
    <col min="1555" max="1556" width="9.625" style="162" bestFit="1" customWidth="1"/>
    <col min="1557" max="1558" width="9.625" style="162" customWidth="1"/>
    <col min="1559" max="1559" width="9.25" style="162" bestFit="1" customWidth="1"/>
    <col min="1560" max="1560" width="11" style="162" bestFit="1" customWidth="1"/>
    <col min="1561" max="1793" width="9" style="162"/>
    <col min="1794" max="1794" width="4.625" style="162" bestFit="1" customWidth="1"/>
    <col min="1795" max="1795" width="7.5" style="162" bestFit="1" customWidth="1"/>
    <col min="1796" max="1796" width="6.25" style="162" customWidth="1"/>
    <col min="1797" max="1797" width="11" style="162" bestFit="1" customWidth="1"/>
    <col min="1798" max="1799" width="9.625" style="162" bestFit="1" customWidth="1"/>
    <col min="1800" max="1800" width="8.25" style="162" bestFit="1" customWidth="1"/>
    <col min="1801" max="1802" width="9.625" style="162" bestFit="1" customWidth="1"/>
    <col min="1803" max="1803" width="8.25" style="162" bestFit="1" customWidth="1"/>
    <col min="1804" max="1805" width="9.625" style="162" bestFit="1" customWidth="1"/>
    <col min="1806" max="1807" width="8.25" style="162" bestFit="1" customWidth="1"/>
    <col min="1808" max="1808" width="11" style="162" bestFit="1" customWidth="1"/>
    <col min="1809" max="1809" width="8" style="162" bestFit="1" customWidth="1"/>
    <col min="1810" max="1810" width="7.75" style="162" bestFit="1" customWidth="1"/>
    <col min="1811" max="1812" width="9.625" style="162" bestFit="1" customWidth="1"/>
    <col min="1813" max="1814" width="9.625" style="162" customWidth="1"/>
    <col min="1815" max="1815" width="9.25" style="162" bestFit="1" customWidth="1"/>
    <col min="1816" max="1816" width="11" style="162" bestFit="1" customWidth="1"/>
    <col min="1817" max="2049" width="9" style="162"/>
    <col min="2050" max="2050" width="4.625" style="162" bestFit="1" customWidth="1"/>
    <col min="2051" max="2051" width="7.5" style="162" bestFit="1" customWidth="1"/>
    <col min="2052" max="2052" width="6.25" style="162" customWidth="1"/>
    <col min="2053" max="2053" width="11" style="162" bestFit="1" customWidth="1"/>
    <col min="2054" max="2055" width="9.625" style="162" bestFit="1" customWidth="1"/>
    <col min="2056" max="2056" width="8.25" style="162" bestFit="1" customWidth="1"/>
    <col min="2057" max="2058" width="9.625" style="162" bestFit="1" customWidth="1"/>
    <col min="2059" max="2059" width="8.25" style="162" bestFit="1" customWidth="1"/>
    <col min="2060" max="2061" width="9.625" style="162" bestFit="1" customWidth="1"/>
    <col min="2062" max="2063" width="8.25" style="162" bestFit="1" customWidth="1"/>
    <col min="2064" max="2064" width="11" style="162" bestFit="1" customWidth="1"/>
    <col min="2065" max="2065" width="8" style="162" bestFit="1" customWidth="1"/>
    <col min="2066" max="2066" width="7.75" style="162" bestFit="1" customWidth="1"/>
    <col min="2067" max="2068" width="9.625" style="162" bestFit="1" customWidth="1"/>
    <col min="2069" max="2070" width="9.625" style="162" customWidth="1"/>
    <col min="2071" max="2071" width="9.25" style="162" bestFit="1" customWidth="1"/>
    <col min="2072" max="2072" width="11" style="162" bestFit="1" customWidth="1"/>
    <col min="2073" max="2305" width="9" style="162"/>
    <col min="2306" max="2306" width="4.625" style="162" bestFit="1" customWidth="1"/>
    <col min="2307" max="2307" width="7.5" style="162" bestFit="1" customWidth="1"/>
    <col min="2308" max="2308" width="6.25" style="162" customWidth="1"/>
    <col min="2309" max="2309" width="11" style="162" bestFit="1" customWidth="1"/>
    <col min="2310" max="2311" width="9.625" style="162" bestFit="1" customWidth="1"/>
    <col min="2312" max="2312" width="8.25" style="162" bestFit="1" customWidth="1"/>
    <col min="2313" max="2314" width="9.625" style="162" bestFit="1" customWidth="1"/>
    <col min="2315" max="2315" width="8.25" style="162" bestFit="1" customWidth="1"/>
    <col min="2316" max="2317" width="9.625" style="162" bestFit="1" customWidth="1"/>
    <col min="2318" max="2319" width="8.25" style="162" bestFit="1" customWidth="1"/>
    <col min="2320" max="2320" width="11" style="162" bestFit="1" customWidth="1"/>
    <col min="2321" max="2321" width="8" style="162" bestFit="1" customWidth="1"/>
    <col min="2322" max="2322" width="7.75" style="162" bestFit="1" customWidth="1"/>
    <col min="2323" max="2324" width="9.625" style="162" bestFit="1" customWidth="1"/>
    <col min="2325" max="2326" width="9.625" style="162" customWidth="1"/>
    <col min="2327" max="2327" width="9.25" style="162" bestFit="1" customWidth="1"/>
    <col min="2328" max="2328" width="11" style="162" bestFit="1" customWidth="1"/>
    <col min="2329" max="2561" width="9" style="162"/>
    <col min="2562" max="2562" width="4.625" style="162" bestFit="1" customWidth="1"/>
    <col min="2563" max="2563" width="7.5" style="162" bestFit="1" customWidth="1"/>
    <col min="2564" max="2564" width="6.25" style="162" customWidth="1"/>
    <col min="2565" max="2565" width="11" style="162" bestFit="1" customWidth="1"/>
    <col min="2566" max="2567" width="9.625" style="162" bestFit="1" customWidth="1"/>
    <col min="2568" max="2568" width="8.25" style="162" bestFit="1" customWidth="1"/>
    <col min="2569" max="2570" width="9.625" style="162" bestFit="1" customWidth="1"/>
    <col min="2571" max="2571" width="8.25" style="162" bestFit="1" customWidth="1"/>
    <col min="2572" max="2573" width="9.625" style="162" bestFit="1" customWidth="1"/>
    <col min="2574" max="2575" width="8.25" style="162" bestFit="1" customWidth="1"/>
    <col min="2576" max="2576" width="11" style="162" bestFit="1" customWidth="1"/>
    <col min="2577" max="2577" width="8" style="162" bestFit="1" customWidth="1"/>
    <col min="2578" max="2578" width="7.75" style="162" bestFit="1" customWidth="1"/>
    <col min="2579" max="2580" width="9.625" style="162" bestFit="1" customWidth="1"/>
    <col min="2581" max="2582" width="9.625" style="162" customWidth="1"/>
    <col min="2583" max="2583" width="9.25" style="162" bestFit="1" customWidth="1"/>
    <col min="2584" max="2584" width="11" style="162" bestFit="1" customWidth="1"/>
    <col min="2585" max="2817" width="9" style="162"/>
    <col min="2818" max="2818" width="4.625" style="162" bestFit="1" customWidth="1"/>
    <col min="2819" max="2819" width="7.5" style="162" bestFit="1" customWidth="1"/>
    <col min="2820" max="2820" width="6.25" style="162" customWidth="1"/>
    <col min="2821" max="2821" width="11" style="162" bestFit="1" customWidth="1"/>
    <col min="2822" max="2823" width="9.625" style="162" bestFit="1" customWidth="1"/>
    <col min="2824" max="2824" width="8.25" style="162" bestFit="1" customWidth="1"/>
    <col min="2825" max="2826" width="9.625" style="162" bestFit="1" customWidth="1"/>
    <col min="2827" max="2827" width="8.25" style="162" bestFit="1" customWidth="1"/>
    <col min="2828" max="2829" width="9.625" style="162" bestFit="1" customWidth="1"/>
    <col min="2830" max="2831" width="8.25" style="162" bestFit="1" customWidth="1"/>
    <col min="2832" max="2832" width="11" style="162" bestFit="1" customWidth="1"/>
    <col min="2833" max="2833" width="8" style="162" bestFit="1" customWidth="1"/>
    <col min="2834" max="2834" width="7.75" style="162" bestFit="1" customWidth="1"/>
    <col min="2835" max="2836" width="9.625" style="162" bestFit="1" customWidth="1"/>
    <col min="2837" max="2838" width="9.625" style="162" customWidth="1"/>
    <col min="2839" max="2839" width="9.25" style="162" bestFit="1" customWidth="1"/>
    <col min="2840" max="2840" width="11" style="162" bestFit="1" customWidth="1"/>
    <col min="2841" max="3073" width="9" style="162"/>
    <col min="3074" max="3074" width="4.625" style="162" bestFit="1" customWidth="1"/>
    <col min="3075" max="3075" width="7.5" style="162" bestFit="1" customWidth="1"/>
    <col min="3076" max="3076" width="6.25" style="162" customWidth="1"/>
    <col min="3077" max="3077" width="11" style="162" bestFit="1" customWidth="1"/>
    <col min="3078" max="3079" width="9.625" style="162" bestFit="1" customWidth="1"/>
    <col min="3080" max="3080" width="8.25" style="162" bestFit="1" customWidth="1"/>
    <col min="3081" max="3082" width="9.625" style="162" bestFit="1" customWidth="1"/>
    <col min="3083" max="3083" width="8.25" style="162" bestFit="1" customWidth="1"/>
    <col min="3084" max="3085" width="9.625" style="162" bestFit="1" customWidth="1"/>
    <col min="3086" max="3087" width="8.25" style="162" bestFit="1" customWidth="1"/>
    <col min="3088" max="3088" width="11" style="162" bestFit="1" customWidth="1"/>
    <col min="3089" max="3089" width="8" style="162" bestFit="1" customWidth="1"/>
    <col min="3090" max="3090" width="7.75" style="162" bestFit="1" customWidth="1"/>
    <col min="3091" max="3092" width="9.625" style="162" bestFit="1" customWidth="1"/>
    <col min="3093" max="3094" width="9.625" style="162" customWidth="1"/>
    <col min="3095" max="3095" width="9.25" style="162" bestFit="1" customWidth="1"/>
    <col min="3096" max="3096" width="11" style="162" bestFit="1" customWidth="1"/>
    <col min="3097" max="3329" width="9" style="162"/>
    <col min="3330" max="3330" width="4.625" style="162" bestFit="1" customWidth="1"/>
    <col min="3331" max="3331" width="7.5" style="162" bestFit="1" customWidth="1"/>
    <col min="3332" max="3332" width="6.25" style="162" customWidth="1"/>
    <col min="3333" max="3333" width="11" style="162" bestFit="1" customWidth="1"/>
    <col min="3334" max="3335" width="9.625" style="162" bestFit="1" customWidth="1"/>
    <col min="3336" max="3336" width="8.25" style="162" bestFit="1" customWidth="1"/>
    <col min="3337" max="3338" width="9.625" style="162" bestFit="1" customWidth="1"/>
    <col min="3339" max="3339" width="8.25" style="162" bestFit="1" customWidth="1"/>
    <col min="3340" max="3341" width="9.625" style="162" bestFit="1" customWidth="1"/>
    <col min="3342" max="3343" width="8.25" style="162" bestFit="1" customWidth="1"/>
    <col min="3344" max="3344" width="11" style="162" bestFit="1" customWidth="1"/>
    <col min="3345" max="3345" width="8" style="162" bestFit="1" customWidth="1"/>
    <col min="3346" max="3346" width="7.75" style="162" bestFit="1" customWidth="1"/>
    <col min="3347" max="3348" width="9.625" style="162" bestFit="1" customWidth="1"/>
    <col min="3349" max="3350" width="9.625" style="162" customWidth="1"/>
    <col min="3351" max="3351" width="9.25" style="162" bestFit="1" customWidth="1"/>
    <col min="3352" max="3352" width="11" style="162" bestFit="1" customWidth="1"/>
    <col min="3353" max="3585" width="9" style="162"/>
    <col min="3586" max="3586" width="4.625" style="162" bestFit="1" customWidth="1"/>
    <col min="3587" max="3587" width="7.5" style="162" bestFit="1" customWidth="1"/>
    <col min="3588" max="3588" width="6.25" style="162" customWidth="1"/>
    <col min="3589" max="3589" width="11" style="162" bestFit="1" customWidth="1"/>
    <col min="3590" max="3591" width="9.625" style="162" bestFit="1" customWidth="1"/>
    <col min="3592" max="3592" width="8.25" style="162" bestFit="1" customWidth="1"/>
    <col min="3593" max="3594" width="9.625" style="162" bestFit="1" customWidth="1"/>
    <col min="3595" max="3595" width="8.25" style="162" bestFit="1" customWidth="1"/>
    <col min="3596" max="3597" width="9.625" style="162" bestFit="1" customWidth="1"/>
    <col min="3598" max="3599" width="8.25" style="162" bestFit="1" customWidth="1"/>
    <col min="3600" max="3600" width="11" style="162" bestFit="1" customWidth="1"/>
    <col min="3601" max="3601" width="8" style="162" bestFit="1" customWidth="1"/>
    <col min="3602" max="3602" width="7.75" style="162" bestFit="1" customWidth="1"/>
    <col min="3603" max="3604" width="9.625" style="162" bestFit="1" customWidth="1"/>
    <col min="3605" max="3606" width="9.625" style="162" customWidth="1"/>
    <col min="3607" max="3607" width="9.25" style="162" bestFit="1" customWidth="1"/>
    <col min="3608" max="3608" width="11" style="162" bestFit="1" customWidth="1"/>
    <col min="3609" max="3841" width="9" style="162"/>
    <col min="3842" max="3842" width="4.625" style="162" bestFit="1" customWidth="1"/>
    <col min="3843" max="3843" width="7.5" style="162" bestFit="1" customWidth="1"/>
    <col min="3844" max="3844" width="6.25" style="162" customWidth="1"/>
    <col min="3845" max="3845" width="11" style="162" bestFit="1" customWidth="1"/>
    <col min="3846" max="3847" width="9.625" style="162" bestFit="1" customWidth="1"/>
    <col min="3848" max="3848" width="8.25" style="162" bestFit="1" customWidth="1"/>
    <col min="3849" max="3850" width="9.625" style="162" bestFit="1" customWidth="1"/>
    <col min="3851" max="3851" width="8.25" style="162" bestFit="1" customWidth="1"/>
    <col min="3852" max="3853" width="9.625" style="162" bestFit="1" customWidth="1"/>
    <col min="3854" max="3855" width="8.25" style="162" bestFit="1" customWidth="1"/>
    <col min="3856" max="3856" width="11" style="162" bestFit="1" customWidth="1"/>
    <col min="3857" max="3857" width="8" style="162" bestFit="1" customWidth="1"/>
    <col min="3858" max="3858" width="7.75" style="162" bestFit="1" customWidth="1"/>
    <col min="3859" max="3860" width="9.625" style="162" bestFit="1" customWidth="1"/>
    <col min="3861" max="3862" width="9.625" style="162" customWidth="1"/>
    <col min="3863" max="3863" width="9.25" style="162" bestFit="1" customWidth="1"/>
    <col min="3864" max="3864" width="11" style="162" bestFit="1" customWidth="1"/>
    <col min="3865" max="4097" width="9" style="162"/>
    <col min="4098" max="4098" width="4.625" style="162" bestFit="1" customWidth="1"/>
    <col min="4099" max="4099" width="7.5" style="162" bestFit="1" customWidth="1"/>
    <col min="4100" max="4100" width="6.25" style="162" customWidth="1"/>
    <col min="4101" max="4101" width="11" style="162" bestFit="1" customWidth="1"/>
    <col min="4102" max="4103" width="9.625" style="162" bestFit="1" customWidth="1"/>
    <col min="4104" max="4104" width="8.25" style="162" bestFit="1" customWidth="1"/>
    <col min="4105" max="4106" width="9.625" style="162" bestFit="1" customWidth="1"/>
    <col min="4107" max="4107" width="8.25" style="162" bestFit="1" customWidth="1"/>
    <col min="4108" max="4109" width="9.625" style="162" bestFit="1" customWidth="1"/>
    <col min="4110" max="4111" width="8.25" style="162" bestFit="1" customWidth="1"/>
    <col min="4112" max="4112" width="11" style="162" bestFit="1" customWidth="1"/>
    <col min="4113" max="4113" width="8" style="162" bestFit="1" customWidth="1"/>
    <col min="4114" max="4114" width="7.75" style="162" bestFit="1" customWidth="1"/>
    <col min="4115" max="4116" width="9.625" style="162" bestFit="1" customWidth="1"/>
    <col min="4117" max="4118" width="9.625" style="162" customWidth="1"/>
    <col min="4119" max="4119" width="9.25" style="162" bestFit="1" customWidth="1"/>
    <col min="4120" max="4120" width="11" style="162" bestFit="1" customWidth="1"/>
    <col min="4121" max="4353" width="9" style="162"/>
    <col min="4354" max="4354" width="4.625" style="162" bestFit="1" customWidth="1"/>
    <col min="4355" max="4355" width="7.5" style="162" bestFit="1" customWidth="1"/>
    <col min="4356" max="4356" width="6.25" style="162" customWidth="1"/>
    <col min="4357" max="4357" width="11" style="162" bestFit="1" customWidth="1"/>
    <col min="4358" max="4359" width="9.625" style="162" bestFit="1" customWidth="1"/>
    <col min="4360" max="4360" width="8.25" style="162" bestFit="1" customWidth="1"/>
    <col min="4361" max="4362" width="9.625" style="162" bestFit="1" customWidth="1"/>
    <col min="4363" max="4363" width="8.25" style="162" bestFit="1" customWidth="1"/>
    <col min="4364" max="4365" width="9.625" style="162" bestFit="1" customWidth="1"/>
    <col min="4366" max="4367" width="8.25" style="162" bestFit="1" customWidth="1"/>
    <col min="4368" max="4368" width="11" style="162" bestFit="1" customWidth="1"/>
    <col min="4369" max="4369" width="8" style="162" bestFit="1" customWidth="1"/>
    <col min="4370" max="4370" width="7.75" style="162" bestFit="1" customWidth="1"/>
    <col min="4371" max="4372" width="9.625" style="162" bestFit="1" customWidth="1"/>
    <col min="4373" max="4374" width="9.625" style="162" customWidth="1"/>
    <col min="4375" max="4375" width="9.25" style="162" bestFit="1" customWidth="1"/>
    <col min="4376" max="4376" width="11" style="162" bestFit="1" customWidth="1"/>
    <col min="4377" max="4609" width="9" style="162"/>
    <col min="4610" max="4610" width="4.625" style="162" bestFit="1" customWidth="1"/>
    <col min="4611" max="4611" width="7.5" style="162" bestFit="1" customWidth="1"/>
    <col min="4612" max="4612" width="6.25" style="162" customWidth="1"/>
    <col min="4613" max="4613" width="11" style="162" bestFit="1" customWidth="1"/>
    <col min="4614" max="4615" width="9.625" style="162" bestFit="1" customWidth="1"/>
    <col min="4616" max="4616" width="8.25" style="162" bestFit="1" customWidth="1"/>
    <col min="4617" max="4618" width="9.625" style="162" bestFit="1" customWidth="1"/>
    <col min="4619" max="4619" width="8.25" style="162" bestFit="1" customWidth="1"/>
    <col min="4620" max="4621" width="9.625" style="162" bestFit="1" customWidth="1"/>
    <col min="4622" max="4623" width="8.25" style="162" bestFit="1" customWidth="1"/>
    <col min="4624" max="4624" width="11" style="162" bestFit="1" customWidth="1"/>
    <col min="4625" max="4625" width="8" style="162" bestFit="1" customWidth="1"/>
    <col min="4626" max="4626" width="7.75" style="162" bestFit="1" customWidth="1"/>
    <col min="4627" max="4628" width="9.625" style="162" bestFit="1" customWidth="1"/>
    <col min="4629" max="4630" width="9.625" style="162" customWidth="1"/>
    <col min="4631" max="4631" width="9.25" style="162" bestFit="1" customWidth="1"/>
    <col min="4632" max="4632" width="11" style="162" bestFit="1" customWidth="1"/>
    <col min="4633" max="4865" width="9" style="162"/>
    <col min="4866" max="4866" width="4.625" style="162" bestFit="1" customWidth="1"/>
    <col min="4867" max="4867" width="7.5" style="162" bestFit="1" customWidth="1"/>
    <col min="4868" max="4868" width="6.25" style="162" customWidth="1"/>
    <col min="4869" max="4869" width="11" style="162" bestFit="1" customWidth="1"/>
    <col min="4870" max="4871" width="9.625" style="162" bestFit="1" customWidth="1"/>
    <col min="4872" max="4872" width="8.25" style="162" bestFit="1" customWidth="1"/>
    <col min="4873" max="4874" width="9.625" style="162" bestFit="1" customWidth="1"/>
    <col min="4875" max="4875" width="8.25" style="162" bestFit="1" customWidth="1"/>
    <col min="4876" max="4877" width="9.625" style="162" bestFit="1" customWidth="1"/>
    <col min="4878" max="4879" width="8.25" style="162" bestFit="1" customWidth="1"/>
    <col min="4880" max="4880" width="11" style="162" bestFit="1" customWidth="1"/>
    <col min="4881" max="4881" width="8" style="162" bestFit="1" customWidth="1"/>
    <col min="4882" max="4882" width="7.75" style="162" bestFit="1" customWidth="1"/>
    <col min="4883" max="4884" width="9.625" style="162" bestFit="1" customWidth="1"/>
    <col min="4885" max="4886" width="9.625" style="162" customWidth="1"/>
    <col min="4887" max="4887" width="9.25" style="162" bestFit="1" customWidth="1"/>
    <col min="4888" max="4888" width="11" style="162" bestFit="1" customWidth="1"/>
    <col min="4889" max="5121" width="9" style="162"/>
    <col min="5122" max="5122" width="4.625" style="162" bestFit="1" customWidth="1"/>
    <col min="5123" max="5123" width="7.5" style="162" bestFit="1" customWidth="1"/>
    <col min="5124" max="5124" width="6.25" style="162" customWidth="1"/>
    <col min="5125" max="5125" width="11" style="162" bestFit="1" customWidth="1"/>
    <col min="5126" max="5127" width="9.625" style="162" bestFit="1" customWidth="1"/>
    <col min="5128" max="5128" width="8.25" style="162" bestFit="1" customWidth="1"/>
    <col min="5129" max="5130" width="9.625" style="162" bestFit="1" customWidth="1"/>
    <col min="5131" max="5131" width="8.25" style="162" bestFit="1" customWidth="1"/>
    <col min="5132" max="5133" width="9.625" style="162" bestFit="1" customWidth="1"/>
    <col min="5134" max="5135" width="8.25" style="162" bestFit="1" customWidth="1"/>
    <col min="5136" max="5136" width="11" style="162" bestFit="1" customWidth="1"/>
    <col min="5137" max="5137" width="8" style="162" bestFit="1" customWidth="1"/>
    <col min="5138" max="5138" width="7.75" style="162" bestFit="1" customWidth="1"/>
    <col min="5139" max="5140" width="9.625" style="162" bestFit="1" customWidth="1"/>
    <col min="5141" max="5142" width="9.625" style="162" customWidth="1"/>
    <col min="5143" max="5143" width="9.25" style="162" bestFit="1" customWidth="1"/>
    <col min="5144" max="5144" width="11" style="162" bestFit="1" customWidth="1"/>
    <col min="5145" max="5377" width="9" style="162"/>
    <col min="5378" max="5378" width="4.625" style="162" bestFit="1" customWidth="1"/>
    <col min="5379" max="5379" width="7.5" style="162" bestFit="1" customWidth="1"/>
    <col min="5380" max="5380" width="6.25" style="162" customWidth="1"/>
    <col min="5381" max="5381" width="11" style="162" bestFit="1" customWidth="1"/>
    <col min="5382" max="5383" width="9.625" style="162" bestFit="1" customWidth="1"/>
    <col min="5384" max="5384" width="8.25" style="162" bestFit="1" customWidth="1"/>
    <col min="5385" max="5386" width="9.625" style="162" bestFit="1" customWidth="1"/>
    <col min="5387" max="5387" width="8.25" style="162" bestFit="1" customWidth="1"/>
    <col min="5388" max="5389" width="9.625" style="162" bestFit="1" customWidth="1"/>
    <col min="5390" max="5391" width="8.25" style="162" bestFit="1" customWidth="1"/>
    <col min="5392" max="5392" width="11" style="162" bestFit="1" customWidth="1"/>
    <col min="5393" max="5393" width="8" style="162" bestFit="1" customWidth="1"/>
    <col min="5394" max="5394" width="7.75" style="162" bestFit="1" customWidth="1"/>
    <col min="5395" max="5396" width="9.625" style="162" bestFit="1" customWidth="1"/>
    <col min="5397" max="5398" width="9.625" style="162" customWidth="1"/>
    <col min="5399" max="5399" width="9.25" style="162" bestFit="1" customWidth="1"/>
    <col min="5400" max="5400" width="11" style="162" bestFit="1" customWidth="1"/>
    <col min="5401" max="5633" width="9" style="162"/>
    <col min="5634" max="5634" width="4.625" style="162" bestFit="1" customWidth="1"/>
    <col min="5635" max="5635" width="7.5" style="162" bestFit="1" customWidth="1"/>
    <col min="5636" max="5636" width="6.25" style="162" customWidth="1"/>
    <col min="5637" max="5637" width="11" style="162" bestFit="1" customWidth="1"/>
    <col min="5638" max="5639" width="9.625" style="162" bestFit="1" customWidth="1"/>
    <col min="5640" max="5640" width="8.25" style="162" bestFit="1" customWidth="1"/>
    <col min="5641" max="5642" width="9.625" style="162" bestFit="1" customWidth="1"/>
    <col min="5643" max="5643" width="8.25" style="162" bestFit="1" customWidth="1"/>
    <col min="5644" max="5645" width="9.625" style="162" bestFit="1" customWidth="1"/>
    <col min="5646" max="5647" width="8.25" style="162" bestFit="1" customWidth="1"/>
    <col min="5648" max="5648" width="11" style="162" bestFit="1" customWidth="1"/>
    <col min="5649" max="5649" width="8" style="162" bestFit="1" customWidth="1"/>
    <col min="5650" max="5650" width="7.75" style="162" bestFit="1" customWidth="1"/>
    <col min="5651" max="5652" width="9.625" style="162" bestFit="1" customWidth="1"/>
    <col min="5653" max="5654" width="9.625" style="162" customWidth="1"/>
    <col min="5655" max="5655" width="9.25" style="162" bestFit="1" customWidth="1"/>
    <col min="5656" max="5656" width="11" style="162" bestFit="1" customWidth="1"/>
    <col min="5657" max="5889" width="9" style="162"/>
    <col min="5890" max="5890" width="4.625" style="162" bestFit="1" customWidth="1"/>
    <col min="5891" max="5891" width="7.5" style="162" bestFit="1" customWidth="1"/>
    <col min="5892" max="5892" width="6.25" style="162" customWidth="1"/>
    <col min="5893" max="5893" width="11" style="162" bestFit="1" customWidth="1"/>
    <col min="5894" max="5895" width="9.625" style="162" bestFit="1" customWidth="1"/>
    <col min="5896" max="5896" width="8.25" style="162" bestFit="1" customWidth="1"/>
    <col min="5897" max="5898" width="9.625" style="162" bestFit="1" customWidth="1"/>
    <col min="5899" max="5899" width="8.25" style="162" bestFit="1" customWidth="1"/>
    <col min="5900" max="5901" width="9.625" style="162" bestFit="1" customWidth="1"/>
    <col min="5902" max="5903" width="8.25" style="162" bestFit="1" customWidth="1"/>
    <col min="5904" max="5904" width="11" style="162" bestFit="1" customWidth="1"/>
    <col min="5905" max="5905" width="8" style="162" bestFit="1" customWidth="1"/>
    <col min="5906" max="5906" width="7.75" style="162" bestFit="1" customWidth="1"/>
    <col min="5907" max="5908" width="9.625" style="162" bestFit="1" customWidth="1"/>
    <col min="5909" max="5910" width="9.625" style="162" customWidth="1"/>
    <col min="5911" max="5911" width="9.25" style="162" bestFit="1" customWidth="1"/>
    <col min="5912" max="5912" width="11" style="162" bestFit="1" customWidth="1"/>
    <col min="5913" max="6145" width="9" style="162"/>
    <col min="6146" max="6146" width="4.625" style="162" bestFit="1" customWidth="1"/>
    <col min="6147" max="6147" width="7.5" style="162" bestFit="1" customWidth="1"/>
    <col min="6148" max="6148" width="6.25" style="162" customWidth="1"/>
    <col min="6149" max="6149" width="11" style="162" bestFit="1" customWidth="1"/>
    <col min="6150" max="6151" width="9.625" style="162" bestFit="1" customWidth="1"/>
    <col min="6152" max="6152" width="8.25" style="162" bestFit="1" customWidth="1"/>
    <col min="6153" max="6154" width="9.625" style="162" bestFit="1" customWidth="1"/>
    <col min="6155" max="6155" width="8.25" style="162" bestFit="1" customWidth="1"/>
    <col min="6156" max="6157" width="9.625" style="162" bestFit="1" customWidth="1"/>
    <col min="6158" max="6159" width="8.25" style="162" bestFit="1" customWidth="1"/>
    <col min="6160" max="6160" width="11" style="162" bestFit="1" customWidth="1"/>
    <col min="6161" max="6161" width="8" style="162" bestFit="1" customWidth="1"/>
    <col min="6162" max="6162" width="7.75" style="162" bestFit="1" customWidth="1"/>
    <col min="6163" max="6164" width="9.625" style="162" bestFit="1" customWidth="1"/>
    <col min="6165" max="6166" width="9.625" style="162" customWidth="1"/>
    <col min="6167" max="6167" width="9.25" style="162" bestFit="1" customWidth="1"/>
    <col min="6168" max="6168" width="11" style="162" bestFit="1" customWidth="1"/>
    <col min="6169" max="6401" width="9" style="162"/>
    <col min="6402" max="6402" width="4.625" style="162" bestFit="1" customWidth="1"/>
    <col min="6403" max="6403" width="7.5" style="162" bestFit="1" customWidth="1"/>
    <col min="6404" max="6404" width="6.25" style="162" customWidth="1"/>
    <col min="6405" max="6405" width="11" style="162" bestFit="1" customWidth="1"/>
    <col min="6406" max="6407" width="9.625" style="162" bestFit="1" customWidth="1"/>
    <col min="6408" max="6408" width="8.25" style="162" bestFit="1" customWidth="1"/>
    <col min="6409" max="6410" width="9.625" style="162" bestFit="1" customWidth="1"/>
    <col min="6411" max="6411" width="8.25" style="162" bestFit="1" customWidth="1"/>
    <col min="6412" max="6413" width="9.625" style="162" bestFit="1" customWidth="1"/>
    <col min="6414" max="6415" width="8.25" style="162" bestFit="1" customWidth="1"/>
    <col min="6416" max="6416" width="11" style="162" bestFit="1" customWidth="1"/>
    <col min="6417" max="6417" width="8" style="162" bestFit="1" customWidth="1"/>
    <col min="6418" max="6418" width="7.75" style="162" bestFit="1" customWidth="1"/>
    <col min="6419" max="6420" width="9.625" style="162" bestFit="1" customWidth="1"/>
    <col min="6421" max="6422" width="9.625" style="162" customWidth="1"/>
    <col min="6423" max="6423" width="9.25" style="162" bestFit="1" customWidth="1"/>
    <col min="6424" max="6424" width="11" style="162" bestFit="1" customWidth="1"/>
    <col min="6425" max="6657" width="9" style="162"/>
    <col min="6658" max="6658" width="4.625" style="162" bestFit="1" customWidth="1"/>
    <col min="6659" max="6659" width="7.5" style="162" bestFit="1" customWidth="1"/>
    <col min="6660" max="6660" width="6.25" style="162" customWidth="1"/>
    <col min="6661" max="6661" width="11" style="162" bestFit="1" customWidth="1"/>
    <col min="6662" max="6663" width="9.625" style="162" bestFit="1" customWidth="1"/>
    <col min="6664" max="6664" width="8.25" style="162" bestFit="1" customWidth="1"/>
    <col min="6665" max="6666" width="9.625" style="162" bestFit="1" customWidth="1"/>
    <col min="6667" max="6667" width="8.25" style="162" bestFit="1" customWidth="1"/>
    <col min="6668" max="6669" width="9.625" style="162" bestFit="1" customWidth="1"/>
    <col min="6670" max="6671" width="8.25" style="162" bestFit="1" customWidth="1"/>
    <col min="6672" max="6672" width="11" style="162" bestFit="1" customWidth="1"/>
    <col min="6673" max="6673" width="8" style="162" bestFit="1" customWidth="1"/>
    <col min="6674" max="6674" width="7.75" style="162" bestFit="1" customWidth="1"/>
    <col min="6675" max="6676" width="9.625" style="162" bestFit="1" customWidth="1"/>
    <col min="6677" max="6678" width="9.625" style="162" customWidth="1"/>
    <col min="6679" max="6679" width="9.25" style="162" bestFit="1" customWidth="1"/>
    <col min="6680" max="6680" width="11" style="162" bestFit="1" customWidth="1"/>
    <col min="6681" max="6913" width="9" style="162"/>
    <col min="6914" max="6914" width="4.625" style="162" bestFit="1" customWidth="1"/>
    <col min="6915" max="6915" width="7.5" style="162" bestFit="1" customWidth="1"/>
    <col min="6916" max="6916" width="6.25" style="162" customWidth="1"/>
    <col min="6917" max="6917" width="11" style="162" bestFit="1" customWidth="1"/>
    <col min="6918" max="6919" width="9.625" style="162" bestFit="1" customWidth="1"/>
    <col min="6920" max="6920" width="8.25" style="162" bestFit="1" customWidth="1"/>
    <col min="6921" max="6922" width="9.625" style="162" bestFit="1" customWidth="1"/>
    <col min="6923" max="6923" width="8.25" style="162" bestFit="1" customWidth="1"/>
    <col min="6924" max="6925" width="9.625" style="162" bestFit="1" customWidth="1"/>
    <col min="6926" max="6927" width="8.25" style="162" bestFit="1" customWidth="1"/>
    <col min="6928" max="6928" width="11" style="162" bestFit="1" customWidth="1"/>
    <col min="6929" max="6929" width="8" style="162" bestFit="1" customWidth="1"/>
    <col min="6930" max="6930" width="7.75" style="162" bestFit="1" customWidth="1"/>
    <col min="6931" max="6932" width="9.625" style="162" bestFit="1" customWidth="1"/>
    <col min="6933" max="6934" width="9.625" style="162" customWidth="1"/>
    <col min="6935" max="6935" width="9.25" style="162" bestFit="1" customWidth="1"/>
    <col min="6936" max="6936" width="11" style="162" bestFit="1" customWidth="1"/>
    <col min="6937" max="7169" width="9" style="162"/>
    <col min="7170" max="7170" width="4.625" style="162" bestFit="1" customWidth="1"/>
    <col min="7171" max="7171" width="7.5" style="162" bestFit="1" customWidth="1"/>
    <col min="7172" max="7172" width="6.25" style="162" customWidth="1"/>
    <col min="7173" max="7173" width="11" style="162" bestFit="1" customWidth="1"/>
    <col min="7174" max="7175" width="9.625" style="162" bestFit="1" customWidth="1"/>
    <col min="7176" max="7176" width="8.25" style="162" bestFit="1" customWidth="1"/>
    <col min="7177" max="7178" width="9.625" style="162" bestFit="1" customWidth="1"/>
    <col min="7179" max="7179" width="8.25" style="162" bestFit="1" customWidth="1"/>
    <col min="7180" max="7181" width="9.625" style="162" bestFit="1" customWidth="1"/>
    <col min="7182" max="7183" width="8.25" style="162" bestFit="1" customWidth="1"/>
    <col min="7184" max="7184" width="11" style="162" bestFit="1" customWidth="1"/>
    <col min="7185" max="7185" width="8" style="162" bestFit="1" customWidth="1"/>
    <col min="7186" max="7186" width="7.75" style="162" bestFit="1" customWidth="1"/>
    <col min="7187" max="7188" width="9.625" style="162" bestFit="1" customWidth="1"/>
    <col min="7189" max="7190" width="9.625" style="162" customWidth="1"/>
    <col min="7191" max="7191" width="9.25" style="162" bestFit="1" customWidth="1"/>
    <col min="7192" max="7192" width="11" style="162" bestFit="1" customWidth="1"/>
    <col min="7193" max="7425" width="9" style="162"/>
    <col min="7426" max="7426" width="4.625" style="162" bestFit="1" customWidth="1"/>
    <col min="7427" max="7427" width="7.5" style="162" bestFit="1" customWidth="1"/>
    <col min="7428" max="7428" width="6.25" style="162" customWidth="1"/>
    <col min="7429" max="7429" width="11" style="162" bestFit="1" customWidth="1"/>
    <col min="7430" max="7431" width="9.625" style="162" bestFit="1" customWidth="1"/>
    <col min="7432" max="7432" width="8.25" style="162" bestFit="1" customWidth="1"/>
    <col min="7433" max="7434" width="9.625" style="162" bestFit="1" customWidth="1"/>
    <col min="7435" max="7435" width="8.25" style="162" bestFit="1" customWidth="1"/>
    <col min="7436" max="7437" width="9.625" style="162" bestFit="1" customWidth="1"/>
    <col min="7438" max="7439" width="8.25" style="162" bestFit="1" customWidth="1"/>
    <col min="7440" max="7440" width="11" style="162" bestFit="1" customWidth="1"/>
    <col min="7441" max="7441" width="8" style="162" bestFit="1" customWidth="1"/>
    <col min="7442" max="7442" width="7.75" style="162" bestFit="1" customWidth="1"/>
    <col min="7443" max="7444" width="9.625" style="162" bestFit="1" customWidth="1"/>
    <col min="7445" max="7446" width="9.625" style="162" customWidth="1"/>
    <col min="7447" max="7447" width="9.25" style="162" bestFit="1" customWidth="1"/>
    <col min="7448" max="7448" width="11" style="162" bestFit="1" customWidth="1"/>
    <col min="7449" max="7681" width="9" style="162"/>
    <col min="7682" max="7682" width="4.625" style="162" bestFit="1" customWidth="1"/>
    <col min="7683" max="7683" width="7.5" style="162" bestFit="1" customWidth="1"/>
    <col min="7684" max="7684" width="6.25" style="162" customWidth="1"/>
    <col min="7685" max="7685" width="11" style="162" bestFit="1" customWidth="1"/>
    <col min="7686" max="7687" width="9.625" style="162" bestFit="1" customWidth="1"/>
    <col min="7688" max="7688" width="8.25" style="162" bestFit="1" customWidth="1"/>
    <col min="7689" max="7690" width="9.625" style="162" bestFit="1" customWidth="1"/>
    <col min="7691" max="7691" width="8.25" style="162" bestFit="1" customWidth="1"/>
    <col min="7692" max="7693" width="9.625" style="162" bestFit="1" customWidth="1"/>
    <col min="7694" max="7695" width="8.25" style="162" bestFit="1" customWidth="1"/>
    <col min="7696" max="7696" width="11" style="162" bestFit="1" customWidth="1"/>
    <col min="7697" max="7697" width="8" style="162" bestFit="1" customWidth="1"/>
    <col min="7698" max="7698" width="7.75" style="162" bestFit="1" customWidth="1"/>
    <col min="7699" max="7700" width="9.625" style="162" bestFit="1" customWidth="1"/>
    <col min="7701" max="7702" width="9.625" style="162" customWidth="1"/>
    <col min="7703" max="7703" width="9.25" style="162" bestFit="1" customWidth="1"/>
    <col min="7704" max="7704" width="11" style="162" bestFit="1" customWidth="1"/>
    <col min="7705" max="7937" width="9" style="162"/>
    <col min="7938" max="7938" width="4.625" style="162" bestFit="1" customWidth="1"/>
    <col min="7939" max="7939" width="7.5" style="162" bestFit="1" customWidth="1"/>
    <col min="7940" max="7940" width="6.25" style="162" customWidth="1"/>
    <col min="7941" max="7941" width="11" style="162" bestFit="1" customWidth="1"/>
    <col min="7942" max="7943" width="9.625" style="162" bestFit="1" customWidth="1"/>
    <col min="7944" max="7944" width="8.25" style="162" bestFit="1" customWidth="1"/>
    <col min="7945" max="7946" width="9.625" style="162" bestFit="1" customWidth="1"/>
    <col min="7947" max="7947" width="8.25" style="162" bestFit="1" customWidth="1"/>
    <col min="7948" max="7949" width="9.625" style="162" bestFit="1" customWidth="1"/>
    <col min="7950" max="7951" width="8.25" style="162" bestFit="1" customWidth="1"/>
    <col min="7952" max="7952" width="11" style="162" bestFit="1" customWidth="1"/>
    <col min="7953" max="7953" width="8" style="162" bestFit="1" customWidth="1"/>
    <col min="7954" max="7954" width="7.75" style="162" bestFit="1" customWidth="1"/>
    <col min="7955" max="7956" width="9.625" style="162" bestFit="1" customWidth="1"/>
    <col min="7957" max="7958" width="9.625" style="162" customWidth="1"/>
    <col min="7959" max="7959" width="9.25" style="162" bestFit="1" customWidth="1"/>
    <col min="7960" max="7960" width="11" style="162" bestFit="1" customWidth="1"/>
    <col min="7961" max="8193" width="9" style="162"/>
    <col min="8194" max="8194" width="4.625" style="162" bestFit="1" customWidth="1"/>
    <col min="8195" max="8195" width="7.5" style="162" bestFit="1" customWidth="1"/>
    <col min="8196" max="8196" width="6.25" style="162" customWidth="1"/>
    <col min="8197" max="8197" width="11" style="162" bestFit="1" customWidth="1"/>
    <col min="8198" max="8199" width="9.625" style="162" bestFit="1" customWidth="1"/>
    <col min="8200" max="8200" width="8.25" style="162" bestFit="1" customWidth="1"/>
    <col min="8201" max="8202" width="9.625" style="162" bestFit="1" customWidth="1"/>
    <col min="8203" max="8203" width="8.25" style="162" bestFit="1" customWidth="1"/>
    <col min="8204" max="8205" width="9.625" style="162" bestFit="1" customWidth="1"/>
    <col min="8206" max="8207" width="8.25" style="162" bestFit="1" customWidth="1"/>
    <col min="8208" max="8208" width="11" style="162" bestFit="1" customWidth="1"/>
    <col min="8209" max="8209" width="8" style="162" bestFit="1" customWidth="1"/>
    <col min="8210" max="8210" width="7.75" style="162" bestFit="1" customWidth="1"/>
    <col min="8211" max="8212" width="9.625" style="162" bestFit="1" customWidth="1"/>
    <col min="8213" max="8214" width="9.625" style="162" customWidth="1"/>
    <col min="8215" max="8215" width="9.25" style="162" bestFit="1" customWidth="1"/>
    <col min="8216" max="8216" width="11" style="162" bestFit="1" customWidth="1"/>
    <col min="8217" max="8449" width="9" style="162"/>
    <col min="8450" max="8450" width="4.625" style="162" bestFit="1" customWidth="1"/>
    <col min="8451" max="8451" width="7.5" style="162" bestFit="1" customWidth="1"/>
    <col min="8452" max="8452" width="6.25" style="162" customWidth="1"/>
    <col min="8453" max="8453" width="11" style="162" bestFit="1" customWidth="1"/>
    <col min="8454" max="8455" width="9.625" style="162" bestFit="1" customWidth="1"/>
    <col min="8456" max="8456" width="8.25" style="162" bestFit="1" customWidth="1"/>
    <col min="8457" max="8458" width="9.625" style="162" bestFit="1" customWidth="1"/>
    <col min="8459" max="8459" width="8.25" style="162" bestFit="1" customWidth="1"/>
    <col min="8460" max="8461" width="9.625" style="162" bestFit="1" customWidth="1"/>
    <col min="8462" max="8463" width="8.25" style="162" bestFit="1" customWidth="1"/>
    <col min="8464" max="8464" width="11" style="162" bestFit="1" customWidth="1"/>
    <col min="8465" max="8465" width="8" style="162" bestFit="1" customWidth="1"/>
    <col min="8466" max="8466" width="7.75" style="162" bestFit="1" customWidth="1"/>
    <col min="8467" max="8468" width="9.625" style="162" bestFit="1" customWidth="1"/>
    <col min="8469" max="8470" width="9.625" style="162" customWidth="1"/>
    <col min="8471" max="8471" width="9.25" style="162" bestFit="1" customWidth="1"/>
    <col min="8472" max="8472" width="11" style="162" bestFit="1" customWidth="1"/>
    <col min="8473" max="8705" width="9" style="162"/>
    <col min="8706" max="8706" width="4.625" style="162" bestFit="1" customWidth="1"/>
    <col min="8707" max="8707" width="7.5" style="162" bestFit="1" customWidth="1"/>
    <col min="8708" max="8708" width="6.25" style="162" customWidth="1"/>
    <col min="8709" max="8709" width="11" style="162" bestFit="1" customWidth="1"/>
    <col min="8710" max="8711" width="9.625" style="162" bestFit="1" customWidth="1"/>
    <col min="8712" max="8712" width="8.25" style="162" bestFit="1" customWidth="1"/>
    <col min="8713" max="8714" width="9.625" style="162" bestFit="1" customWidth="1"/>
    <col min="8715" max="8715" width="8.25" style="162" bestFit="1" customWidth="1"/>
    <col min="8716" max="8717" width="9.625" style="162" bestFit="1" customWidth="1"/>
    <col min="8718" max="8719" width="8.25" style="162" bestFit="1" customWidth="1"/>
    <col min="8720" max="8720" width="11" style="162" bestFit="1" customWidth="1"/>
    <col min="8721" max="8721" width="8" style="162" bestFit="1" customWidth="1"/>
    <col min="8722" max="8722" width="7.75" style="162" bestFit="1" customWidth="1"/>
    <col min="8723" max="8724" width="9.625" style="162" bestFit="1" customWidth="1"/>
    <col min="8725" max="8726" width="9.625" style="162" customWidth="1"/>
    <col min="8727" max="8727" width="9.25" style="162" bestFit="1" customWidth="1"/>
    <col min="8728" max="8728" width="11" style="162" bestFit="1" customWidth="1"/>
    <col min="8729" max="8961" width="9" style="162"/>
    <col min="8962" max="8962" width="4.625" style="162" bestFit="1" customWidth="1"/>
    <col min="8963" max="8963" width="7.5" style="162" bestFit="1" customWidth="1"/>
    <col min="8964" max="8964" width="6.25" style="162" customWidth="1"/>
    <col min="8965" max="8965" width="11" style="162" bestFit="1" customWidth="1"/>
    <col min="8966" max="8967" width="9.625" style="162" bestFit="1" customWidth="1"/>
    <col min="8968" max="8968" width="8.25" style="162" bestFit="1" customWidth="1"/>
    <col min="8969" max="8970" width="9.625" style="162" bestFit="1" customWidth="1"/>
    <col min="8971" max="8971" width="8.25" style="162" bestFit="1" customWidth="1"/>
    <col min="8972" max="8973" width="9.625" style="162" bestFit="1" customWidth="1"/>
    <col min="8974" max="8975" width="8.25" style="162" bestFit="1" customWidth="1"/>
    <col min="8976" max="8976" width="11" style="162" bestFit="1" customWidth="1"/>
    <col min="8977" max="8977" width="8" style="162" bestFit="1" customWidth="1"/>
    <col min="8978" max="8978" width="7.75" style="162" bestFit="1" customWidth="1"/>
    <col min="8979" max="8980" width="9.625" style="162" bestFit="1" customWidth="1"/>
    <col min="8981" max="8982" width="9.625" style="162" customWidth="1"/>
    <col min="8983" max="8983" width="9.25" style="162" bestFit="1" customWidth="1"/>
    <col min="8984" max="8984" width="11" style="162" bestFit="1" customWidth="1"/>
    <col min="8985" max="9217" width="9" style="162"/>
    <col min="9218" max="9218" width="4.625" style="162" bestFit="1" customWidth="1"/>
    <col min="9219" max="9219" width="7.5" style="162" bestFit="1" customWidth="1"/>
    <col min="9220" max="9220" width="6.25" style="162" customWidth="1"/>
    <col min="9221" max="9221" width="11" style="162" bestFit="1" customWidth="1"/>
    <col min="9222" max="9223" width="9.625" style="162" bestFit="1" customWidth="1"/>
    <col min="9224" max="9224" width="8.25" style="162" bestFit="1" customWidth="1"/>
    <col min="9225" max="9226" width="9.625" style="162" bestFit="1" customWidth="1"/>
    <col min="9227" max="9227" width="8.25" style="162" bestFit="1" customWidth="1"/>
    <col min="9228" max="9229" width="9.625" style="162" bestFit="1" customWidth="1"/>
    <col min="9230" max="9231" width="8.25" style="162" bestFit="1" customWidth="1"/>
    <col min="9232" max="9232" width="11" style="162" bestFit="1" customWidth="1"/>
    <col min="9233" max="9233" width="8" style="162" bestFit="1" customWidth="1"/>
    <col min="9234" max="9234" width="7.75" style="162" bestFit="1" customWidth="1"/>
    <col min="9235" max="9236" width="9.625" style="162" bestFit="1" customWidth="1"/>
    <col min="9237" max="9238" width="9.625" style="162" customWidth="1"/>
    <col min="9239" max="9239" width="9.25" style="162" bestFit="1" customWidth="1"/>
    <col min="9240" max="9240" width="11" style="162" bestFit="1" customWidth="1"/>
    <col min="9241" max="9473" width="9" style="162"/>
    <col min="9474" max="9474" width="4.625" style="162" bestFit="1" customWidth="1"/>
    <col min="9475" max="9475" width="7.5" style="162" bestFit="1" customWidth="1"/>
    <col min="9476" max="9476" width="6.25" style="162" customWidth="1"/>
    <col min="9477" max="9477" width="11" style="162" bestFit="1" customWidth="1"/>
    <col min="9478" max="9479" width="9.625" style="162" bestFit="1" customWidth="1"/>
    <col min="9480" max="9480" width="8.25" style="162" bestFit="1" customWidth="1"/>
    <col min="9481" max="9482" width="9.625" style="162" bestFit="1" customWidth="1"/>
    <col min="9483" max="9483" width="8.25" style="162" bestFit="1" customWidth="1"/>
    <col min="9484" max="9485" width="9.625" style="162" bestFit="1" customWidth="1"/>
    <col min="9486" max="9487" width="8.25" style="162" bestFit="1" customWidth="1"/>
    <col min="9488" max="9488" width="11" style="162" bestFit="1" customWidth="1"/>
    <col min="9489" max="9489" width="8" style="162" bestFit="1" customWidth="1"/>
    <col min="9490" max="9490" width="7.75" style="162" bestFit="1" customWidth="1"/>
    <col min="9491" max="9492" width="9.625" style="162" bestFit="1" customWidth="1"/>
    <col min="9493" max="9494" width="9.625" style="162" customWidth="1"/>
    <col min="9495" max="9495" width="9.25" style="162" bestFit="1" customWidth="1"/>
    <col min="9496" max="9496" width="11" style="162" bestFit="1" customWidth="1"/>
    <col min="9497" max="9729" width="9" style="162"/>
    <col min="9730" max="9730" width="4.625" style="162" bestFit="1" customWidth="1"/>
    <col min="9731" max="9731" width="7.5" style="162" bestFit="1" customWidth="1"/>
    <col min="9732" max="9732" width="6.25" style="162" customWidth="1"/>
    <col min="9733" max="9733" width="11" style="162" bestFit="1" customWidth="1"/>
    <col min="9734" max="9735" width="9.625" style="162" bestFit="1" customWidth="1"/>
    <col min="9736" max="9736" width="8.25" style="162" bestFit="1" customWidth="1"/>
    <col min="9737" max="9738" width="9.625" style="162" bestFit="1" customWidth="1"/>
    <col min="9739" max="9739" width="8.25" style="162" bestFit="1" customWidth="1"/>
    <col min="9740" max="9741" width="9.625" style="162" bestFit="1" customWidth="1"/>
    <col min="9742" max="9743" width="8.25" style="162" bestFit="1" customWidth="1"/>
    <col min="9744" max="9744" width="11" style="162" bestFit="1" customWidth="1"/>
    <col min="9745" max="9745" width="8" style="162" bestFit="1" customWidth="1"/>
    <col min="9746" max="9746" width="7.75" style="162" bestFit="1" customWidth="1"/>
    <col min="9747" max="9748" width="9.625" style="162" bestFit="1" customWidth="1"/>
    <col min="9749" max="9750" width="9.625" style="162" customWidth="1"/>
    <col min="9751" max="9751" width="9.25" style="162" bestFit="1" customWidth="1"/>
    <col min="9752" max="9752" width="11" style="162" bestFit="1" customWidth="1"/>
    <col min="9753" max="9985" width="9" style="162"/>
    <col min="9986" max="9986" width="4.625" style="162" bestFit="1" customWidth="1"/>
    <col min="9987" max="9987" width="7.5" style="162" bestFit="1" customWidth="1"/>
    <col min="9988" max="9988" width="6.25" style="162" customWidth="1"/>
    <col min="9989" max="9989" width="11" style="162" bestFit="1" customWidth="1"/>
    <col min="9990" max="9991" width="9.625" style="162" bestFit="1" customWidth="1"/>
    <col min="9992" max="9992" width="8.25" style="162" bestFit="1" customWidth="1"/>
    <col min="9993" max="9994" width="9.625" style="162" bestFit="1" customWidth="1"/>
    <col min="9995" max="9995" width="8.25" style="162" bestFit="1" customWidth="1"/>
    <col min="9996" max="9997" width="9.625" style="162" bestFit="1" customWidth="1"/>
    <col min="9998" max="9999" width="8.25" style="162" bestFit="1" customWidth="1"/>
    <col min="10000" max="10000" width="11" style="162" bestFit="1" customWidth="1"/>
    <col min="10001" max="10001" width="8" style="162" bestFit="1" customWidth="1"/>
    <col min="10002" max="10002" width="7.75" style="162" bestFit="1" customWidth="1"/>
    <col min="10003" max="10004" width="9.625" style="162" bestFit="1" customWidth="1"/>
    <col min="10005" max="10006" width="9.625" style="162" customWidth="1"/>
    <col min="10007" max="10007" width="9.25" style="162" bestFit="1" customWidth="1"/>
    <col min="10008" max="10008" width="11" style="162" bestFit="1" customWidth="1"/>
    <col min="10009" max="10241" width="9" style="162"/>
    <col min="10242" max="10242" width="4.625" style="162" bestFit="1" customWidth="1"/>
    <col min="10243" max="10243" width="7.5" style="162" bestFit="1" customWidth="1"/>
    <col min="10244" max="10244" width="6.25" style="162" customWidth="1"/>
    <col min="10245" max="10245" width="11" style="162" bestFit="1" customWidth="1"/>
    <col min="10246" max="10247" width="9.625" style="162" bestFit="1" customWidth="1"/>
    <col min="10248" max="10248" width="8.25" style="162" bestFit="1" customWidth="1"/>
    <col min="10249" max="10250" width="9.625" style="162" bestFit="1" customWidth="1"/>
    <col min="10251" max="10251" width="8.25" style="162" bestFit="1" customWidth="1"/>
    <col min="10252" max="10253" width="9.625" style="162" bestFit="1" customWidth="1"/>
    <col min="10254" max="10255" width="8.25" style="162" bestFit="1" customWidth="1"/>
    <col min="10256" max="10256" width="11" style="162" bestFit="1" customWidth="1"/>
    <col min="10257" max="10257" width="8" style="162" bestFit="1" customWidth="1"/>
    <col min="10258" max="10258" width="7.75" style="162" bestFit="1" customWidth="1"/>
    <col min="10259" max="10260" width="9.625" style="162" bestFit="1" customWidth="1"/>
    <col min="10261" max="10262" width="9.625" style="162" customWidth="1"/>
    <col min="10263" max="10263" width="9.25" style="162" bestFit="1" customWidth="1"/>
    <col min="10264" max="10264" width="11" style="162" bestFit="1" customWidth="1"/>
    <col min="10265" max="10497" width="9" style="162"/>
    <col min="10498" max="10498" width="4.625" style="162" bestFit="1" customWidth="1"/>
    <col min="10499" max="10499" width="7.5" style="162" bestFit="1" customWidth="1"/>
    <col min="10500" max="10500" width="6.25" style="162" customWidth="1"/>
    <col min="10501" max="10501" width="11" style="162" bestFit="1" customWidth="1"/>
    <col min="10502" max="10503" width="9.625" style="162" bestFit="1" customWidth="1"/>
    <col min="10504" max="10504" width="8.25" style="162" bestFit="1" customWidth="1"/>
    <col min="10505" max="10506" width="9.625" style="162" bestFit="1" customWidth="1"/>
    <col min="10507" max="10507" width="8.25" style="162" bestFit="1" customWidth="1"/>
    <col min="10508" max="10509" width="9.625" style="162" bestFit="1" customWidth="1"/>
    <col min="10510" max="10511" width="8.25" style="162" bestFit="1" customWidth="1"/>
    <col min="10512" max="10512" width="11" style="162" bestFit="1" customWidth="1"/>
    <col min="10513" max="10513" width="8" style="162" bestFit="1" customWidth="1"/>
    <col min="10514" max="10514" width="7.75" style="162" bestFit="1" customWidth="1"/>
    <col min="10515" max="10516" width="9.625" style="162" bestFit="1" customWidth="1"/>
    <col min="10517" max="10518" width="9.625" style="162" customWidth="1"/>
    <col min="10519" max="10519" width="9.25" style="162" bestFit="1" customWidth="1"/>
    <col min="10520" max="10520" width="11" style="162" bestFit="1" customWidth="1"/>
    <col min="10521" max="10753" width="9" style="162"/>
    <col min="10754" max="10754" width="4.625" style="162" bestFit="1" customWidth="1"/>
    <col min="10755" max="10755" width="7.5" style="162" bestFit="1" customWidth="1"/>
    <col min="10756" max="10756" width="6.25" style="162" customWidth="1"/>
    <col min="10757" max="10757" width="11" style="162" bestFit="1" customWidth="1"/>
    <col min="10758" max="10759" width="9.625" style="162" bestFit="1" customWidth="1"/>
    <col min="10760" max="10760" width="8.25" style="162" bestFit="1" customWidth="1"/>
    <col min="10761" max="10762" width="9.625" style="162" bestFit="1" customWidth="1"/>
    <col min="10763" max="10763" width="8.25" style="162" bestFit="1" customWidth="1"/>
    <col min="10764" max="10765" width="9.625" style="162" bestFit="1" customWidth="1"/>
    <col min="10766" max="10767" width="8.25" style="162" bestFit="1" customWidth="1"/>
    <col min="10768" max="10768" width="11" style="162" bestFit="1" customWidth="1"/>
    <col min="10769" max="10769" width="8" style="162" bestFit="1" customWidth="1"/>
    <col min="10770" max="10770" width="7.75" style="162" bestFit="1" customWidth="1"/>
    <col min="10771" max="10772" width="9.625" style="162" bestFit="1" customWidth="1"/>
    <col min="10773" max="10774" width="9.625" style="162" customWidth="1"/>
    <col min="10775" max="10775" width="9.25" style="162" bestFit="1" customWidth="1"/>
    <col min="10776" max="10776" width="11" style="162" bestFit="1" customWidth="1"/>
    <col min="10777" max="11009" width="9" style="162"/>
    <col min="11010" max="11010" width="4.625" style="162" bestFit="1" customWidth="1"/>
    <col min="11011" max="11011" width="7.5" style="162" bestFit="1" customWidth="1"/>
    <col min="11012" max="11012" width="6.25" style="162" customWidth="1"/>
    <col min="11013" max="11013" width="11" style="162" bestFit="1" customWidth="1"/>
    <col min="11014" max="11015" width="9.625" style="162" bestFit="1" customWidth="1"/>
    <col min="11016" max="11016" width="8.25" style="162" bestFit="1" customWidth="1"/>
    <col min="11017" max="11018" width="9.625" style="162" bestFit="1" customWidth="1"/>
    <col min="11019" max="11019" width="8.25" style="162" bestFit="1" customWidth="1"/>
    <col min="11020" max="11021" width="9.625" style="162" bestFit="1" customWidth="1"/>
    <col min="11022" max="11023" width="8.25" style="162" bestFit="1" customWidth="1"/>
    <col min="11024" max="11024" width="11" style="162" bestFit="1" customWidth="1"/>
    <col min="11025" max="11025" width="8" style="162" bestFit="1" customWidth="1"/>
    <col min="11026" max="11026" width="7.75" style="162" bestFit="1" customWidth="1"/>
    <col min="11027" max="11028" width="9.625" style="162" bestFit="1" customWidth="1"/>
    <col min="11029" max="11030" width="9.625" style="162" customWidth="1"/>
    <col min="11031" max="11031" width="9.25" style="162" bestFit="1" customWidth="1"/>
    <col min="11032" max="11032" width="11" style="162" bestFit="1" customWidth="1"/>
    <col min="11033" max="11265" width="9" style="162"/>
    <col min="11266" max="11266" width="4.625" style="162" bestFit="1" customWidth="1"/>
    <col min="11267" max="11267" width="7.5" style="162" bestFit="1" customWidth="1"/>
    <col min="11268" max="11268" width="6.25" style="162" customWidth="1"/>
    <col min="11269" max="11269" width="11" style="162" bestFit="1" customWidth="1"/>
    <col min="11270" max="11271" width="9.625" style="162" bestFit="1" customWidth="1"/>
    <col min="11272" max="11272" width="8.25" style="162" bestFit="1" customWidth="1"/>
    <col min="11273" max="11274" width="9.625" style="162" bestFit="1" customWidth="1"/>
    <col min="11275" max="11275" width="8.25" style="162" bestFit="1" customWidth="1"/>
    <col min="11276" max="11277" width="9.625" style="162" bestFit="1" customWidth="1"/>
    <col min="11278" max="11279" width="8.25" style="162" bestFit="1" customWidth="1"/>
    <col min="11280" max="11280" width="11" style="162" bestFit="1" customWidth="1"/>
    <col min="11281" max="11281" width="8" style="162" bestFit="1" customWidth="1"/>
    <col min="11282" max="11282" width="7.75" style="162" bestFit="1" customWidth="1"/>
    <col min="11283" max="11284" width="9.625" style="162" bestFit="1" customWidth="1"/>
    <col min="11285" max="11286" width="9.625" style="162" customWidth="1"/>
    <col min="11287" max="11287" width="9.25" style="162" bestFit="1" customWidth="1"/>
    <col min="11288" max="11288" width="11" style="162" bestFit="1" customWidth="1"/>
    <col min="11289" max="11521" width="9" style="162"/>
    <col min="11522" max="11522" width="4.625" style="162" bestFit="1" customWidth="1"/>
    <col min="11523" max="11523" width="7.5" style="162" bestFit="1" customWidth="1"/>
    <col min="11524" max="11524" width="6.25" style="162" customWidth="1"/>
    <col min="11525" max="11525" width="11" style="162" bestFit="1" customWidth="1"/>
    <col min="11526" max="11527" width="9.625" style="162" bestFit="1" customWidth="1"/>
    <col min="11528" max="11528" width="8.25" style="162" bestFit="1" customWidth="1"/>
    <col min="11529" max="11530" width="9.625" style="162" bestFit="1" customWidth="1"/>
    <col min="11531" max="11531" width="8.25" style="162" bestFit="1" customWidth="1"/>
    <col min="11532" max="11533" width="9.625" style="162" bestFit="1" customWidth="1"/>
    <col min="11534" max="11535" width="8.25" style="162" bestFit="1" customWidth="1"/>
    <col min="11536" max="11536" width="11" style="162" bestFit="1" customWidth="1"/>
    <col min="11537" max="11537" width="8" style="162" bestFit="1" customWidth="1"/>
    <col min="11538" max="11538" width="7.75" style="162" bestFit="1" customWidth="1"/>
    <col min="11539" max="11540" width="9.625" style="162" bestFit="1" customWidth="1"/>
    <col min="11541" max="11542" width="9.625" style="162" customWidth="1"/>
    <col min="11543" max="11543" width="9.25" style="162" bestFit="1" customWidth="1"/>
    <col min="11544" max="11544" width="11" style="162" bestFit="1" customWidth="1"/>
    <col min="11545" max="11777" width="9" style="162"/>
    <col min="11778" max="11778" width="4.625" style="162" bestFit="1" customWidth="1"/>
    <col min="11779" max="11779" width="7.5" style="162" bestFit="1" customWidth="1"/>
    <col min="11780" max="11780" width="6.25" style="162" customWidth="1"/>
    <col min="11781" max="11781" width="11" style="162" bestFit="1" customWidth="1"/>
    <col min="11782" max="11783" width="9.625" style="162" bestFit="1" customWidth="1"/>
    <col min="11784" max="11784" width="8.25" style="162" bestFit="1" customWidth="1"/>
    <col min="11785" max="11786" width="9.625" style="162" bestFit="1" customWidth="1"/>
    <col min="11787" max="11787" width="8.25" style="162" bestFit="1" customWidth="1"/>
    <col min="11788" max="11789" width="9.625" style="162" bestFit="1" customWidth="1"/>
    <col min="11790" max="11791" width="8.25" style="162" bestFit="1" customWidth="1"/>
    <col min="11792" max="11792" width="11" style="162" bestFit="1" customWidth="1"/>
    <col min="11793" max="11793" width="8" style="162" bestFit="1" customWidth="1"/>
    <col min="11794" max="11794" width="7.75" style="162" bestFit="1" customWidth="1"/>
    <col min="11795" max="11796" width="9.625" style="162" bestFit="1" customWidth="1"/>
    <col min="11797" max="11798" width="9.625" style="162" customWidth="1"/>
    <col min="11799" max="11799" width="9.25" style="162" bestFit="1" customWidth="1"/>
    <col min="11800" max="11800" width="11" style="162" bestFit="1" customWidth="1"/>
    <col min="11801" max="12033" width="9" style="162"/>
    <col min="12034" max="12034" width="4.625" style="162" bestFit="1" customWidth="1"/>
    <col min="12035" max="12035" width="7.5" style="162" bestFit="1" customWidth="1"/>
    <col min="12036" max="12036" width="6.25" style="162" customWidth="1"/>
    <col min="12037" max="12037" width="11" style="162" bestFit="1" customWidth="1"/>
    <col min="12038" max="12039" width="9.625" style="162" bestFit="1" customWidth="1"/>
    <col min="12040" max="12040" width="8.25" style="162" bestFit="1" customWidth="1"/>
    <col min="12041" max="12042" width="9.625" style="162" bestFit="1" customWidth="1"/>
    <col min="12043" max="12043" width="8.25" style="162" bestFit="1" customWidth="1"/>
    <col min="12044" max="12045" width="9.625" style="162" bestFit="1" customWidth="1"/>
    <col min="12046" max="12047" width="8.25" style="162" bestFit="1" customWidth="1"/>
    <col min="12048" max="12048" width="11" style="162" bestFit="1" customWidth="1"/>
    <col min="12049" max="12049" width="8" style="162" bestFit="1" customWidth="1"/>
    <col min="12050" max="12050" width="7.75" style="162" bestFit="1" customWidth="1"/>
    <col min="12051" max="12052" width="9.625" style="162" bestFit="1" customWidth="1"/>
    <col min="12053" max="12054" width="9.625" style="162" customWidth="1"/>
    <col min="12055" max="12055" width="9.25" style="162" bestFit="1" customWidth="1"/>
    <col min="12056" max="12056" width="11" style="162" bestFit="1" customWidth="1"/>
    <col min="12057" max="12289" width="9" style="162"/>
    <col min="12290" max="12290" width="4.625" style="162" bestFit="1" customWidth="1"/>
    <col min="12291" max="12291" width="7.5" style="162" bestFit="1" customWidth="1"/>
    <col min="12292" max="12292" width="6.25" style="162" customWidth="1"/>
    <col min="12293" max="12293" width="11" style="162" bestFit="1" customWidth="1"/>
    <col min="12294" max="12295" width="9.625" style="162" bestFit="1" customWidth="1"/>
    <col min="12296" max="12296" width="8.25" style="162" bestFit="1" customWidth="1"/>
    <col min="12297" max="12298" width="9.625" style="162" bestFit="1" customWidth="1"/>
    <col min="12299" max="12299" width="8.25" style="162" bestFit="1" customWidth="1"/>
    <col min="12300" max="12301" width="9.625" style="162" bestFit="1" customWidth="1"/>
    <col min="12302" max="12303" width="8.25" style="162" bestFit="1" customWidth="1"/>
    <col min="12304" max="12304" width="11" style="162" bestFit="1" customWidth="1"/>
    <col min="12305" max="12305" width="8" style="162" bestFit="1" customWidth="1"/>
    <col min="12306" max="12306" width="7.75" style="162" bestFit="1" customWidth="1"/>
    <col min="12307" max="12308" width="9.625" style="162" bestFit="1" customWidth="1"/>
    <col min="12309" max="12310" width="9.625" style="162" customWidth="1"/>
    <col min="12311" max="12311" width="9.25" style="162" bestFit="1" customWidth="1"/>
    <col min="12312" max="12312" width="11" style="162" bestFit="1" customWidth="1"/>
    <col min="12313" max="12545" width="9" style="162"/>
    <col min="12546" max="12546" width="4.625" style="162" bestFit="1" customWidth="1"/>
    <col min="12547" max="12547" width="7.5" style="162" bestFit="1" customWidth="1"/>
    <col min="12548" max="12548" width="6.25" style="162" customWidth="1"/>
    <col min="12549" max="12549" width="11" style="162" bestFit="1" customWidth="1"/>
    <col min="12550" max="12551" width="9.625" style="162" bestFit="1" customWidth="1"/>
    <col min="12552" max="12552" width="8.25" style="162" bestFit="1" customWidth="1"/>
    <col min="12553" max="12554" width="9.625" style="162" bestFit="1" customWidth="1"/>
    <col min="12555" max="12555" width="8.25" style="162" bestFit="1" customWidth="1"/>
    <col min="12556" max="12557" width="9.625" style="162" bestFit="1" customWidth="1"/>
    <col min="12558" max="12559" width="8.25" style="162" bestFit="1" customWidth="1"/>
    <col min="12560" max="12560" width="11" style="162" bestFit="1" customWidth="1"/>
    <col min="12561" max="12561" width="8" style="162" bestFit="1" customWidth="1"/>
    <col min="12562" max="12562" width="7.75" style="162" bestFit="1" customWidth="1"/>
    <col min="12563" max="12564" width="9.625" style="162" bestFit="1" customWidth="1"/>
    <col min="12565" max="12566" width="9.625" style="162" customWidth="1"/>
    <col min="12567" max="12567" width="9.25" style="162" bestFit="1" customWidth="1"/>
    <col min="12568" max="12568" width="11" style="162" bestFit="1" customWidth="1"/>
    <col min="12569" max="12801" width="9" style="162"/>
    <col min="12802" max="12802" width="4.625" style="162" bestFit="1" customWidth="1"/>
    <col min="12803" max="12803" width="7.5" style="162" bestFit="1" customWidth="1"/>
    <col min="12804" max="12804" width="6.25" style="162" customWidth="1"/>
    <col min="12805" max="12805" width="11" style="162" bestFit="1" customWidth="1"/>
    <col min="12806" max="12807" width="9.625" style="162" bestFit="1" customWidth="1"/>
    <col min="12808" max="12808" width="8.25" style="162" bestFit="1" customWidth="1"/>
    <col min="12809" max="12810" width="9.625" style="162" bestFit="1" customWidth="1"/>
    <col min="12811" max="12811" width="8.25" style="162" bestFit="1" customWidth="1"/>
    <col min="12812" max="12813" width="9.625" style="162" bestFit="1" customWidth="1"/>
    <col min="12814" max="12815" width="8.25" style="162" bestFit="1" customWidth="1"/>
    <col min="12816" max="12816" width="11" style="162" bestFit="1" customWidth="1"/>
    <col min="12817" max="12817" width="8" style="162" bestFit="1" customWidth="1"/>
    <col min="12818" max="12818" width="7.75" style="162" bestFit="1" customWidth="1"/>
    <col min="12819" max="12820" width="9.625" style="162" bestFit="1" customWidth="1"/>
    <col min="12821" max="12822" width="9.625" style="162" customWidth="1"/>
    <col min="12823" max="12823" width="9.25" style="162" bestFit="1" customWidth="1"/>
    <col min="12824" max="12824" width="11" style="162" bestFit="1" customWidth="1"/>
    <col min="12825" max="13057" width="9" style="162"/>
    <col min="13058" max="13058" width="4.625" style="162" bestFit="1" customWidth="1"/>
    <col min="13059" max="13059" width="7.5" style="162" bestFit="1" customWidth="1"/>
    <col min="13060" max="13060" width="6.25" style="162" customWidth="1"/>
    <col min="13061" max="13061" width="11" style="162" bestFit="1" customWidth="1"/>
    <col min="13062" max="13063" width="9.625" style="162" bestFit="1" customWidth="1"/>
    <col min="13064" max="13064" width="8.25" style="162" bestFit="1" customWidth="1"/>
    <col min="13065" max="13066" width="9.625" style="162" bestFit="1" customWidth="1"/>
    <col min="13067" max="13067" width="8.25" style="162" bestFit="1" customWidth="1"/>
    <col min="13068" max="13069" width="9.625" style="162" bestFit="1" customWidth="1"/>
    <col min="13070" max="13071" width="8.25" style="162" bestFit="1" customWidth="1"/>
    <col min="13072" max="13072" width="11" style="162" bestFit="1" customWidth="1"/>
    <col min="13073" max="13073" width="8" style="162" bestFit="1" customWidth="1"/>
    <col min="13074" max="13074" width="7.75" style="162" bestFit="1" customWidth="1"/>
    <col min="13075" max="13076" width="9.625" style="162" bestFit="1" customWidth="1"/>
    <col min="13077" max="13078" width="9.625" style="162" customWidth="1"/>
    <col min="13079" max="13079" width="9.25" style="162" bestFit="1" customWidth="1"/>
    <col min="13080" max="13080" width="11" style="162" bestFit="1" customWidth="1"/>
    <col min="13081" max="13313" width="9" style="162"/>
    <col min="13314" max="13314" width="4.625" style="162" bestFit="1" customWidth="1"/>
    <col min="13315" max="13315" width="7.5" style="162" bestFit="1" customWidth="1"/>
    <col min="13316" max="13316" width="6.25" style="162" customWidth="1"/>
    <col min="13317" max="13317" width="11" style="162" bestFit="1" customWidth="1"/>
    <col min="13318" max="13319" width="9.625" style="162" bestFit="1" customWidth="1"/>
    <col min="13320" max="13320" width="8.25" style="162" bestFit="1" customWidth="1"/>
    <col min="13321" max="13322" width="9.625" style="162" bestFit="1" customWidth="1"/>
    <col min="13323" max="13323" width="8.25" style="162" bestFit="1" customWidth="1"/>
    <col min="13324" max="13325" width="9.625" style="162" bestFit="1" customWidth="1"/>
    <col min="13326" max="13327" width="8.25" style="162" bestFit="1" customWidth="1"/>
    <col min="13328" max="13328" width="11" style="162" bestFit="1" customWidth="1"/>
    <col min="13329" max="13329" width="8" style="162" bestFit="1" customWidth="1"/>
    <col min="13330" max="13330" width="7.75" style="162" bestFit="1" customWidth="1"/>
    <col min="13331" max="13332" width="9.625" style="162" bestFit="1" customWidth="1"/>
    <col min="13333" max="13334" width="9.625" style="162" customWidth="1"/>
    <col min="13335" max="13335" width="9.25" style="162" bestFit="1" customWidth="1"/>
    <col min="13336" max="13336" width="11" style="162" bestFit="1" customWidth="1"/>
    <col min="13337" max="13569" width="9" style="162"/>
    <col min="13570" max="13570" width="4.625" style="162" bestFit="1" customWidth="1"/>
    <col min="13571" max="13571" width="7.5" style="162" bestFit="1" customWidth="1"/>
    <col min="13572" max="13572" width="6.25" style="162" customWidth="1"/>
    <col min="13573" max="13573" width="11" style="162" bestFit="1" customWidth="1"/>
    <col min="13574" max="13575" width="9.625" style="162" bestFit="1" customWidth="1"/>
    <col min="13576" max="13576" width="8.25" style="162" bestFit="1" customWidth="1"/>
    <col min="13577" max="13578" width="9.625" style="162" bestFit="1" customWidth="1"/>
    <col min="13579" max="13579" width="8.25" style="162" bestFit="1" customWidth="1"/>
    <col min="13580" max="13581" width="9.625" style="162" bestFit="1" customWidth="1"/>
    <col min="13582" max="13583" width="8.25" style="162" bestFit="1" customWidth="1"/>
    <col min="13584" max="13584" width="11" style="162" bestFit="1" customWidth="1"/>
    <col min="13585" max="13585" width="8" style="162" bestFit="1" customWidth="1"/>
    <col min="13586" max="13586" width="7.75" style="162" bestFit="1" customWidth="1"/>
    <col min="13587" max="13588" width="9.625" style="162" bestFit="1" customWidth="1"/>
    <col min="13589" max="13590" width="9.625" style="162" customWidth="1"/>
    <col min="13591" max="13591" width="9.25" style="162" bestFit="1" customWidth="1"/>
    <col min="13592" max="13592" width="11" style="162" bestFit="1" customWidth="1"/>
    <col min="13593" max="13825" width="9" style="162"/>
    <col min="13826" max="13826" width="4.625" style="162" bestFit="1" customWidth="1"/>
    <col min="13827" max="13827" width="7.5" style="162" bestFit="1" customWidth="1"/>
    <col min="13828" max="13828" width="6.25" style="162" customWidth="1"/>
    <col min="13829" max="13829" width="11" style="162" bestFit="1" customWidth="1"/>
    <col min="13830" max="13831" width="9.625" style="162" bestFit="1" customWidth="1"/>
    <col min="13832" max="13832" width="8.25" style="162" bestFit="1" customWidth="1"/>
    <col min="13833" max="13834" width="9.625" style="162" bestFit="1" customWidth="1"/>
    <col min="13835" max="13835" width="8.25" style="162" bestFit="1" customWidth="1"/>
    <col min="13836" max="13837" width="9.625" style="162" bestFit="1" customWidth="1"/>
    <col min="13838" max="13839" width="8.25" style="162" bestFit="1" customWidth="1"/>
    <col min="13840" max="13840" width="11" style="162" bestFit="1" customWidth="1"/>
    <col min="13841" max="13841" width="8" style="162" bestFit="1" customWidth="1"/>
    <col min="13842" max="13842" width="7.75" style="162" bestFit="1" customWidth="1"/>
    <col min="13843" max="13844" width="9.625" style="162" bestFit="1" customWidth="1"/>
    <col min="13845" max="13846" width="9.625" style="162" customWidth="1"/>
    <col min="13847" max="13847" width="9.25" style="162" bestFit="1" customWidth="1"/>
    <col min="13848" max="13848" width="11" style="162" bestFit="1" customWidth="1"/>
    <col min="13849" max="14081" width="9" style="162"/>
    <col min="14082" max="14082" width="4.625" style="162" bestFit="1" customWidth="1"/>
    <col min="14083" max="14083" width="7.5" style="162" bestFit="1" customWidth="1"/>
    <col min="14084" max="14084" width="6.25" style="162" customWidth="1"/>
    <col min="14085" max="14085" width="11" style="162" bestFit="1" customWidth="1"/>
    <col min="14086" max="14087" width="9.625" style="162" bestFit="1" customWidth="1"/>
    <col min="14088" max="14088" width="8.25" style="162" bestFit="1" customWidth="1"/>
    <col min="14089" max="14090" width="9.625" style="162" bestFit="1" customWidth="1"/>
    <col min="14091" max="14091" width="8.25" style="162" bestFit="1" customWidth="1"/>
    <col min="14092" max="14093" width="9.625" style="162" bestFit="1" customWidth="1"/>
    <col min="14094" max="14095" width="8.25" style="162" bestFit="1" customWidth="1"/>
    <col min="14096" max="14096" width="11" style="162" bestFit="1" customWidth="1"/>
    <col min="14097" max="14097" width="8" style="162" bestFit="1" customWidth="1"/>
    <col min="14098" max="14098" width="7.75" style="162" bestFit="1" customWidth="1"/>
    <col min="14099" max="14100" width="9.625" style="162" bestFit="1" customWidth="1"/>
    <col min="14101" max="14102" width="9.625" style="162" customWidth="1"/>
    <col min="14103" max="14103" width="9.25" style="162" bestFit="1" customWidth="1"/>
    <col min="14104" max="14104" width="11" style="162" bestFit="1" customWidth="1"/>
    <col min="14105" max="14337" width="9" style="162"/>
    <col min="14338" max="14338" width="4.625" style="162" bestFit="1" customWidth="1"/>
    <col min="14339" max="14339" width="7.5" style="162" bestFit="1" customWidth="1"/>
    <col min="14340" max="14340" width="6.25" style="162" customWidth="1"/>
    <col min="14341" max="14341" width="11" style="162" bestFit="1" customWidth="1"/>
    <col min="14342" max="14343" width="9.625" style="162" bestFit="1" customWidth="1"/>
    <col min="14344" max="14344" width="8.25" style="162" bestFit="1" customWidth="1"/>
    <col min="14345" max="14346" width="9.625" style="162" bestFit="1" customWidth="1"/>
    <col min="14347" max="14347" width="8.25" style="162" bestFit="1" customWidth="1"/>
    <col min="14348" max="14349" width="9.625" style="162" bestFit="1" customWidth="1"/>
    <col min="14350" max="14351" width="8.25" style="162" bestFit="1" customWidth="1"/>
    <col min="14352" max="14352" width="11" style="162" bestFit="1" customWidth="1"/>
    <col min="14353" max="14353" width="8" style="162" bestFit="1" customWidth="1"/>
    <col min="14354" max="14354" width="7.75" style="162" bestFit="1" customWidth="1"/>
    <col min="14355" max="14356" width="9.625" style="162" bestFit="1" customWidth="1"/>
    <col min="14357" max="14358" width="9.625" style="162" customWidth="1"/>
    <col min="14359" max="14359" width="9.25" style="162" bestFit="1" customWidth="1"/>
    <col min="14360" max="14360" width="11" style="162" bestFit="1" customWidth="1"/>
    <col min="14361" max="14593" width="9" style="162"/>
    <col min="14594" max="14594" width="4.625" style="162" bestFit="1" customWidth="1"/>
    <col min="14595" max="14595" width="7.5" style="162" bestFit="1" customWidth="1"/>
    <col min="14596" max="14596" width="6.25" style="162" customWidth="1"/>
    <col min="14597" max="14597" width="11" style="162" bestFit="1" customWidth="1"/>
    <col min="14598" max="14599" width="9.625" style="162" bestFit="1" customWidth="1"/>
    <col min="14600" max="14600" width="8.25" style="162" bestFit="1" customWidth="1"/>
    <col min="14601" max="14602" width="9.625" style="162" bestFit="1" customWidth="1"/>
    <col min="14603" max="14603" width="8.25" style="162" bestFit="1" customWidth="1"/>
    <col min="14604" max="14605" width="9.625" style="162" bestFit="1" customWidth="1"/>
    <col min="14606" max="14607" width="8.25" style="162" bestFit="1" customWidth="1"/>
    <col min="14608" max="14608" width="11" style="162" bestFit="1" customWidth="1"/>
    <col min="14609" max="14609" width="8" style="162" bestFit="1" customWidth="1"/>
    <col min="14610" max="14610" width="7.75" style="162" bestFit="1" customWidth="1"/>
    <col min="14611" max="14612" width="9.625" style="162" bestFit="1" customWidth="1"/>
    <col min="14613" max="14614" width="9.625" style="162" customWidth="1"/>
    <col min="14615" max="14615" width="9.25" style="162" bestFit="1" customWidth="1"/>
    <col min="14616" max="14616" width="11" style="162" bestFit="1" customWidth="1"/>
    <col min="14617" max="14849" width="9" style="162"/>
    <col min="14850" max="14850" width="4.625" style="162" bestFit="1" customWidth="1"/>
    <col min="14851" max="14851" width="7.5" style="162" bestFit="1" customWidth="1"/>
    <col min="14852" max="14852" width="6.25" style="162" customWidth="1"/>
    <col min="14853" max="14853" width="11" style="162" bestFit="1" customWidth="1"/>
    <col min="14854" max="14855" width="9.625" style="162" bestFit="1" customWidth="1"/>
    <col min="14856" max="14856" width="8.25" style="162" bestFit="1" customWidth="1"/>
    <col min="14857" max="14858" width="9.625" style="162" bestFit="1" customWidth="1"/>
    <col min="14859" max="14859" width="8.25" style="162" bestFit="1" customWidth="1"/>
    <col min="14860" max="14861" width="9.625" style="162" bestFit="1" customWidth="1"/>
    <col min="14862" max="14863" width="8.25" style="162" bestFit="1" customWidth="1"/>
    <col min="14864" max="14864" width="11" style="162" bestFit="1" customWidth="1"/>
    <col min="14865" max="14865" width="8" style="162" bestFit="1" customWidth="1"/>
    <col min="14866" max="14866" width="7.75" style="162" bestFit="1" customWidth="1"/>
    <col min="14867" max="14868" width="9.625" style="162" bestFit="1" customWidth="1"/>
    <col min="14869" max="14870" width="9.625" style="162" customWidth="1"/>
    <col min="14871" max="14871" width="9.25" style="162" bestFit="1" customWidth="1"/>
    <col min="14872" max="14872" width="11" style="162" bestFit="1" customWidth="1"/>
    <col min="14873" max="15105" width="9" style="162"/>
    <col min="15106" max="15106" width="4.625" style="162" bestFit="1" customWidth="1"/>
    <col min="15107" max="15107" width="7.5" style="162" bestFit="1" customWidth="1"/>
    <col min="15108" max="15108" width="6.25" style="162" customWidth="1"/>
    <col min="15109" max="15109" width="11" style="162" bestFit="1" customWidth="1"/>
    <col min="15110" max="15111" width="9.625" style="162" bestFit="1" customWidth="1"/>
    <col min="15112" max="15112" width="8.25" style="162" bestFit="1" customWidth="1"/>
    <col min="15113" max="15114" width="9.625" style="162" bestFit="1" customWidth="1"/>
    <col min="15115" max="15115" width="8.25" style="162" bestFit="1" customWidth="1"/>
    <col min="15116" max="15117" width="9.625" style="162" bestFit="1" customWidth="1"/>
    <col min="15118" max="15119" width="8.25" style="162" bestFit="1" customWidth="1"/>
    <col min="15120" max="15120" width="11" style="162" bestFit="1" customWidth="1"/>
    <col min="15121" max="15121" width="8" style="162" bestFit="1" customWidth="1"/>
    <col min="15122" max="15122" width="7.75" style="162" bestFit="1" customWidth="1"/>
    <col min="15123" max="15124" width="9.625" style="162" bestFit="1" customWidth="1"/>
    <col min="15125" max="15126" width="9.625" style="162" customWidth="1"/>
    <col min="15127" max="15127" width="9.25" style="162" bestFit="1" customWidth="1"/>
    <col min="15128" max="15128" width="11" style="162" bestFit="1" customWidth="1"/>
    <col min="15129" max="15361" width="9" style="162"/>
    <col min="15362" max="15362" width="4.625" style="162" bestFit="1" customWidth="1"/>
    <col min="15363" max="15363" width="7.5" style="162" bestFit="1" customWidth="1"/>
    <col min="15364" max="15364" width="6.25" style="162" customWidth="1"/>
    <col min="15365" max="15365" width="11" style="162" bestFit="1" customWidth="1"/>
    <col min="15366" max="15367" width="9.625" style="162" bestFit="1" customWidth="1"/>
    <col min="15368" max="15368" width="8.25" style="162" bestFit="1" customWidth="1"/>
    <col min="15369" max="15370" width="9.625" style="162" bestFit="1" customWidth="1"/>
    <col min="15371" max="15371" width="8.25" style="162" bestFit="1" customWidth="1"/>
    <col min="15372" max="15373" width="9.625" style="162" bestFit="1" customWidth="1"/>
    <col min="15374" max="15375" width="8.25" style="162" bestFit="1" customWidth="1"/>
    <col min="15376" max="15376" width="11" style="162" bestFit="1" customWidth="1"/>
    <col min="15377" max="15377" width="8" style="162" bestFit="1" customWidth="1"/>
    <col min="15378" max="15378" width="7.75" style="162" bestFit="1" customWidth="1"/>
    <col min="15379" max="15380" width="9.625" style="162" bestFit="1" customWidth="1"/>
    <col min="15381" max="15382" width="9.625" style="162" customWidth="1"/>
    <col min="15383" max="15383" width="9.25" style="162" bestFit="1" customWidth="1"/>
    <col min="15384" max="15384" width="11" style="162" bestFit="1" customWidth="1"/>
    <col min="15385" max="15617" width="9" style="162"/>
    <col min="15618" max="15618" width="4.625" style="162" bestFit="1" customWidth="1"/>
    <col min="15619" max="15619" width="7.5" style="162" bestFit="1" customWidth="1"/>
    <col min="15620" max="15620" width="6.25" style="162" customWidth="1"/>
    <col min="15621" max="15621" width="11" style="162" bestFit="1" customWidth="1"/>
    <col min="15622" max="15623" width="9.625" style="162" bestFit="1" customWidth="1"/>
    <col min="15624" max="15624" width="8.25" style="162" bestFit="1" customWidth="1"/>
    <col min="15625" max="15626" width="9.625" style="162" bestFit="1" customWidth="1"/>
    <col min="15627" max="15627" width="8.25" style="162" bestFit="1" customWidth="1"/>
    <col min="15628" max="15629" width="9.625" style="162" bestFit="1" customWidth="1"/>
    <col min="15630" max="15631" width="8.25" style="162" bestFit="1" customWidth="1"/>
    <col min="15632" max="15632" width="11" style="162" bestFit="1" customWidth="1"/>
    <col min="15633" max="15633" width="8" style="162" bestFit="1" customWidth="1"/>
    <col min="15634" max="15634" width="7.75" style="162" bestFit="1" customWidth="1"/>
    <col min="15635" max="15636" width="9.625" style="162" bestFit="1" customWidth="1"/>
    <col min="15637" max="15638" width="9.625" style="162" customWidth="1"/>
    <col min="15639" max="15639" width="9.25" style="162" bestFit="1" customWidth="1"/>
    <col min="15640" max="15640" width="11" style="162" bestFit="1" customWidth="1"/>
    <col min="15641" max="15873" width="9" style="162"/>
    <col min="15874" max="15874" width="4.625" style="162" bestFit="1" customWidth="1"/>
    <col min="15875" max="15875" width="7.5" style="162" bestFit="1" customWidth="1"/>
    <col min="15876" max="15876" width="6.25" style="162" customWidth="1"/>
    <col min="15877" max="15877" width="11" style="162" bestFit="1" customWidth="1"/>
    <col min="15878" max="15879" width="9.625" style="162" bestFit="1" customWidth="1"/>
    <col min="15880" max="15880" width="8.25" style="162" bestFit="1" customWidth="1"/>
    <col min="15881" max="15882" width="9.625" style="162" bestFit="1" customWidth="1"/>
    <col min="15883" max="15883" width="8.25" style="162" bestFit="1" customWidth="1"/>
    <col min="15884" max="15885" width="9.625" style="162" bestFit="1" customWidth="1"/>
    <col min="15886" max="15887" width="8.25" style="162" bestFit="1" customWidth="1"/>
    <col min="15888" max="15888" width="11" style="162" bestFit="1" customWidth="1"/>
    <col min="15889" max="15889" width="8" style="162" bestFit="1" customWidth="1"/>
    <col min="15890" max="15890" width="7.75" style="162" bestFit="1" customWidth="1"/>
    <col min="15891" max="15892" width="9.625" style="162" bestFit="1" customWidth="1"/>
    <col min="15893" max="15894" width="9.625" style="162" customWidth="1"/>
    <col min="15895" max="15895" width="9.25" style="162" bestFit="1" customWidth="1"/>
    <col min="15896" max="15896" width="11" style="162" bestFit="1" customWidth="1"/>
    <col min="15897" max="16129" width="9" style="162"/>
    <col min="16130" max="16130" width="4.625" style="162" bestFit="1" customWidth="1"/>
    <col min="16131" max="16131" width="7.5" style="162" bestFit="1" customWidth="1"/>
    <col min="16132" max="16132" width="6.25" style="162" customWidth="1"/>
    <col min="16133" max="16133" width="11" style="162" bestFit="1" customWidth="1"/>
    <col min="16134" max="16135" width="9.625" style="162" bestFit="1" customWidth="1"/>
    <col min="16136" max="16136" width="8.25" style="162" bestFit="1" customWidth="1"/>
    <col min="16137" max="16138" width="9.625" style="162" bestFit="1" customWidth="1"/>
    <col min="16139" max="16139" width="8.25" style="162" bestFit="1" customWidth="1"/>
    <col min="16140" max="16141" width="9.625" style="162" bestFit="1" customWidth="1"/>
    <col min="16142" max="16143" width="8.25" style="162" bestFit="1" customWidth="1"/>
    <col min="16144" max="16144" width="11" style="162" bestFit="1" customWidth="1"/>
    <col min="16145" max="16145" width="8" style="162" bestFit="1" customWidth="1"/>
    <col min="16146" max="16146" width="7.75" style="162" bestFit="1" customWidth="1"/>
    <col min="16147" max="16148" width="9.625" style="162" bestFit="1" customWidth="1"/>
    <col min="16149" max="16150" width="9.625" style="162" customWidth="1"/>
    <col min="16151" max="16151" width="9.25" style="162" bestFit="1" customWidth="1"/>
    <col min="16152" max="16152" width="11" style="162" bestFit="1" customWidth="1"/>
    <col min="16153" max="16384" width="9" style="162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271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63"/>
      <c r="V4" s="252"/>
      <c r="W4" s="252"/>
      <c r="X4" s="252"/>
    </row>
    <row r="5" spans="2:29" ht="20.25" customHeight="1" x14ac:dyDescent="0.3">
      <c r="B5" s="253" t="s">
        <v>272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64"/>
      <c r="Q5" s="69"/>
      <c r="R5" s="69"/>
      <c r="S5" s="69"/>
      <c r="T5" s="252"/>
      <c r="U5" s="163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>
        <f>IFERROR(IF(AND(P9-AC9&gt;=월액최저,P9-AC9&lt;=월액최고),ROUNDDOWN((P9-AC9)*국민연금,-1),IF(P9-AC9&gt;=월액최고,최고연금,IF(AND(P9-AC9&lt;=월액최저,P9-AC9&gt;=1),최저연금,))),)</f>
        <v>99000</v>
      </c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229290</v>
      </c>
      <c r="X9" s="97">
        <f t="shared" ref="X9:X24" si="7">P9-W9</f>
        <v>2270710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>
        <f t="shared" ref="S10" si="8">IFERROR(IF(AND(P10-AC10&gt;=월액최저,P10-AC10&lt;=월액최고),ROUNDDOWN((P10-AC10)*국민연금,-1),IF(P10-AC10&gt;=월액최고,최고연금,IF(AND(P10-AC10&lt;=월액최저,P10-AC10&gt;=1),최저연금,))),)</f>
        <v>99000</v>
      </c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229290</v>
      </c>
      <c r="X10" s="128">
        <f t="shared" si="7"/>
        <v>2270710</v>
      </c>
      <c r="Z10" s="98">
        <v>1</v>
      </c>
      <c r="AA10" s="99"/>
      <c r="AC10" s="100">
        <f t="shared" ref="AC10:AC13" si="9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9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9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9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" si="10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1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" si="12">IFERROR(IF(D15&lt;&gt;"대표이사",ROUNDDOWN((P15-AC15)*고용보험율,-1),0),)</f>
        <v>17600</v>
      </c>
      <c r="W15" s="124">
        <f t="shared" ref="W15" si="13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24" si="14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119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4"/>
        <v>300000</v>
      </c>
    </row>
    <row r="17" spans="2:29" ht="20.100000000000001" customHeight="1" x14ac:dyDescent="0.3">
      <c r="B17" s="101">
        <v>9</v>
      </c>
      <c r="C17" s="87" t="s">
        <v>247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21" si="15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24" si="16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ref="V17:V24" si="17">IFERROR(IF(D17&lt;&gt;"대표이사",ROUNDDOWN((P17-AC17)*고용보험율,-1),0),)</f>
        <v>17600</v>
      </c>
      <c r="W17" s="124">
        <f t="shared" ref="W17:W24" si="18">SUM(Q17:V17)</f>
        <v>229290</v>
      </c>
      <c r="X17" s="128">
        <f t="shared" si="7"/>
        <v>2270710</v>
      </c>
      <c r="Z17" s="98">
        <v>1</v>
      </c>
      <c r="AA17" s="99"/>
      <c r="AC17" s="100">
        <f t="shared" si="14"/>
        <v>300000</v>
      </c>
    </row>
    <row r="18" spans="2:29" ht="20.100000000000001" customHeight="1" x14ac:dyDescent="0.3">
      <c r="B18" s="101">
        <v>10</v>
      </c>
      <c r="C18" s="170" t="s">
        <v>143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5"/>
        <v>2500000</v>
      </c>
      <c r="Q18" s="125">
        <f t="shared" si="1"/>
        <v>25950</v>
      </c>
      <c r="R18" s="126">
        <f t="shared" si="2"/>
        <v>2590</v>
      </c>
      <c r="S18" s="126">
        <f t="shared" si="16"/>
        <v>99000</v>
      </c>
      <c r="T18" s="95">
        <f t="shared" si="3"/>
        <v>75460</v>
      </c>
      <c r="U18" s="96">
        <f t="shared" si="4"/>
        <v>8690</v>
      </c>
      <c r="V18" s="127">
        <f t="shared" si="17"/>
        <v>17600</v>
      </c>
      <c r="W18" s="124">
        <f t="shared" si="18"/>
        <v>229290</v>
      </c>
      <c r="X18" s="128">
        <f t="shared" si="7"/>
        <v>2270710</v>
      </c>
      <c r="Z18" s="98">
        <v>1</v>
      </c>
      <c r="AA18" s="99"/>
      <c r="AC18" s="100">
        <f t="shared" si="14"/>
        <v>300000</v>
      </c>
    </row>
    <row r="19" spans="2:29" ht="20.100000000000001" customHeight="1" x14ac:dyDescent="0.3">
      <c r="B19" s="101">
        <v>11</v>
      </c>
      <c r="C19" s="87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5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4"/>
        <v>300000</v>
      </c>
    </row>
    <row r="20" spans="2:29" ht="20.100000000000001" customHeight="1" x14ac:dyDescent="0.3">
      <c r="B20" s="101">
        <v>12</v>
      </c>
      <c r="C20" s="169" t="s">
        <v>273</v>
      </c>
      <c r="D20" s="88" t="s">
        <v>50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si="15"/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ht="20.100000000000001" customHeight="1" x14ac:dyDescent="0.3">
      <c r="B21" s="101">
        <v>13</v>
      </c>
      <c r="C21" s="87" t="s">
        <v>251</v>
      </c>
      <c r="D21" s="88" t="s">
        <v>50</v>
      </c>
      <c r="E21" s="89">
        <v>2100000</v>
      </c>
      <c r="F21" s="106"/>
      <c r="G21" s="106"/>
      <c r="H21" s="106"/>
      <c r="I21" s="106"/>
      <c r="J21" s="107"/>
      <c r="K21" s="107"/>
      <c r="L21" s="107"/>
      <c r="M21" s="107"/>
      <c r="N21" s="89">
        <v>200000</v>
      </c>
      <c r="O21" s="130">
        <v>200000</v>
      </c>
      <c r="P21" s="124">
        <f t="shared" si="15"/>
        <v>2500000</v>
      </c>
      <c r="Q21" s="125">
        <f t="shared" ref="Q21" si="19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/>
      <c r="T21" s="95">
        <f t="shared" ref="T21" si="20">IFERROR(ROUNDDOWN((P21-AC21)*3.43%,-1),)</f>
        <v>75460</v>
      </c>
      <c r="U21" s="96">
        <f t="shared" si="4"/>
        <v>8690</v>
      </c>
      <c r="V21" s="127">
        <f t="shared" ref="V21" si="21">IFERROR(IF(D21&lt;&gt;"대표이사",ROUNDDOWN((P21-AC21)*고용보험율,-1),0),)</f>
        <v>17600</v>
      </c>
      <c r="W21" s="124">
        <f t="shared" ref="W21" si="22">SUM(Q21:V21)</f>
        <v>130290</v>
      </c>
      <c r="X21" s="128">
        <f t="shared" si="7"/>
        <v>2369710</v>
      </c>
      <c r="Z21" s="98">
        <v>1</v>
      </c>
      <c r="AA21" s="99"/>
      <c r="AC21" s="100">
        <f t="shared" ref="AC21" si="23">IF(N21&gt;=100000,100000,N21)+IF(O21&gt;=200000,200000,O21)</f>
        <v>300000</v>
      </c>
    </row>
    <row r="22" spans="2:29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24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ht="20.100000000000001" customHeight="1" x14ac:dyDescent="0.3">
      <c r="B23" s="101">
        <v>15</v>
      </c>
      <c r="C23" s="169" t="s">
        <v>219</v>
      </c>
      <c r="D23" s="88" t="s">
        <v>50</v>
      </c>
      <c r="E23" s="89">
        <v>2100000</v>
      </c>
      <c r="F23" s="106"/>
      <c r="G23" s="106"/>
      <c r="H23" s="106"/>
      <c r="I23" s="106"/>
      <c r="J23" s="107"/>
      <c r="K23" s="107"/>
      <c r="L23" s="107"/>
      <c r="M23" s="107"/>
      <c r="N23" s="89">
        <v>200000</v>
      </c>
      <c r="O23" s="130">
        <v>200000</v>
      </c>
      <c r="P23" s="124">
        <f t="shared" ref="P23" si="25">SUM(E23:O23)</f>
        <v>2500000</v>
      </c>
      <c r="Q23" s="94">
        <v>25950</v>
      </c>
      <c r="R23" s="126">
        <f t="shared" si="2"/>
        <v>2590</v>
      </c>
      <c r="S23" s="126">
        <v>99000</v>
      </c>
      <c r="T23" s="95">
        <v>75460</v>
      </c>
      <c r="U23" s="96">
        <f t="shared" si="4"/>
        <v>8690</v>
      </c>
      <c r="V23" s="127">
        <v>17600</v>
      </c>
      <c r="W23" s="124">
        <f>SUM(Q23:V23)</f>
        <v>229290</v>
      </c>
      <c r="X23" s="97">
        <f t="shared" si="7"/>
        <v>2270710</v>
      </c>
      <c r="Z23" s="98">
        <v>1</v>
      </c>
      <c r="AA23" s="99"/>
      <c r="AC23" s="100"/>
    </row>
    <row r="24" spans="2:29" ht="20.100000000000001" customHeight="1" x14ac:dyDescent="0.3">
      <c r="B24" s="101"/>
      <c r="C24" s="87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>
        <f t="shared" si="1"/>
        <v>0</v>
      </c>
      <c r="R24" s="126">
        <f t="shared" si="2"/>
        <v>0</v>
      </c>
      <c r="S24" s="126">
        <f t="shared" si="16"/>
        <v>0</v>
      </c>
      <c r="T24" s="95">
        <f t="shared" si="3"/>
        <v>0</v>
      </c>
      <c r="U24" s="96">
        <f t="shared" si="4"/>
        <v>0</v>
      </c>
      <c r="V24" s="127">
        <f t="shared" si="17"/>
        <v>0</v>
      </c>
      <c r="W24" s="124">
        <f t="shared" si="18"/>
        <v>0</v>
      </c>
      <c r="X24" s="128">
        <f t="shared" si="7"/>
        <v>0</v>
      </c>
      <c r="Z24" s="98">
        <v>1</v>
      </c>
      <c r="AA24" s="99"/>
      <c r="AC24" s="100">
        <f t="shared" si="14"/>
        <v>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26">SUM(E9:E24)</f>
        <v>31500000</v>
      </c>
      <c r="F25" s="132">
        <f t="shared" si="26"/>
        <v>0</v>
      </c>
      <c r="G25" s="132">
        <f t="shared" si="26"/>
        <v>0</v>
      </c>
      <c r="H25" s="132">
        <f t="shared" si="26"/>
        <v>0</v>
      </c>
      <c r="I25" s="132">
        <f t="shared" si="26"/>
        <v>0</v>
      </c>
      <c r="J25" s="132">
        <f t="shared" si="26"/>
        <v>0</v>
      </c>
      <c r="K25" s="132">
        <f t="shared" si="26"/>
        <v>0</v>
      </c>
      <c r="L25" s="132">
        <f t="shared" si="26"/>
        <v>0</v>
      </c>
      <c r="M25" s="133">
        <f t="shared" si="26"/>
        <v>0</v>
      </c>
      <c r="N25" s="131">
        <f t="shared" si="26"/>
        <v>3000000</v>
      </c>
      <c r="O25" s="134">
        <f t="shared" si="26"/>
        <v>3000000</v>
      </c>
      <c r="P25" s="135">
        <f t="shared" si="26"/>
        <v>37500000</v>
      </c>
      <c r="Q25" s="131">
        <f t="shared" si="26"/>
        <v>389250</v>
      </c>
      <c r="R25" s="132">
        <f t="shared" si="26"/>
        <v>38850</v>
      </c>
      <c r="S25" s="132">
        <f t="shared" si="26"/>
        <v>792000</v>
      </c>
      <c r="T25" s="132">
        <f t="shared" si="26"/>
        <v>1131900</v>
      </c>
      <c r="U25" s="133">
        <f t="shared" si="26"/>
        <v>130350</v>
      </c>
      <c r="V25" s="133">
        <f t="shared" si="26"/>
        <v>264000</v>
      </c>
      <c r="W25" s="135">
        <f t="shared" si="26"/>
        <v>2746350</v>
      </c>
      <c r="X25" s="136">
        <f t="shared" si="26"/>
        <v>34753650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273</v>
      </c>
      <c r="D28" s="197" t="s">
        <v>192</v>
      </c>
      <c r="E28" s="198"/>
      <c r="F28" s="204" t="s">
        <v>274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 t="s">
        <v>276</v>
      </c>
      <c r="D32" s="197" t="s">
        <v>220</v>
      </c>
      <c r="E32" s="198"/>
      <c r="F32" s="199" t="s">
        <v>277</v>
      </c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5"/>
      <c r="C34" s="147"/>
      <c r="D34" s="197"/>
      <c r="E34" s="198"/>
      <c r="F34" s="204"/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6"/>
      <c r="C35" s="122"/>
      <c r="D35" s="197"/>
      <c r="E35" s="198"/>
      <c r="F35" s="204"/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20.100000000000001" customHeight="1" x14ac:dyDescent="0.3">
      <c r="Q36" s="64"/>
      <c r="R36" s="64"/>
      <c r="S36" s="64"/>
      <c r="T36" s="64"/>
      <c r="U36" s="64"/>
      <c r="V36" s="64"/>
    </row>
    <row r="37" spans="2:22" s="64" customFormat="1" ht="20.100000000000001" customHeight="1" x14ac:dyDescent="0.3">
      <c r="B37" s="162"/>
      <c r="C37" s="162"/>
      <c r="D37" s="162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62"/>
      <c r="C38" s="162"/>
      <c r="D38" s="162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62"/>
      <c r="C39" s="162"/>
      <c r="D39" s="162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62"/>
      <c r="C40" s="162"/>
      <c r="D40" s="162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62"/>
      <c r="C41" s="162"/>
      <c r="D41" s="162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62"/>
      <c r="C42" s="162"/>
      <c r="D42" s="162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62"/>
      <c r="C43" s="162"/>
      <c r="D43" s="162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62"/>
      <c r="C44" s="162"/>
      <c r="D44" s="162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62"/>
      <c r="C45" s="162"/>
      <c r="D45" s="1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62"/>
      <c r="C46" s="162"/>
      <c r="D46" s="1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62"/>
      <c r="C47" s="162"/>
      <c r="D47" s="162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62"/>
      <c r="C48" s="162"/>
      <c r="D48" s="162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62"/>
      <c r="C49" s="162"/>
      <c r="D49" s="162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62"/>
      <c r="C50" s="162"/>
      <c r="D50" s="162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62"/>
      <c r="C51" s="162"/>
      <c r="D51" s="162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62"/>
      <c r="C52" s="162"/>
      <c r="D52" s="162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62"/>
      <c r="C53" s="162"/>
      <c r="D53" s="162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62"/>
      <c r="C54" s="162"/>
      <c r="D54" s="1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62"/>
      <c r="C55" s="162"/>
      <c r="D55" s="162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62"/>
      <c r="C56" s="162"/>
      <c r="D56" s="162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62"/>
      <c r="C57" s="162"/>
      <c r="D57" s="162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62"/>
      <c r="C58" s="162"/>
      <c r="D58" s="162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62"/>
      <c r="C59" s="162"/>
      <c r="D59" s="162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62"/>
      <c r="C60" s="162"/>
      <c r="D60" s="1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62"/>
      <c r="C61" s="162"/>
      <c r="D61" s="162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62"/>
      <c r="C62" s="162"/>
      <c r="D62" s="162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62"/>
      <c r="C63" s="162"/>
      <c r="D63" s="162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62"/>
      <c r="C64" s="162"/>
      <c r="D64" s="162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62"/>
      <c r="C65" s="162"/>
      <c r="D65" s="162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62"/>
      <c r="C66" s="162"/>
      <c r="D66" s="162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62"/>
      <c r="C67" s="162"/>
      <c r="D67" s="162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62"/>
      <c r="C68" s="162"/>
      <c r="D68" s="162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62"/>
      <c r="C69" s="162"/>
      <c r="D69" s="162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62"/>
      <c r="C70" s="162"/>
      <c r="D70" s="162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62"/>
      <c r="C71" s="162"/>
      <c r="D71" s="162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62"/>
      <c r="C72" s="162"/>
      <c r="D72" s="162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62"/>
      <c r="C73" s="162"/>
      <c r="D73" s="162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62"/>
      <c r="C74" s="162"/>
      <c r="D74" s="162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62"/>
      <c r="C75" s="162"/>
      <c r="D75" s="162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62"/>
      <c r="C76" s="162"/>
      <c r="D76" s="162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62"/>
      <c r="C77" s="162"/>
      <c r="D77" s="162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62"/>
      <c r="C78" s="162"/>
      <c r="D78" s="162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62"/>
      <c r="C79" s="162"/>
      <c r="D79" s="162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62"/>
      <c r="C80" s="162"/>
      <c r="D80" s="162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62"/>
      <c r="C81" s="162"/>
      <c r="D81" s="162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62"/>
      <c r="C82" s="162"/>
      <c r="D82" s="162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62"/>
      <c r="C83" s="162"/>
      <c r="D83" s="162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62"/>
      <c r="C84" s="162"/>
      <c r="D84" s="162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62"/>
      <c r="C85" s="162"/>
      <c r="D85" s="162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62"/>
      <c r="C86" s="162"/>
      <c r="D86" s="162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62"/>
      <c r="C87" s="162"/>
      <c r="D87" s="162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62"/>
      <c r="C88" s="162"/>
      <c r="D88" s="162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62"/>
      <c r="C89" s="162"/>
      <c r="D89" s="162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62"/>
      <c r="C90" s="162"/>
      <c r="D90" s="162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62"/>
      <c r="C91" s="162"/>
      <c r="D91" s="162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62"/>
      <c r="C92" s="162"/>
      <c r="D92" s="162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62"/>
      <c r="C93" s="162"/>
      <c r="D93" s="162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62"/>
      <c r="C94" s="162"/>
      <c r="D94" s="162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62"/>
      <c r="C95" s="162"/>
      <c r="D95" s="162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62"/>
      <c r="C96" s="162"/>
      <c r="D96" s="162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62"/>
      <c r="C97" s="162"/>
      <c r="D97" s="162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62"/>
      <c r="C98" s="162"/>
      <c r="D98" s="162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62"/>
      <c r="C99" s="162"/>
      <c r="D99" s="162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62"/>
      <c r="C100" s="162"/>
      <c r="D100" s="162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62"/>
      <c r="C101" s="162"/>
      <c r="D101" s="162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62"/>
      <c r="C102" s="162"/>
      <c r="D102" s="162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62"/>
      <c r="C103" s="162"/>
      <c r="D103" s="162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62"/>
      <c r="C104" s="162"/>
      <c r="D104" s="162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62"/>
      <c r="C105" s="162"/>
      <c r="D105" s="162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62"/>
      <c r="C106" s="162"/>
      <c r="D106" s="162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62"/>
      <c r="C107" s="162"/>
      <c r="D107" s="162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62"/>
      <c r="C108" s="162"/>
      <c r="D108" s="162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62"/>
      <c r="C109" s="162"/>
      <c r="D109" s="162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62"/>
      <c r="C110" s="162"/>
      <c r="D110" s="162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62"/>
      <c r="C111" s="162"/>
      <c r="D111" s="162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62"/>
      <c r="C112" s="162"/>
      <c r="D112" s="162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62"/>
      <c r="C113" s="162"/>
      <c r="D113" s="162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62"/>
      <c r="C114" s="162"/>
      <c r="D114" s="162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62"/>
      <c r="C115" s="162"/>
      <c r="D115" s="162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62"/>
      <c r="C116" s="162"/>
      <c r="D116" s="162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62"/>
      <c r="C117" s="162"/>
      <c r="D117" s="162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62"/>
      <c r="C118" s="162"/>
      <c r="D118" s="162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62"/>
      <c r="C119" s="162"/>
      <c r="D119" s="162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62"/>
      <c r="C120" s="162"/>
      <c r="D120" s="162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62"/>
      <c r="C121" s="162"/>
      <c r="D121" s="162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62"/>
      <c r="C122" s="162"/>
      <c r="D122" s="162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62"/>
      <c r="C123" s="162"/>
      <c r="D123" s="162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62"/>
      <c r="C124" s="162"/>
      <c r="D124" s="162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62"/>
      <c r="C125" s="162"/>
      <c r="D125" s="162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62"/>
      <c r="C126" s="162"/>
      <c r="D126" s="162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62"/>
      <c r="C127" s="162"/>
      <c r="D127" s="162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62"/>
      <c r="C128" s="162"/>
      <c r="D128" s="162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62"/>
      <c r="C129" s="162"/>
      <c r="D129" s="162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62"/>
      <c r="C130" s="162"/>
      <c r="D130" s="162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62"/>
      <c r="C131" s="162"/>
      <c r="D131" s="162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62"/>
      <c r="C132" s="162"/>
      <c r="D132" s="162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62"/>
      <c r="C133" s="162"/>
      <c r="D133" s="162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62"/>
      <c r="C134" s="162"/>
      <c r="D134" s="162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62"/>
      <c r="C135" s="162"/>
      <c r="D135" s="162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62"/>
      <c r="C136" s="162"/>
      <c r="D136" s="162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62"/>
      <c r="C137" s="162"/>
      <c r="D137" s="162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62"/>
      <c r="C138" s="162"/>
      <c r="D138" s="162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62"/>
      <c r="C139" s="162"/>
      <c r="D139" s="162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62"/>
      <c r="C140" s="162"/>
      <c r="D140" s="162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62"/>
      <c r="C141" s="162"/>
      <c r="D141" s="162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62"/>
      <c r="C142" s="162"/>
      <c r="D142" s="162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62"/>
      <c r="C143" s="162"/>
      <c r="D143" s="162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62"/>
      <c r="C144" s="162"/>
      <c r="D144" s="162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62"/>
      <c r="C145" s="162"/>
      <c r="D145" s="162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62"/>
      <c r="C146" s="162"/>
      <c r="D146" s="162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62"/>
      <c r="C147" s="162"/>
      <c r="D147" s="162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62"/>
      <c r="C148" s="162"/>
      <c r="D148" s="162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62"/>
      <c r="C149" s="162"/>
      <c r="D149" s="162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62"/>
      <c r="C150" s="162"/>
      <c r="D150" s="162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62"/>
      <c r="C151" s="162"/>
      <c r="D151" s="162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62"/>
      <c r="C152" s="162"/>
      <c r="D152" s="162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62"/>
      <c r="C153" s="162"/>
      <c r="D153" s="162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62"/>
      <c r="C154" s="162"/>
      <c r="D154" s="162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62"/>
      <c r="C155" s="162"/>
      <c r="D155" s="162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62"/>
      <c r="C156" s="162"/>
      <c r="D156" s="162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62"/>
      <c r="C157" s="162"/>
      <c r="D157" s="162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62"/>
      <c r="C158" s="162"/>
      <c r="D158" s="162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62"/>
      <c r="C159" s="162"/>
      <c r="D159" s="162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62"/>
      <c r="C160" s="162"/>
      <c r="D160" s="162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62"/>
      <c r="C161" s="162"/>
      <c r="D161" s="162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62"/>
      <c r="C162" s="162"/>
      <c r="D162" s="162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62"/>
      <c r="C163" s="162"/>
      <c r="D163" s="162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62"/>
      <c r="C164" s="162"/>
      <c r="D164" s="162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62"/>
      <c r="C165" s="162"/>
      <c r="D165" s="162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62"/>
      <c r="C166" s="162"/>
      <c r="D166" s="162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62"/>
      <c r="C167" s="162"/>
      <c r="D167" s="162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62"/>
      <c r="C168" s="162"/>
      <c r="D168" s="162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62"/>
      <c r="C169" s="162"/>
      <c r="D169" s="162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62"/>
      <c r="C170" s="162"/>
      <c r="D170" s="162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62"/>
      <c r="C171" s="162"/>
      <c r="D171" s="162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62"/>
      <c r="C172" s="162"/>
      <c r="D172" s="162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62"/>
      <c r="C173" s="162"/>
      <c r="D173" s="162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62"/>
      <c r="C174" s="162"/>
      <c r="D174" s="162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62"/>
      <c r="C175" s="162"/>
      <c r="D175" s="162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62"/>
      <c r="C176" s="162"/>
      <c r="D176" s="162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62"/>
      <c r="C177" s="162"/>
      <c r="D177" s="162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62"/>
      <c r="C178" s="162"/>
      <c r="D178" s="162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62"/>
      <c r="C179" s="162"/>
      <c r="D179" s="162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62"/>
      <c r="C180" s="162"/>
      <c r="D180" s="162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62"/>
      <c r="C181" s="162"/>
      <c r="D181" s="162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62"/>
      <c r="C182" s="162"/>
      <c r="D182" s="162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62"/>
      <c r="C183" s="162"/>
      <c r="D183" s="162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62"/>
      <c r="C184" s="162"/>
      <c r="D184" s="162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62"/>
      <c r="C185" s="162"/>
      <c r="D185" s="162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62"/>
      <c r="C186" s="162"/>
      <c r="D186" s="162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62"/>
      <c r="C187" s="162"/>
      <c r="D187" s="162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62"/>
      <c r="C188" s="162"/>
      <c r="D188" s="162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62"/>
      <c r="C189" s="162"/>
      <c r="D189" s="162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62"/>
      <c r="C190" s="162"/>
      <c r="D190" s="162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62"/>
      <c r="C191" s="162"/>
      <c r="D191" s="162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62"/>
      <c r="C192" s="162"/>
      <c r="D192" s="162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62"/>
      <c r="C193" s="162"/>
      <c r="D193" s="162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62"/>
      <c r="C194" s="162"/>
      <c r="D194" s="162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62"/>
      <c r="C195" s="162"/>
      <c r="D195" s="162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62"/>
      <c r="C196" s="162"/>
      <c r="D196" s="162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62"/>
      <c r="C197" s="162"/>
      <c r="D197" s="162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62"/>
      <c r="C198" s="162"/>
      <c r="D198" s="162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62"/>
      <c r="C199" s="162"/>
      <c r="D199" s="162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62"/>
      <c r="C200" s="162"/>
      <c r="D200" s="162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62"/>
      <c r="C201" s="162"/>
      <c r="D201" s="162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62"/>
      <c r="C202" s="162"/>
      <c r="D202" s="162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62"/>
      <c r="C203" s="162"/>
      <c r="D203" s="162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62"/>
      <c r="C204" s="162"/>
      <c r="D204" s="162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62"/>
      <c r="C205" s="162"/>
      <c r="D205" s="162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62"/>
      <c r="C206" s="162"/>
      <c r="D206" s="162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62"/>
      <c r="C207" s="162"/>
      <c r="D207" s="162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62"/>
      <c r="C208" s="162"/>
      <c r="D208" s="162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62"/>
      <c r="C209" s="162"/>
      <c r="D209" s="162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62"/>
      <c r="C210" s="162"/>
      <c r="D210" s="162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62"/>
      <c r="C211" s="162"/>
      <c r="D211" s="162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62"/>
      <c r="C212" s="162"/>
      <c r="D212" s="162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62"/>
      <c r="C213" s="162"/>
      <c r="D213" s="162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62"/>
      <c r="C214" s="162"/>
      <c r="D214" s="162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62"/>
      <c r="C215" s="162"/>
      <c r="D215" s="162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62"/>
      <c r="C216" s="162"/>
      <c r="D216" s="162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62"/>
      <c r="C217" s="162"/>
      <c r="D217" s="162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62"/>
      <c r="C218" s="162"/>
      <c r="D218" s="162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62"/>
      <c r="C219" s="162"/>
      <c r="D219" s="162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62"/>
      <c r="C220" s="162"/>
      <c r="D220" s="162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62"/>
      <c r="C221" s="162"/>
      <c r="D221" s="162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62"/>
      <c r="C222" s="162"/>
      <c r="D222" s="162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62"/>
      <c r="C223" s="162"/>
      <c r="D223" s="162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62"/>
      <c r="C224" s="162"/>
      <c r="D224" s="162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62"/>
      <c r="C225" s="162"/>
      <c r="D225" s="162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62"/>
      <c r="C226" s="162"/>
      <c r="D226" s="162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62"/>
      <c r="C227" s="162"/>
      <c r="D227" s="162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62"/>
      <c r="C228" s="162"/>
      <c r="D228" s="162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62"/>
      <c r="C229" s="162"/>
      <c r="D229" s="162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62"/>
      <c r="C230" s="162"/>
      <c r="D230" s="162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62"/>
      <c r="C231" s="162"/>
      <c r="D231" s="162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62"/>
      <c r="C232" s="162"/>
      <c r="D232" s="162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62"/>
      <c r="C233" s="162"/>
      <c r="D233" s="162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62"/>
      <c r="C234" s="162"/>
      <c r="D234" s="162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62"/>
      <c r="C235" s="162"/>
      <c r="D235" s="162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62"/>
      <c r="C236" s="162"/>
      <c r="D236" s="162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62"/>
      <c r="C237" s="162"/>
      <c r="D237" s="162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62"/>
      <c r="C238" s="162"/>
      <c r="D238" s="162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62"/>
      <c r="C239" s="162"/>
      <c r="D239" s="162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62"/>
      <c r="C240" s="162"/>
      <c r="D240" s="162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62"/>
      <c r="C241" s="162"/>
      <c r="D241" s="162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62"/>
      <c r="C242" s="162"/>
      <c r="D242" s="162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62"/>
      <c r="C243" s="162"/>
      <c r="D243" s="162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62"/>
      <c r="C244" s="162"/>
      <c r="D244" s="162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62"/>
      <c r="C245" s="162"/>
      <c r="D245" s="162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62"/>
      <c r="C246" s="162"/>
      <c r="D246" s="162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62"/>
      <c r="C247" s="162"/>
      <c r="D247" s="162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62"/>
      <c r="C248" s="162"/>
      <c r="D248" s="162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62"/>
      <c r="C249" s="162"/>
      <c r="D249" s="162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62"/>
      <c r="C250" s="162"/>
      <c r="D250" s="162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62"/>
      <c r="C251" s="162"/>
      <c r="D251" s="162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62"/>
      <c r="C252" s="162"/>
      <c r="D252" s="162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62"/>
      <c r="C253" s="162"/>
      <c r="D253" s="162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62"/>
      <c r="C254" s="162"/>
      <c r="D254" s="162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62"/>
      <c r="C255" s="162"/>
      <c r="D255" s="162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62"/>
      <c r="C256" s="162"/>
      <c r="D256" s="162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62"/>
      <c r="C257" s="162"/>
      <c r="D257" s="162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62"/>
      <c r="C258" s="162"/>
      <c r="D258" s="162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62"/>
      <c r="C259" s="162"/>
      <c r="D259" s="162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62"/>
      <c r="C260" s="162"/>
      <c r="D260" s="162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62"/>
      <c r="C261" s="162"/>
      <c r="D261" s="162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62"/>
      <c r="C262" s="162"/>
      <c r="D262" s="162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62"/>
      <c r="C263" s="162"/>
      <c r="D263" s="162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62"/>
      <c r="C264" s="162"/>
      <c r="D264" s="162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62"/>
      <c r="C265" s="162"/>
      <c r="D265" s="162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62"/>
      <c r="C266" s="162"/>
      <c r="D266" s="162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62"/>
      <c r="C267" s="162"/>
      <c r="D267" s="162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62"/>
      <c r="C268" s="162"/>
      <c r="D268" s="162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62"/>
      <c r="C269" s="162"/>
      <c r="D269" s="162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62"/>
      <c r="C270" s="162"/>
      <c r="D270" s="162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62"/>
      <c r="C271" s="162"/>
      <c r="D271" s="162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62"/>
      <c r="C272" s="162"/>
      <c r="D272" s="162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62"/>
      <c r="C273" s="162"/>
      <c r="D273" s="162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62"/>
      <c r="C274" s="162"/>
      <c r="D274" s="162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62"/>
      <c r="C275" s="162"/>
      <c r="D275" s="162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62"/>
      <c r="C276" s="162"/>
      <c r="D276" s="162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62"/>
      <c r="C277" s="162"/>
      <c r="D277" s="162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62"/>
      <c r="C278" s="162"/>
      <c r="D278" s="162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62"/>
      <c r="C279" s="162"/>
      <c r="D279" s="162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62"/>
      <c r="C280" s="162"/>
      <c r="D280" s="162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62"/>
      <c r="C281" s="162"/>
      <c r="D281" s="162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62"/>
      <c r="C282" s="162"/>
      <c r="D282" s="162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62"/>
      <c r="C283" s="162"/>
      <c r="D283" s="162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X4:X5"/>
    <mergeCell ref="B5:E5"/>
    <mergeCell ref="F5:G5"/>
    <mergeCell ref="B3:E4"/>
    <mergeCell ref="L3:P3"/>
    <mergeCell ref="T4:T5"/>
    <mergeCell ref="V4:V5"/>
    <mergeCell ref="W4:W5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D31:E31"/>
    <mergeCell ref="F31:G31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B32:B35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topLeftCell="A7" workbookViewId="0">
      <selection activeCell="D28" sqref="D28:E28"/>
    </sheetView>
  </sheetViews>
  <sheetFormatPr defaultRowHeight="13.5" x14ac:dyDescent="0.3"/>
  <cols>
    <col min="1" max="1" width="1.625" style="167" customWidth="1"/>
    <col min="2" max="2" width="4.625" style="167" bestFit="1" customWidth="1"/>
    <col min="3" max="3" width="7.625" style="167" bestFit="1" customWidth="1"/>
    <col min="4" max="4" width="8" style="167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67" customWidth="1"/>
    <col min="26" max="26" width="8.375" style="167" customWidth="1"/>
    <col min="27" max="27" width="7.25" style="167" customWidth="1"/>
    <col min="28" max="28" width="3.875" style="167" customWidth="1"/>
    <col min="29" max="29" width="0.5" style="167" customWidth="1"/>
    <col min="30" max="257" width="9" style="167"/>
    <col min="258" max="258" width="4.625" style="167" bestFit="1" customWidth="1"/>
    <col min="259" max="259" width="7.5" style="167" bestFit="1" customWidth="1"/>
    <col min="260" max="260" width="6.25" style="167" customWidth="1"/>
    <col min="261" max="261" width="11" style="167" bestFit="1" customWidth="1"/>
    <col min="262" max="263" width="9.625" style="167" bestFit="1" customWidth="1"/>
    <col min="264" max="264" width="8.25" style="167" bestFit="1" customWidth="1"/>
    <col min="265" max="266" width="9.625" style="167" bestFit="1" customWidth="1"/>
    <col min="267" max="267" width="8.25" style="167" bestFit="1" customWidth="1"/>
    <col min="268" max="269" width="9.625" style="167" bestFit="1" customWidth="1"/>
    <col min="270" max="271" width="8.25" style="167" bestFit="1" customWidth="1"/>
    <col min="272" max="272" width="11" style="167" bestFit="1" customWidth="1"/>
    <col min="273" max="273" width="8" style="167" bestFit="1" customWidth="1"/>
    <col min="274" max="274" width="7.75" style="167" bestFit="1" customWidth="1"/>
    <col min="275" max="276" width="9.625" style="167" bestFit="1" customWidth="1"/>
    <col min="277" max="278" width="9.625" style="167" customWidth="1"/>
    <col min="279" max="279" width="9.25" style="167" bestFit="1" customWidth="1"/>
    <col min="280" max="280" width="11" style="167" bestFit="1" customWidth="1"/>
    <col min="281" max="513" width="9" style="167"/>
    <col min="514" max="514" width="4.625" style="167" bestFit="1" customWidth="1"/>
    <col min="515" max="515" width="7.5" style="167" bestFit="1" customWidth="1"/>
    <col min="516" max="516" width="6.25" style="167" customWidth="1"/>
    <col min="517" max="517" width="11" style="167" bestFit="1" customWidth="1"/>
    <col min="518" max="519" width="9.625" style="167" bestFit="1" customWidth="1"/>
    <col min="520" max="520" width="8.25" style="167" bestFit="1" customWidth="1"/>
    <col min="521" max="522" width="9.625" style="167" bestFit="1" customWidth="1"/>
    <col min="523" max="523" width="8.25" style="167" bestFit="1" customWidth="1"/>
    <col min="524" max="525" width="9.625" style="167" bestFit="1" customWidth="1"/>
    <col min="526" max="527" width="8.25" style="167" bestFit="1" customWidth="1"/>
    <col min="528" max="528" width="11" style="167" bestFit="1" customWidth="1"/>
    <col min="529" max="529" width="8" style="167" bestFit="1" customWidth="1"/>
    <col min="530" max="530" width="7.75" style="167" bestFit="1" customWidth="1"/>
    <col min="531" max="532" width="9.625" style="167" bestFit="1" customWidth="1"/>
    <col min="533" max="534" width="9.625" style="167" customWidth="1"/>
    <col min="535" max="535" width="9.25" style="167" bestFit="1" customWidth="1"/>
    <col min="536" max="536" width="11" style="167" bestFit="1" customWidth="1"/>
    <col min="537" max="769" width="9" style="167"/>
    <col min="770" max="770" width="4.625" style="167" bestFit="1" customWidth="1"/>
    <col min="771" max="771" width="7.5" style="167" bestFit="1" customWidth="1"/>
    <col min="772" max="772" width="6.25" style="167" customWidth="1"/>
    <col min="773" max="773" width="11" style="167" bestFit="1" customWidth="1"/>
    <col min="774" max="775" width="9.625" style="167" bestFit="1" customWidth="1"/>
    <col min="776" max="776" width="8.25" style="167" bestFit="1" customWidth="1"/>
    <col min="777" max="778" width="9.625" style="167" bestFit="1" customWidth="1"/>
    <col min="779" max="779" width="8.25" style="167" bestFit="1" customWidth="1"/>
    <col min="780" max="781" width="9.625" style="167" bestFit="1" customWidth="1"/>
    <col min="782" max="783" width="8.25" style="167" bestFit="1" customWidth="1"/>
    <col min="784" max="784" width="11" style="167" bestFit="1" customWidth="1"/>
    <col min="785" max="785" width="8" style="167" bestFit="1" customWidth="1"/>
    <col min="786" max="786" width="7.75" style="167" bestFit="1" customWidth="1"/>
    <col min="787" max="788" width="9.625" style="167" bestFit="1" customWidth="1"/>
    <col min="789" max="790" width="9.625" style="167" customWidth="1"/>
    <col min="791" max="791" width="9.25" style="167" bestFit="1" customWidth="1"/>
    <col min="792" max="792" width="11" style="167" bestFit="1" customWidth="1"/>
    <col min="793" max="1025" width="9" style="167"/>
    <col min="1026" max="1026" width="4.625" style="167" bestFit="1" customWidth="1"/>
    <col min="1027" max="1027" width="7.5" style="167" bestFit="1" customWidth="1"/>
    <col min="1028" max="1028" width="6.25" style="167" customWidth="1"/>
    <col min="1029" max="1029" width="11" style="167" bestFit="1" customWidth="1"/>
    <col min="1030" max="1031" width="9.625" style="167" bestFit="1" customWidth="1"/>
    <col min="1032" max="1032" width="8.25" style="167" bestFit="1" customWidth="1"/>
    <col min="1033" max="1034" width="9.625" style="167" bestFit="1" customWidth="1"/>
    <col min="1035" max="1035" width="8.25" style="167" bestFit="1" customWidth="1"/>
    <col min="1036" max="1037" width="9.625" style="167" bestFit="1" customWidth="1"/>
    <col min="1038" max="1039" width="8.25" style="167" bestFit="1" customWidth="1"/>
    <col min="1040" max="1040" width="11" style="167" bestFit="1" customWidth="1"/>
    <col min="1041" max="1041" width="8" style="167" bestFit="1" customWidth="1"/>
    <col min="1042" max="1042" width="7.75" style="167" bestFit="1" customWidth="1"/>
    <col min="1043" max="1044" width="9.625" style="167" bestFit="1" customWidth="1"/>
    <col min="1045" max="1046" width="9.625" style="167" customWidth="1"/>
    <col min="1047" max="1047" width="9.25" style="167" bestFit="1" customWidth="1"/>
    <col min="1048" max="1048" width="11" style="167" bestFit="1" customWidth="1"/>
    <col min="1049" max="1281" width="9" style="167"/>
    <col min="1282" max="1282" width="4.625" style="167" bestFit="1" customWidth="1"/>
    <col min="1283" max="1283" width="7.5" style="167" bestFit="1" customWidth="1"/>
    <col min="1284" max="1284" width="6.25" style="167" customWidth="1"/>
    <col min="1285" max="1285" width="11" style="167" bestFit="1" customWidth="1"/>
    <col min="1286" max="1287" width="9.625" style="167" bestFit="1" customWidth="1"/>
    <col min="1288" max="1288" width="8.25" style="167" bestFit="1" customWidth="1"/>
    <col min="1289" max="1290" width="9.625" style="167" bestFit="1" customWidth="1"/>
    <col min="1291" max="1291" width="8.25" style="167" bestFit="1" customWidth="1"/>
    <col min="1292" max="1293" width="9.625" style="167" bestFit="1" customWidth="1"/>
    <col min="1294" max="1295" width="8.25" style="167" bestFit="1" customWidth="1"/>
    <col min="1296" max="1296" width="11" style="167" bestFit="1" customWidth="1"/>
    <col min="1297" max="1297" width="8" style="167" bestFit="1" customWidth="1"/>
    <col min="1298" max="1298" width="7.75" style="167" bestFit="1" customWidth="1"/>
    <col min="1299" max="1300" width="9.625" style="167" bestFit="1" customWidth="1"/>
    <col min="1301" max="1302" width="9.625" style="167" customWidth="1"/>
    <col min="1303" max="1303" width="9.25" style="167" bestFit="1" customWidth="1"/>
    <col min="1304" max="1304" width="11" style="167" bestFit="1" customWidth="1"/>
    <col min="1305" max="1537" width="9" style="167"/>
    <col min="1538" max="1538" width="4.625" style="167" bestFit="1" customWidth="1"/>
    <col min="1539" max="1539" width="7.5" style="167" bestFit="1" customWidth="1"/>
    <col min="1540" max="1540" width="6.25" style="167" customWidth="1"/>
    <col min="1541" max="1541" width="11" style="167" bestFit="1" customWidth="1"/>
    <col min="1542" max="1543" width="9.625" style="167" bestFit="1" customWidth="1"/>
    <col min="1544" max="1544" width="8.25" style="167" bestFit="1" customWidth="1"/>
    <col min="1545" max="1546" width="9.625" style="167" bestFit="1" customWidth="1"/>
    <col min="1547" max="1547" width="8.25" style="167" bestFit="1" customWidth="1"/>
    <col min="1548" max="1549" width="9.625" style="167" bestFit="1" customWidth="1"/>
    <col min="1550" max="1551" width="8.25" style="167" bestFit="1" customWidth="1"/>
    <col min="1552" max="1552" width="11" style="167" bestFit="1" customWidth="1"/>
    <col min="1553" max="1553" width="8" style="167" bestFit="1" customWidth="1"/>
    <col min="1554" max="1554" width="7.75" style="167" bestFit="1" customWidth="1"/>
    <col min="1555" max="1556" width="9.625" style="167" bestFit="1" customWidth="1"/>
    <col min="1557" max="1558" width="9.625" style="167" customWidth="1"/>
    <col min="1559" max="1559" width="9.25" style="167" bestFit="1" customWidth="1"/>
    <col min="1560" max="1560" width="11" style="167" bestFit="1" customWidth="1"/>
    <col min="1561" max="1793" width="9" style="167"/>
    <col min="1794" max="1794" width="4.625" style="167" bestFit="1" customWidth="1"/>
    <col min="1795" max="1795" width="7.5" style="167" bestFit="1" customWidth="1"/>
    <col min="1796" max="1796" width="6.25" style="167" customWidth="1"/>
    <col min="1797" max="1797" width="11" style="167" bestFit="1" customWidth="1"/>
    <col min="1798" max="1799" width="9.625" style="167" bestFit="1" customWidth="1"/>
    <col min="1800" max="1800" width="8.25" style="167" bestFit="1" customWidth="1"/>
    <col min="1801" max="1802" width="9.625" style="167" bestFit="1" customWidth="1"/>
    <col min="1803" max="1803" width="8.25" style="167" bestFit="1" customWidth="1"/>
    <col min="1804" max="1805" width="9.625" style="167" bestFit="1" customWidth="1"/>
    <col min="1806" max="1807" width="8.25" style="167" bestFit="1" customWidth="1"/>
    <col min="1808" max="1808" width="11" style="167" bestFit="1" customWidth="1"/>
    <col min="1809" max="1809" width="8" style="167" bestFit="1" customWidth="1"/>
    <col min="1810" max="1810" width="7.75" style="167" bestFit="1" customWidth="1"/>
    <col min="1811" max="1812" width="9.625" style="167" bestFit="1" customWidth="1"/>
    <col min="1813" max="1814" width="9.625" style="167" customWidth="1"/>
    <col min="1815" max="1815" width="9.25" style="167" bestFit="1" customWidth="1"/>
    <col min="1816" max="1816" width="11" style="167" bestFit="1" customWidth="1"/>
    <col min="1817" max="2049" width="9" style="167"/>
    <col min="2050" max="2050" width="4.625" style="167" bestFit="1" customWidth="1"/>
    <col min="2051" max="2051" width="7.5" style="167" bestFit="1" customWidth="1"/>
    <col min="2052" max="2052" width="6.25" style="167" customWidth="1"/>
    <col min="2053" max="2053" width="11" style="167" bestFit="1" customWidth="1"/>
    <col min="2054" max="2055" width="9.625" style="167" bestFit="1" customWidth="1"/>
    <col min="2056" max="2056" width="8.25" style="167" bestFit="1" customWidth="1"/>
    <col min="2057" max="2058" width="9.625" style="167" bestFit="1" customWidth="1"/>
    <col min="2059" max="2059" width="8.25" style="167" bestFit="1" customWidth="1"/>
    <col min="2060" max="2061" width="9.625" style="167" bestFit="1" customWidth="1"/>
    <col min="2062" max="2063" width="8.25" style="167" bestFit="1" customWidth="1"/>
    <col min="2064" max="2064" width="11" style="167" bestFit="1" customWidth="1"/>
    <col min="2065" max="2065" width="8" style="167" bestFit="1" customWidth="1"/>
    <col min="2066" max="2066" width="7.75" style="167" bestFit="1" customWidth="1"/>
    <col min="2067" max="2068" width="9.625" style="167" bestFit="1" customWidth="1"/>
    <col min="2069" max="2070" width="9.625" style="167" customWidth="1"/>
    <col min="2071" max="2071" width="9.25" style="167" bestFit="1" customWidth="1"/>
    <col min="2072" max="2072" width="11" style="167" bestFit="1" customWidth="1"/>
    <col min="2073" max="2305" width="9" style="167"/>
    <col min="2306" max="2306" width="4.625" style="167" bestFit="1" customWidth="1"/>
    <col min="2307" max="2307" width="7.5" style="167" bestFit="1" customWidth="1"/>
    <col min="2308" max="2308" width="6.25" style="167" customWidth="1"/>
    <col min="2309" max="2309" width="11" style="167" bestFit="1" customWidth="1"/>
    <col min="2310" max="2311" width="9.625" style="167" bestFit="1" customWidth="1"/>
    <col min="2312" max="2312" width="8.25" style="167" bestFit="1" customWidth="1"/>
    <col min="2313" max="2314" width="9.625" style="167" bestFit="1" customWidth="1"/>
    <col min="2315" max="2315" width="8.25" style="167" bestFit="1" customWidth="1"/>
    <col min="2316" max="2317" width="9.625" style="167" bestFit="1" customWidth="1"/>
    <col min="2318" max="2319" width="8.25" style="167" bestFit="1" customWidth="1"/>
    <col min="2320" max="2320" width="11" style="167" bestFit="1" customWidth="1"/>
    <col min="2321" max="2321" width="8" style="167" bestFit="1" customWidth="1"/>
    <col min="2322" max="2322" width="7.75" style="167" bestFit="1" customWidth="1"/>
    <col min="2323" max="2324" width="9.625" style="167" bestFit="1" customWidth="1"/>
    <col min="2325" max="2326" width="9.625" style="167" customWidth="1"/>
    <col min="2327" max="2327" width="9.25" style="167" bestFit="1" customWidth="1"/>
    <col min="2328" max="2328" width="11" style="167" bestFit="1" customWidth="1"/>
    <col min="2329" max="2561" width="9" style="167"/>
    <col min="2562" max="2562" width="4.625" style="167" bestFit="1" customWidth="1"/>
    <col min="2563" max="2563" width="7.5" style="167" bestFit="1" customWidth="1"/>
    <col min="2564" max="2564" width="6.25" style="167" customWidth="1"/>
    <col min="2565" max="2565" width="11" style="167" bestFit="1" customWidth="1"/>
    <col min="2566" max="2567" width="9.625" style="167" bestFit="1" customWidth="1"/>
    <col min="2568" max="2568" width="8.25" style="167" bestFit="1" customWidth="1"/>
    <col min="2569" max="2570" width="9.625" style="167" bestFit="1" customWidth="1"/>
    <col min="2571" max="2571" width="8.25" style="167" bestFit="1" customWidth="1"/>
    <col min="2572" max="2573" width="9.625" style="167" bestFit="1" customWidth="1"/>
    <col min="2574" max="2575" width="8.25" style="167" bestFit="1" customWidth="1"/>
    <col min="2576" max="2576" width="11" style="167" bestFit="1" customWidth="1"/>
    <col min="2577" max="2577" width="8" style="167" bestFit="1" customWidth="1"/>
    <col min="2578" max="2578" width="7.75" style="167" bestFit="1" customWidth="1"/>
    <col min="2579" max="2580" width="9.625" style="167" bestFit="1" customWidth="1"/>
    <col min="2581" max="2582" width="9.625" style="167" customWidth="1"/>
    <col min="2583" max="2583" width="9.25" style="167" bestFit="1" customWidth="1"/>
    <col min="2584" max="2584" width="11" style="167" bestFit="1" customWidth="1"/>
    <col min="2585" max="2817" width="9" style="167"/>
    <col min="2818" max="2818" width="4.625" style="167" bestFit="1" customWidth="1"/>
    <col min="2819" max="2819" width="7.5" style="167" bestFit="1" customWidth="1"/>
    <col min="2820" max="2820" width="6.25" style="167" customWidth="1"/>
    <col min="2821" max="2821" width="11" style="167" bestFit="1" customWidth="1"/>
    <col min="2822" max="2823" width="9.625" style="167" bestFit="1" customWidth="1"/>
    <col min="2824" max="2824" width="8.25" style="167" bestFit="1" customWidth="1"/>
    <col min="2825" max="2826" width="9.625" style="167" bestFit="1" customWidth="1"/>
    <col min="2827" max="2827" width="8.25" style="167" bestFit="1" customWidth="1"/>
    <col min="2828" max="2829" width="9.625" style="167" bestFit="1" customWidth="1"/>
    <col min="2830" max="2831" width="8.25" style="167" bestFit="1" customWidth="1"/>
    <col min="2832" max="2832" width="11" style="167" bestFit="1" customWidth="1"/>
    <col min="2833" max="2833" width="8" style="167" bestFit="1" customWidth="1"/>
    <col min="2834" max="2834" width="7.75" style="167" bestFit="1" customWidth="1"/>
    <col min="2835" max="2836" width="9.625" style="167" bestFit="1" customWidth="1"/>
    <col min="2837" max="2838" width="9.625" style="167" customWidth="1"/>
    <col min="2839" max="2839" width="9.25" style="167" bestFit="1" customWidth="1"/>
    <col min="2840" max="2840" width="11" style="167" bestFit="1" customWidth="1"/>
    <col min="2841" max="3073" width="9" style="167"/>
    <col min="3074" max="3074" width="4.625" style="167" bestFit="1" customWidth="1"/>
    <col min="3075" max="3075" width="7.5" style="167" bestFit="1" customWidth="1"/>
    <col min="3076" max="3076" width="6.25" style="167" customWidth="1"/>
    <col min="3077" max="3077" width="11" style="167" bestFit="1" customWidth="1"/>
    <col min="3078" max="3079" width="9.625" style="167" bestFit="1" customWidth="1"/>
    <col min="3080" max="3080" width="8.25" style="167" bestFit="1" customWidth="1"/>
    <col min="3081" max="3082" width="9.625" style="167" bestFit="1" customWidth="1"/>
    <col min="3083" max="3083" width="8.25" style="167" bestFit="1" customWidth="1"/>
    <col min="3084" max="3085" width="9.625" style="167" bestFit="1" customWidth="1"/>
    <col min="3086" max="3087" width="8.25" style="167" bestFit="1" customWidth="1"/>
    <col min="3088" max="3088" width="11" style="167" bestFit="1" customWidth="1"/>
    <col min="3089" max="3089" width="8" style="167" bestFit="1" customWidth="1"/>
    <col min="3090" max="3090" width="7.75" style="167" bestFit="1" customWidth="1"/>
    <col min="3091" max="3092" width="9.625" style="167" bestFit="1" customWidth="1"/>
    <col min="3093" max="3094" width="9.625" style="167" customWidth="1"/>
    <col min="3095" max="3095" width="9.25" style="167" bestFit="1" customWidth="1"/>
    <col min="3096" max="3096" width="11" style="167" bestFit="1" customWidth="1"/>
    <col min="3097" max="3329" width="9" style="167"/>
    <col min="3330" max="3330" width="4.625" style="167" bestFit="1" customWidth="1"/>
    <col min="3331" max="3331" width="7.5" style="167" bestFit="1" customWidth="1"/>
    <col min="3332" max="3332" width="6.25" style="167" customWidth="1"/>
    <col min="3333" max="3333" width="11" style="167" bestFit="1" customWidth="1"/>
    <col min="3334" max="3335" width="9.625" style="167" bestFit="1" customWidth="1"/>
    <col min="3336" max="3336" width="8.25" style="167" bestFit="1" customWidth="1"/>
    <col min="3337" max="3338" width="9.625" style="167" bestFit="1" customWidth="1"/>
    <col min="3339" max="3339" width="8.25" style="167" bestFit="1" customWidth="1"/>
    <col min="3340" max="3341" width="9.625" style="167" bestFit="1" customWidth="1"/>
    <col min="3342" max="3343" width="8.25" style="167" bestFit="1" customWidth="1"/>
    <col min="3344" max="3344" width="11" style="167" bestFit="1" customWidth="1"/>
    <col min="3345" max="3345" width="8" style="167" bestFit="1" customWidth="1"/>
    <col min="3346" max="3346" width="7.75" style="167" bestFit="1" customWidth="1"/>
    <col min="3347" max="3348" width="9.625" style="167" bestFit="1" customWidth="1"/>
    <col min="3349" max="3350" width="9.625" style="167" customWidth="1"/>
    <col min="3351" max="3351" width="9.25" style="167" bestFit="1" customWidth="1"/>
    <col min="3352" max="3352" width="11" style="167" bestFit="1" customWidth="1"/>
    <col min="3353" max="3585" width="9" style="167"/>
    <col min="3586" max="3586" width="4.625" style="167" bestFit="1" customWidth="1"/>
    <col min="3587" max="3587" width="7.5" style="167" bestFit="1" customWidth="1"/>
    <col min="3588" max="3588" width="6.25" style="167" customWidth="1"/>
    <col min="3589" max="3589" width="11" style="167" bestFit="1" customWidth="1"/>
    <col min="3590" max="3591" width="9.625" style="167" bestFit="1" customWidth="1"/>
    <col min="3592" max="3592" width="8.25" style="167" bestFit="1" customWidth="1"/>
    <col min="3593" max="3594" width="9.625" style="167" bestFit="1" customWidth="1"/>
    <col min="3595" max="3595" width="8.25" style="167" bestFit="1" customWidth="1"/>
    <col min="3596" max="3597" width="9.625" style="167" bestFit="1" customWidth="1"/>
    <col min="3598" max="3599" width="8.25" style="167" bestFit="1" customWidth="1"/>
    <col min="3600" max="3600" width="11" style="167" bestFit="1" customWidth="1"/>
    <col min="3601" max="3601" width="8" style="167" bestFit="1" customWidth="1"/>
    <col min="3602" max="3602" width="7.75" style="167" bestFit="1" customWidth="1"/>
    <col min="3603" max="3604" width="9.625" style="167" bestFit="1" customWidth="1"/>
    <col min="3605" max="3606" width="9.625" style="167" customWidth="1"/>
    <col min="3607" max="3607" width="9.25" style="167" bestFit="1" customWidth="1"/>
    <col min="3608" max="3608" width="11" style="167" bestFit="1" customWidth="1"/>
    <col min="3609" max="3841" width="9" style="167"/>
    <col min="3842" max="3842" width="4.625" style="167" bestFit="1" customWidth="1"/>
    <col min="3843" max="3843" width="7.5" style="167" bestFit="1" customWidth="1"/>
    <col min="3844" max="3844" width="6.25" style="167" customWidth="1"/>
    <col min="3845" max="3845" width="11" style="167" bestFit="1" customWidth="1"/>
    <col min="3846" max="3847" width="9.625" style="167" bestFit="1" customWidth="1"/>
    <col min="3848" max="3848" width="8.25" style="167" bestFit="1" customWidth="1"/>
    <col min="3849" max="3850" width="9.625" style="167" bestFit="1" customWidth="1"/>
    <col min="3851" max="3851" width="8.25" style="167" bestFit="1" customWidth="1"/>
    <col min="3852" max="3853" width="9.625" style="167" bestFit="1" customWidth="1"/>
    <col min="3854" max="3855" width="8.25" style="167" bestFit="1" customWidth="1"/>
    <col min="3856" max="3856" width="11" style="167" bestFit="1" customWidth="1"/>
    <col min="3857" max="3857" width="8" style="167" bestFit="1" customWidth="1"/>
    <col min="3858" max="3858" width="7.75" style="167" bestFit="1" customWidth="1"/>
    <col min="3859" max="3860" width="9.625" style="167" bestFit="1" customWidth="1"/>
    <col min="3861" max="3862" width="9.625" style="167" customWidth="1"/>
    <col min="3863" max="3863" width="9.25" style="167" bestFit="1" customWidth="1"/>
    <col min="3864" max="3864" width="11" style="167" bestFit="1" customWidth="1"/>
    <col min="3865" max="4097" width="9" style="167"/>
    <col min="4098" max="4098" width="4.625" style="167" bestFit="1" customWidth="1"/>
    <col min="4099" max="4099" width="7.5" style="167" bestFit="1" customWidth="1"/>
    <col min="4100" max="4100" width="6.25" style="167" customWidth="1"/>
    <col min="4101" max="4101" width="11" style="167" bestFit="1" customWidth="1"/>
    <col min="4102" max="4103" width="9.625" style="167" bestFit="1" customWidth="1"/>
    <col min="4104" max="4104" width="8.25" style="167" bestFit="1" customWidth="1"/>
    <col min="4105" max="4106" width="9.625" style="167" bestFit="1" customWidth="1"/>
    <col min="4107" max="4107" width="8.25" style="167" bestFit="1" customWidth="1"/>
    <col min="4108" max="4109" width="9.625" style="167" bestFit="1" customWidth="1"/>
    <col min="4110" max="4111" width="8.25" style="167" bestFit="1" customWidth="1"/>
    <col min="4112" max="4112" width="11" style="167" bestFit="1" customWidth="1"/>
    <col min="4113" max="4113" width="8" style="167" bestFit="1" customWidth="1"/>
    <col min="4114" max="4114" width="7.75" style="167" bestFit="1" customWidth="1"/>
    <col min="4115" max="4116" width="9.625" style="167" bestFit="1" customWidth="1"/>
    <col min="4117" max="4118" width="9.625" style="167" customWidth="1"/>
    <col min="4119" max="4119" width="9.25" style="167" bestFit="1" customWidth="1"/>
    <col min="4120" max="4120" width="11" style="167" bestFit="1" customWidth="1"/>
    <col min="4121" max="4353" width="9" style="167"/>
    <col min="4354" max="4354" width="4.625" style="167" bestFit="1" customWidth="1"/>
    <col min="4355" max="4355" width="7.5" style="167" bestFit="1" customWidth="1"/>
    <col min="4356" max="4356" width="6.25" style="167" customWidth="1"/>
    <col min="4357" max="4357" width="11" style="167" bestFit="1" customWidth="1"/>
    <col min="4358" max="4359" width="9.625" style="167" bestFit="1" customWidth="1"/>
    <col min="4360" max="4360" width="8.25" style="167" bestFit="1" customWidth="1"/>
    <col min="4361" max="4362" width="9.625" style="167" bestFit="1" customWidth="1"/>
    <col min="4363" max="4363" width="8.25" style="167" bestFit="1" customWidth="1"/>
    <col min="4364" max="4365" width="9.625" style="167" bestFit="1" customWidth="1"/>
    <col min="4366" max="4367" width="8.25" style="167" bestFit="1" customWidth="1"/>
    <col min="4368" max="4368" width="11" style="167" bestFit="1" customWidth="1"/>
    <col min="4369" max="4369" width="8" style="167" bestFit="1" customWidth="1"/>
    <col min="4370" max="4370" width="7.75" style="167" bestFit="1" customWidth="1"/>
    <col min="4371" max="4372" width="9.625" style="167" bestFit="1" customWidth="1"/>
    <col min="4373" max="4374" width="9.625" style="167" customWidth="1"/>
    <col min="4375" max="4375" width="9.25" style="167" bestFit="1" customWidth="1"/>
    <col min="4376" max="4376" width="11" style="167" bestFit="1" customWidth="1"/>
    <col min="4377" max="4609" width="9" style="167"/>
    <col min="4610" max="4610" width="4.625" style="167" bestFit="1" customWidth="1"/>
    <col min="4611" max="4611" width="7.5" style="167" bestFit="1" customWidth="1"/>
    <col min="4612" max="4612" width="6.25" style="167" customWidth="1"/>
    <col min="4613" max="4613" width="11" style="167" bestFit="1" customWidth="1"/>
    <col min="4614" max="4615" width="9.625" style="167" bestFit="1" customWidth="1"/>
    <col min="4616" max="4616" width="8.25" style="167" bestFit="1" customWidth="1"/>
    <col min="4617" max="4618" width="9.625" style="167" bestFit="1" customWidth="1"/>
    <col min="4619" max="4619" width="8.25" style="167" bestFit="1" customWidth="1"/>
    <col min="4620" max="4621" width="9.625" style="167" bestFit="1" customWidth="1"/>
    <col min="4622" max="4623" width="8.25" style="167" bestFit="1" customWidth="1"/>
    <col min="4624" max="4624" width="11" style="167" bestFit="1" customWidth="1"/>
    <col min="4625" max="4625" width="8" style="167" bestFit="1" customWidth="1"/>
    <col min="4626" max="4626" width="7.75" style="167" bestFit="1" customWidth="1"/>
    <col min="4627" max="4628" width="9.625" style="167" bestFit="1" customWidth="1"/>
    <col min="4629" max="4630" width="9.625" style="167" customWidth="1"/>
    <col min="4631" max="4631" width="9.25" style="167" bestFit="1" customWidth="1"/>
    <col min="4632" max="4632" width="11" style="167" bestFit="1" customWidth="1"/>
    <col min="4633" max="4865" width="9" style="167"/>
    <col min="4866" max="4866" width="4.625" style="167" bestFit="1" customWidth="1"/>
    <col min="4867" max="4867" width="7.5" style="167" bestFit="1" customWidth="1"/>
    <col min="4868" max="4868" width="6.25" style="167" customWidth="1"/>
    <col min="4869" max="4869" width="11" style="167" bestFit="1" customWidth="1"/>
    <col min="4870" max="4871" width="9.625" style="167" bestFit="1" customWidth="1"/>
    <col min="4872" max="4872" width="8.25" style="167" bestFit="1" customWidth="1"/>
    <col min="4873" max="4874" width="9.625" style="167" bestFit="1" customWidth="1"/>
    <col min="4875" max="4875" width="8.25" style="167" bestFit="1" customWidth="1"/>
    <col min="4876" max="4877" width="9.625" style="167" bestFit="1" customWidth="1"/>
    <col min="4878" max="4879" width="8.25" style="167" bestFit="1" customWidth="1"/>
    <col min="4880" max="4880" width="11" style="167" bestFit="1" customWidth="1"/>
    <col min="4881" max="4881" width="8" style="167" bestFit="1" customWidth="1"/>
    <col min="4882" max="4882" width="7.75" style="167" bestFit="1" customWidth="1"/>
    <col min="4883" max="4884" width="9.625" style="167" bestFit="1" customWidth="1"/>
    <col min="4885" max="4886" width="9.625" style="167" customWidth="1"/>
    <col min="4887" max="4887" width="9.25" style="167" bestFit="1" customWidth="1"/>
    <col min="4888" max="4888" width="11" style="167" bestFit="1" customWidth="1"/>
    <col min="4889" max="5121" width="9" style="167"/>
    <col min="5122" max="5122" width="4.625" style="167" bestFit="1" customWidth="1"/>
    <col min="5123" max="5123" width="7.5" style="167" bestFit="1" customWidth="1"/>
    <col min="5124" max="5124" width="6.25" style="167" customWidth="1"/>
    <col min="5125" max="5125" width="11" style="167" bestFit="1" customWidth="1"/>
    <col min="5126" max="5127" width="9.625" style="167" bestFit="1" customWidth="1"/>
    <col min="5128" max="5128" width="8.25" style="167" bestFit="1" customWidth="1"/>
    <col min="5129" max="5130" width="9.625" style="167" bestFit="1" customWidth="1"/>
    <col min="5131" max="5131" width="8.25" style="167" bestFit="1" customWidth="1"/>
    <col min="5132" max="5133" width="9.625" style="167" bestFit="1" customWidth="1"/>
    <col min="5134" max="5135" width="8.25" style="167" bestFit="1" customWidth="1"/>
    <col min="5136" max="5136" width="11" style="167" bestFit="1" customWidth="1"/>
    <col min="5137" max="5137" width="8" style="167" bestFit="1" customWidth="1"/>
    <col min="5138" max="5138" width="7.75" style="167" bestFit="1" customWidth="1"/>
    <col min="5139" max="5140" width="9.625" style="167" bestFit="1" customWidth="1"/>
    <col min="5141" max="5142" width="9.625" style="167" customWidth="1"/>
    <col min="5143" max="5143" width="9.25" style="167" bestFit="1" customWidth="1"/>
    <col min="5144" max="5144" width="11" style="167" bestFit="1" customWidth="1"/>
    <col min="5145" max="5377" width="9" style="167"/>
    <col min="5378" max="5378" width="4.625" style="167" bestFit="1" customWidth="1"/>
    <col min="5379" max="5379" width="7.5" style="167" bestFit="1" customWidth="1"/>
    <col min="5380" max="5380" width="6.25" style="167" customWidth="1"/>
    <col min="5381" max="5381" width="11" style="167" bestFit="1" customWidth="1"/>
    <col min="5382" max="5383" width="9.625" style="167" bestFit="1" customWidth="1"/>
    <col min="5384" max="5384" width="8.25" style="167" bestFit="1" customWidth="1"/>
    <col min="5385" max="5386" width="9.625" style="167" bestFit="1" customWidth="1"/>
    <col min="5387" max="5387" width="8.25" style="167" bestFit="1" customWidth="1"/>
    <col min="5388" max="5389" width="9.625" style="167" bestFit="1" customWidth="1"/>
    <col min="5390" max="5391" width="8.25" style="167" bestFit="1" customWidth="1"/>
    <col min="5392" max="5392" width="11" style="167" bestFit="1" customWidth="1"/>
    <col min="5393" max="5393" width="8" style="167" bestFit="1" customWidth="1"/>
    <col min="5394" max="5394" width="7.75" style="167" bestFit="1" customWidth="1"/>
    <col min="5395" max="5396" width="9.625" style="167" bestFit="1" customWidth="1"/>
    <col min="5397" max="5398" width="9.625" style="167" customWidth="1"/>
    <col min="5399" max="5399" width="9.25" style="167" bestFit="1" customWidth="1"/>
    <col min="5400" max="5400" width="11" style="167" bestFit="1" customWidth="1"/>
    <col min="5401" max="5633" width="9" style="167"/>
    <col min="5634" max="5634" width="4.625" style="167" bestFit="1" customWidth="1"/>
    <col min="5635" max="5635" width="7.5" style="167" bestFit="1" customWidth="1"/>
    <col min="5636" max="5636" width="6.25" style="167" customWidth="1"/>
    <col min="5637" max="5637" width="11" style="167" bestFit="1" customWidth="1"/>
    <col min="5638" max="5639" width="9.625" style="167" bestFit="1" customWidth="1"/>
    <col min="5640" max="5640" width="8.25" style="167" bestFit="1" customWidth="1"/>
    <col min="5641" max="5642" width="9.625" style="167" bestFit="1" customWidth="1"/>
    <col min="5643" max="5643" width="8.25" style="167" bestFit="1" customWidth="1"/>
    <col min="5644" max="5645" width="9.625" style="167" bestFit="1" customWidth="1"/>
    <col min="5646" max="5647" width="8.25" style="167" bestFit="1" customWidth="1"/>
    <col min="5648" max="5648" width="11" style="167" bestFit="1" customWidth="1"/>
    <col min="5649" max="5649" width="8" style="167" bestFit="1" customWidth="1"/>
    <col min="5650" max="5650" width="7.75" style="167" bestFit="1" customWidth="1"/>
    <col min="5651" max="5652" width="9.625" style="167" bestFit="1" customWidth="1"/>
    <col min="5653" max="5654" width="9.625" style="167" customWidth="1"/>
    <col min="5655" max="5655" width="9.25" style="167" bestFit="1" customWidth="1"/>
    <col min="5656" max="5656" width="11" style="167" bestFit="1" customWidth="1"/>
    <col min="5657" max="5889" width="9" style="167"/>
    <col min="5890" max="5890" width="4.625" style="167" bestFit="1" customWidth="1"/>
    <col min="5891" max="5891" width="7.5" style="167" bestFit="1" customWidth="1"/>
    <col min="5892" max="5892" width="6.25" style="167" customWidth="1"/>
    <col min="5893" max="5893" width="11" style="167" bestFit="1" customWidth="1"/>
    <col min="5894" max="5895" width="9.625" style="167" bestFit="1" customWidth="1"/>
    <col min="5896" max="5896" width="8.25" style="167" bestFit="1" customWidth="1"/>
    <col min="5897" max="5898" width="9.625" style="167" bestFit="1" customWidth="1"/>
    <col min="5899" max="5899" width="8.25" style="167" bestFit="1" customWidth="1"/>
    <col min="5900" max="5901" width="9.625" style="167" bestFit="1" customWidth="1"/>
    <col min="5902" max="5903" width="8.25" style="167" bestFit="1" customWidth="1"/>
    <col min="5904" max="5904" width="11" style="167" bestFit="1" customWidth="1"/>
    <col min="5905" max="5905" width="8" style="167" bestFit="1" customWidth="1"/>
    <col min="5906" max="5906" width="7.75" style="167" bestFit="1" customWidth="1"/>
    <col min="5907" max="5908" width="9.625" style="167" bestFit="1" customWidth="1"/>
    <col min="5909" max="5910" width="9.625" style="167" customWidth="1"/>
    <col min="5911" max="5911" width="9.25" style="167" bestFit="1" customWidth="1"/>
    <col min="5912" max="5912" width="11" style="167" bestFit="1" customWidth="1"/>
    <col min="5913" max="6145" width="9" style="167"/>
    <col min="6146" max="6146" width="4.625" style="167" bestFit="1" customWidth="1"/>
    <col min="6147" max="6147" width="7.5" style="167" bestFit="1" customWidth="1"/>
    <col min="6148" max="6148" width="6.25" style="167" customWidth="1"/>
    <col min="6149" max="6149" width="11" style="167" bestFit="1" customWidth="1"/>
    <col min="6150" max="6151" width="9.625" style="167" bestFit="1" customWidth="1"/>
    <col min="6152" max="6152" width="8.25" style="167" bestFit="1" customWidth="1"/>
    <col min="6153" max="6154" width="9.625" style="167" bestFit="1" customWidth="1"/>
    <col min="6155" max="6155" width="8.25" style="167" bestFit="1" customWidth="1"/>
    <col min="6156" max="6157" width="9.625" style="167" bestFit="1" customWidth="1"/>
    <col min="6158" max="6159" width="8.25" style="167" bestFit="1" customWidth="1"/>
    <col min="6160" max="6160" width="11" style="167" bestFit="1" customWidth="1"/>
    <col min="6161" max="6161" width="8" style="167" bestFit="1" customWidth="1"/>
    <col min="6162" max="6162" width="7.75" style="167" bestFit="1" customWidth="1"/>
    <col min="6163" max="6164" width="9.625" style="167" bestFit="1" customWidth="1"/>
    <col min="6165" max="6166" width="9.625" style="167" customWidth="1"/>
    <col min="6167" max="6167" width="9.25" style="167" bestFit="1" customWidth="1"/>
    <col min="6168" max="6168" width="11" style="167" bestFit="1" customWidth="1"/>
    <col min="6169" max="6401" width="9" style="167"/>
    <col min="6402" max="6402" width="4.625" style="167" bestFit="1" customWidth="1"/>
    <col min="6403" max="6403" width="7.5" style="167" bestFit="1" customWidth="1"/>
    <col min="6404" max="6404" width="6.25" style="167" customWidth="1"/>
    <col min="6405" max="6405" width="11" style="167" bestFit="1" customWidth="1"/>
    <col min="6406" max="6407" width="9.625" style="167" bestFit="1" customWidth="1"/>
    <col min="6408" max="6408" width="8.25" style="167" bestFit="1" customWidth="1"/>
    <col min="6409" max="6410" width="9.625" style="167" bestFit="1" customWidth="1"/>
    <col min="6411" max="6411" width="8.25" style="167" bestFit="1" customWidth="1"/>
    <col min="6412" max="6413" width="9.625" style="167" bestFit="1" customWidth="1"/>
    <col min="6414" max="6415" width="8.25" style="167" bestFit="1" customWidth="1"/>
    <col min="6416" max="6416" width="11" style="167" bestFit="1" customWidth="1"/>
    <col min="6417" max="6417" width="8" style="167" bestFit="1" customWidth="1"/>
    <col min="6418" max="6418" width="7.75" style="167" bestFit="1" customWidth="1"/>
    <col min="6419" max="6420" width="9.625" style="167" bestFit="1" customWidth="1"/>
    <col min="6421" max="6422" width="9.625" style="167" customWidth="1"/>
    <col min="6423" max="6423" width="9.25" style="167" bestFit="1" customWidth="1"/>
    <col min="6424" max="6424" width="11" style="167" bestFit="1" customWidth="1"/>
    <col min="6425" max="6657" width="9" style="167"/>
    <col min="6658" max="6658" width="4.625" style="167" bestFit="1" customWidth="1"/>
    <col min="6659" max="6659" width="7.5" style="167" bestFit="1" customWidth="1"/>
    <col min="6660" max="6660" width="6.25" style="167" customWidth="1"/>
    <col min="6661" max="6661" width="11" style="167" bestFit="1" customWidth="1"/>
    <col min="6662" max="6663" width="9.625" style="167" bestFit="1" customWidth="1"/>
    <col min="6664" max="6664" width="8.25" style="167" bestFit="1" customWidth="1"/>
    <col min="6665" max="6666" width="9.625" style="167" bestFit="1" customWidth="1"/>
    <col min="6667" max="6667" width="8.25" style="167" bestFit="1" customWidth="1"/>
    <col min="6668" max="6669" width="9.625" style="167" bestFit="1" customWidth="1"/>
    <col min="6670" max="6671" width="8.25" style="167" bestFit="1" customWidth="1"/>
    <col min="6672" max="6672" width="11" style="167" bestFit="1" customWidth="1"/>
    <col min="6673" max="6673" width="8" style="167" bestFit="1" customWidth="1"/>
    <col min="6674" max="6674" width="7.75" style="167" bestFit="1" customWidth="1"/>
    <col min="6675" max="6676" width="9.625" style="167" bestFit="1" customWidth="1"/>
    <col min="6677" max="6678" width="9.625" style="167" customWidth="1"/>
    <col min="6679" max="6679" width="9.25" style="167" bestFit="1" customWidth="1"/>
    <col min="6680" max="6680" width="11" style="167" bestFit="1" customWidth="1"/>
    <col min="6681" max="6913" width="9" style="167"/>
    <col min="6914" max="6914" width="4.625" style="167" bestFit="1" customWidth="1"/>
    <col min="6915" max="6915" width="7.5" style="167" bestFit="1" customWidth="1"/>
    <col min="6916" max="6916" width="6.25" style="167" customWidth="1"/>
    <col min="6917" max="6917" width="11" style="167" bestFit="1" customWidth="1"/>
    <col min="6918" max="6919" width="9.625" style="167" bestFit="1" customWidth="1"/>
    <col min="6920" max="6920" width="8.25" style="167" bestFit="1" customWidth="1"/>
    <col min="6921" max="6922" width="9.625" style="167" bestFit="1" customWidth="1"/>
    <col min="6923" max="6923" width="8.25" style="167" bestFit="1" customWidth="1"/>
    <col min="6924" max="6925" width="9.625" style="167" bestFit="1" customWidth="1"/>
    <col min="6926" max="6927" width="8.25" style="167" bestFit="1" customWidth="1"/>
    <col min="6928" max="6928" width="11" style="167" bestFit="1" customWidth="1"/>
    <col min="6929" max="6929" width="8" style="167" bestFit="1" customWidth="1"/>
    <col min="6930" max="6930" width="7.75" style="167" bestFit="1" customWidth="1"/>
    <col min="6931" max="6932" width="9.625" style="167" bestFit="1" customWidth="1"/>
    <col min="6933" max="6934" width="9.625" style="167" customWidth="1"/>
    <col min="6935" max="6935" width="9.25" style="167" bestFit="1" customWidth="1"/>
    <col min="6936" max="6936" width="11" style="167" bestFit="1" customWidth="1"/>
    <col min="6937" max="7169" width="9" style="167"/>
    <col min="7170" max="7170" width="4.625" style="167" bestFit="1" customWidth="1"/>
    <col min="7171" max="7171" width="7.5" style="167" bestFit="1" customWidth="1"/>
    <col min="7172" max="7172" width="6.25" style="167" customWidth="1"/>
    <col min="7173" max="7173" width="11" style="167" bestFit="1" customWidth="1"/>
    <col min="7174" max="7175" width="9.625" style="167" bestFit="1" customWidth="1"/>
    <col min="7176" max="7176" width="8.25" style="167" bestFit="1" customWidth="1"/>
    <col min="7177" max="7178" width="9.625" style="167" bestFit="1" customWidth="1"/>
    <col min="7179" max="7179" width="8.25" style="167" bestFit="1" customWidth="1"/>
    <col min="7180" max="7181" width="9.625" style="167" bestFit="1" customWidth="1"/>
    <col min="7182" max="7183" width="8.25" style="167" bestFit="1" customWidth="1"/>
    <col min="7184" max="7184" width="11" style="167" bestFit="1" customWidth="1"/>
    <col min="7185" max="7185" width="8" style="167" bestFit="1" customWidth="1"/>
    <col min="7186" max="7186" width="7.75" style="167" bestFit="1" customWidth="1"/>
    <col min="7187" max="7188" width="9.625" style="167" bestFit="1" customWidth="1"/>
    <col min="7189" max="7190" width="9.625" style="167" customWidth="1"/>
    <col min="7191" max="7191" width="9.25" style="167" bestFit="1" customWidth="1"/>
    <col min="7192" max="7192" width="11" style="167" bestFit="1" customWidth="1"/>
    <col min="7193" max="7425" width="9" style="167"/>
    <col min="7426" max="7426" width="4.625" style="167" bestFit="1" customWidth="1"/>
    <col min="7427" max="7427" width="7.5" style="167" bestFit="1" customWidth="1"/>
    <col min="7428" max="7428" width="6.25" style="167" customWidth="1"/>
    <col min="7429" max="7429" width="11" style="167" bestFit="1" customWidth="1"/>
    <col min="7430" max="7431" width="9.625" style="167" bestFit="1" customWidth="1"/>
    <col min="7432" max="7432" width="8.25" style="167" bestFit="1" customWidth="1"/>
    <col min="7433" max="7434" width="9.625" style="167" bestFit="1" customWidth="1"/>
    <col min="7435" max="7435" width="8.25" style="167" bestFit="1" customWidth="1"/>
    <col min="7436" max="7437" width="9.625" style="167" bestFit="1" customWidth="1"/>
    <col min="7438" max="7439" width="8.25" style="167" bestFit="1" customWidth="1"/>
    <col min="7440" max="7440" width="11" style="167" bestFit="1" customWidth="1"/>
    <col min="7441" max="7441" width="8" style="167" bestFit="1" customWidth="1"/>
    <col min="7442" max="7442" width="7.75" style="167" bestFit="1" customWidth="1"/>
    <col min="7443" max="7444" width="9.625" style="167" bestFit="1" customWidth="1"/>
    <col min="7445" max="7446" width="9.625" style="167" customWidth="1"/>
    <col min="7447" max="7447" width="9.25" style="167" bestFit="1" customWidth="1"/>
    <col min="7448" max="7448" width="11" style="167" bestFit="1" customWidth="1"/>
    <col min="7449" max="7681" width="9" style="167"/>
    <col min="7682" max="7682" width="4.625" style="167" bestFit="1" customWidth="1"/>
    <col min="7683" max="7683" width="7.5" style="167" bestFit="1" customWidth="1"/>
    <col min="7684" max="7684" width="6.25" style="167" customWidth="1"/>
    <col min="7685" max="7685" width="11" style="167" bestFit="1" customWidth="1"/>
    <col min="7686" max="7687" width="9.625" style="167" bestFit="1" customWidth="1"/>
    <col min="7688" max="7688" width="8.25" style="167" bestFit="1" customWidth="1"/>
    <col min="7689" max="7690" width="9.625" style="167" bestFit="1" customWidth="1"/>
    <col min="7691" max="7691" width="8.25" style="167" bestFit="1" customWidth="1"/>
    <col min="7692" max="7693" width="9.625" style="167" bestFit="1" customWidth="1"/>
    <col min="7694" max="7695" width="8.25" style="167" bestFit="1" customWidth="1"/>
    <col min="7696" max="7696" width="11" style="167" bestFit="1" customWidth="1"/>
    <col min="7697" max="7697" width="8" style="167" bestFit="1" customWidth="1"/>
    <col min="7698" max="7698" width="7.75" style="167" bestFit="1" customWidth="1"/>
    <col min="7699" max="7700" width="9.625" style="167" bestFit="1" customWidth="1"/>
    <col min="7701" max="7702" width="9.625" style="167" customWidth="1"/>
    <col min="7703" max="7703" width="9.25" style="167" bestFit="1" customWidth="1"/>
    <col min="7704" max="7704" width="11" style="167" bestFit="1" customWidth="1"/>
    <col min="7705" max="7937" width="9" style="167"/>
    <col min="7938" max="7938" width="4.625" style="167" bestFit="1" customWidth="1"/>
    <col min="7939" max="7939" width="7.5" style="167" bestFit="1" customWidth="1"/>
    <col min="7940" max="7940" width="6.25" style="167" customWidth="1"/>
    <col min="7941" max="7941" width="11" style="167" bestFit="1" customWidth="1"/>
    <col min="7942" max="7943" width="9.625" style="167" bestFit="1" customWidth="1"/>
    <col min="7944" max="7944" width="8.25" style="167" bestFit="1" customWidth="1"/>
    <col min="7945" max="7946" width="9.625" style="167" bestFit="1" customWidth="1"/>
    <col min="7947" max="7947" width="8.25" style="167" bestFit="1" customWidth="1"/>
    <col min="7948" max="7949" width="9.625" style="167" bestFit="1" customWidth="1"/>
    <col min="7950" max="7951" width="8.25" style="167" bestFit="1" customWidth="1"/>
    <col min="7952" max="7952" width="11" style="167" bestFit="1" customWidth="1"/>
    <col min="7953" max="7953" width="8" style="167" bestFit="1" customWidth="1"/>
    <col min="7954" max="7954" width="7.75" style="167" bestFit="1" customWidth="1"/>
    <col min="7955" max="7956" width="9.625" style="167" bestFit="1" customWidth="1"/>
    <col min="7957" max="7958" width="9.625" style="167" customWidth="1"/>
    <col min="7959" max="7959" width="9.25" style="167" bestFit="1" customWidth="1"/>
    <col min="7960" max="7960" width="11" style="167" bestFit="1" customWidth="1"/>
    <col min="7961" max="8193" width="9" style="167"/>
    <col min="8194" max="8194" width="4.625" style="167" bestFit="1" customWidth="1"/>
    <col min="8195" max="8195" width="7.5" style="167" bestFit="1" customWidth="1"/>
    <col min="8196" max="8196" width="6.25" style="167" customWidth="1"/>
    <col min="8197" max="8197" width="11" style="167" bestFit="1" customWidth="1"/>
    <col min="8198" max="8199" width="9.625" style="167" bestFit="1" customWidth="1"/>
    <col min="8200" max="8200" width="8.25" style="167" bestFit="1" customWidth="1"/>
    <col min="8201" max="8202" width="9.625" style="167" bestFit="1" customWidth="1"/>
    <col min="8203" max="8203" width="8.25" style="167" bestFit="1" customWidth="1"/>
    <col min="8204" max="8205" width="9.625" style="167" bestFit="1" customWidth="1"/>
    <col min="8206" max="8207" width="8.25" style="167" bestFit="1" customWidth="1"/>
    <col min="8208" max="8208" width="11" style="167" bestFit="1" customWidth="1"/>
    <col min="8209" max="8209" width="8" style="167" bestFit="1" customWidth="1"/>
    <col min="8210" max="8210" width="7.75" style="167" bestFit="1" customWidth="1"/>
    <col min="8211" max="8212" width="9.625" style="167" bestFit="1" customWidth="1"/>
    <col min="8213" max="8214" width="9.625" style="167" customWidth="1"/>
    <col min="8215" max="8215" width="9.25" style="167" bestFit="1" customWidth="1"/>
    <col min="8216" max="8216" width="11" style="167" bestFit="1" customWidth="1"/>
    <col min="8217" max="8449" width="9" style="167"/>
    <col min="8450" max="8450" width="4.625" style="167" bestFit="1" customWidth="1"/>
    <col min="8451" max="8451" width="7.5" style="167" bestFit="1" customWidth="1"/>
    <col min="8452" max="8452" width="6.25" style="167" customWidth="1"/>
    <col min="8453" max="8453" width="11" style="167" bestFit="1" customWidth="1"/>
    <col min="8454" max="8455" width="9.625" style="167" bestFit="1" customWidth="1"/>
    <col min="8456" max="8456" width="8.25" style="167" bestFit="1" customWidth="1"/>
    <col min="8457" max="8458" width="9.625" style="167" bestFit="1" customWidth="1"/>
    <col min="8459" max="8459" width="8.25" style="167" bestFit="1" customWidth="1"/>
    <col min="8460" max="8461" width="9.625" style="167" bestFit="1" customWidth="1"/>
    <col min="8462" max="8463" width="8.25" style="167" bestFit="1" customWidth="1"/>
    <col min="8464" max="8464" width="11" style="167" bestFit="1" customWidth="1"/>
    <col min="8465" max="8465" width="8" style="167" bestFit="1" customWidth="1"/>
    <col min="8466" max="8466" width="7.75" style="167" bestFit="1" customWidth="1"/>
    <col min="8467" max="8468" width="9.625" style="167" bestFit="1" customWidth="1"/>
    <col min="8469" max="8470" width="9.625" style="167" customWidth="1"/>
    <col min="8471" max="8471" width="9.25" style="167" bestFit="1" customWidth="1"/>
    <col min="8472" max="8472" width="11" style="167" bestFit="1" customWidth="1"/>
    <col min="8473" max="8705" width="9" style="167"/>
    <col min="8706" max="8706" width="4.625" style="167" bestFit="1" customWidth="1"/>
    <col min="8707" max="8707" width="7.5" style="167" bestFit="1" customWidth="1"/>
    <col min="8708" max="8708" width="6.25" style="167" customWidth="1"/>
    <col min="8709" max="8709" width="11" style="167" bestFit="1" customWidth="1"/>
    <col min="8710" max="8711" width="9.625" style="167" bestFit="1" customWidth="1"/>
    <col min="8712" max="8712" width="8.25" style="167" bestFit="1" customWidth="1"/>
    <col min="8713" max="8714" width="9.625" style="167" bestFit="1" customWidth="1"/>
    <col min="8715" max="8715" width="8.25" style="167" bestFit="1" customWidth="1"/>
    <col min="8716" max="8717" width="9.625" style="167" bestFit="1" customWidth="1"/>
    <col min="8718" max="8719" width="8.25" style="167" bestFit="1" customWidth="1"/>
    <col min="8720" max="8720" width="11" style="167" bestFit="1" customWidth="1"/>
    <col min="8721" max="8721" width="8" style="167" bestFit="1" customWidth="1"/>
    <col min="8722" max="8722" width="7.75" style="167" bestFit="1" customWidth="1"/>
    <col min="8723" max="8724" width="9.625" style="167" bestFit="1" customWidth="1"/>
    <col min="8725" max="8726" width="9.625" style="167" customWidth="1"/>
    <col min="8727" max="8727" width="9.25" style="167" bestFit="1" customWidth="1"/>
    <col min="8728" max="8728" width="11" style="167" bestFit="1" customWidth="1"/>
    <col min="8729" max="8961" width="9" style="167"/>
    <col min="8962" max="8962" width="4.625" style="167" bestFit="1" customWidth="1"/>
    <col min="8963" max="8963" width="7.5" style="167" bestFit="1" customWidth="1"/>
    <col min="8964" max="8964" width="6.25" style="167" customWidth="1"/>
    <col min="8965" max="8965" width="11" style="167" bestFit="1" customWidth="1"/>
    <col min="8966" max="8967" width="9.625" style="167" bestFit="1" customWidth="1"/>
    <col min="8968" max="8968" width="8.25" style="167" bestFit="1" customWidth="1"/>
    <col min="8969" max="8970" width="9.625" style="167" bestFit="1" customWidth="1"/>
    <col min="8971" max="8971" width="8.25" style="167" bestFit="1" customWidth="1"/>
    <col min="8972" max="8973" width="9.625" style="167" bestFit="1" customWidth="1"/>
    <col min="8974" max="8975" width="8.25" style="167" bestFit="1" customWidth="1"/>
    <col min="8976" max="8976" width="11" style="167" bestFit="1" customWidth="1"/>
    <col min="8977" max="8977" width="8" style="167" bestFit="1" customWidth="1"/>
    <col min="8978" max="8978" width="7.75" style="167" bestFit="1" customWidth="1"/>
    <col min="8979" max="8980" width="9.625" style="167" bestFit="1" customWidth="1"/>
    <col min="8981" max="8982" width="9.625" style="167" customWidth="1"/>
    <col min="8983" max="8983" width="9.25" style="167" bestFit="1" customWidth="1"/>
    <col min="8984" max="8984" width="11" style="167" bestFit="1" customWidth="1"/>
    <col min="8985" max="9217" width="9" style="167"/>
    <col min="9218" max="9218" width="4.625" style="167" bestFit="1" customWidth="1"/>
    <col min="9219" max="9219" width="7.5" style="167" bestFit="1" customWidth="1"/>
    <col min="9220" max="9220" width="6.25" style="167" customWidth="1"/>
    <col min="9221" max="9221" width="11" style="167" bestFit="1" customWidth="1"/>
    <col min="9222" max="9223" width="9.625" style="167" bestFit="1" customWidth="1"/>
    <col min="9224" max="9224" width="8.25" style="167" bestFit="1" customWidth="1"/>
    <col min="9225" max="9226" width="9.625" style="167" bestFit="1" customWidth="1"/>
    <col min="9227" max="9227" width="8.25" style="167" bestFit="1" customWidth="1"/>
    <col min="9228" max="9229" width="9.625" style="167" bestFit="1" customWidth="1"/>
    <col min="9230" max="9231" width="8.25" style="167" bestFit="1" customWidth="1"/>
    <col min="9232" max="9232" width="11" style="167" bestFit="1" customWidth="1"/>
    <col min="9233" max="9233" width="8" style="167" bestFit="1" customWidth="1"/>
    <col min="9234" max="9234" width="7.75" style="167" bestFit="1" customWidth="1"/>
    <col min="9235" max="9236" width="9.625" style="167" bestFit="1" customWidth="1"/>
    <col min="9237" max="9238" width="9.625" style="167" customWidth="1"/>
    <col min="9239" max="9239" width="9.25" style="167" bestFit="1" customWidth="1"/>
    <col min="9240" max="9240" width="11" style="167" bestFit="1" customWidth="1"/>
    <col min="9241" max="9473" width="9" style="167"/>
    <col min="9474" max="9474" width="4.625" style="167" bestFit="1" customWidth="1"/>
    <col min="9475" max="9475" width="7.5" style="167" bestFit="1" customWidth="1"/>
    <col min="9476" max="9476" width="6.25" style="167" customWidth="1"/>
    <col min="9477" max="9477" width="11" style="167" bestFit="1" customWidth="1"/>
    <col min="9478" max="9479" width="9.625" style="167" bestFit="1" customWidth="1"/>
    <col min="9480" max="9480" width="8.25" style="167" bestFit="1" customWidth="1"/>
    <col min="9481" max="9482" width="9.625" style="167" bestFit="1" customWidth="1"/>
    <col min="9483" max="9483" width="8.25" style="167" bestFit="1" customWidth="1"/>
    <col min="9484" max="9485" width="9.625" style="167" bestFit="1" customWidth="1"/>
    <col min="9486" max="9487" width="8.25" style="167" bestFit="1" customWidth="1"/>
    <col min="9488" max="9488" width="11" style="167" bestFit="1" customWidth="1"/>
    <col min="9489" max="9489" width="8" style="167" bestFit="1" customWidth="1"/>
    <col min="9490" max="9490" width="7.75" style="167" bestFit="1" customWidth="1"/>
    <col min="9491" max="9492" width="9.625" style="167" bestFit="1" customWidth="1"/>
    <col min="9493" max="9494" width="9.625" style="167" customWidth="1"/>
    <col min="9495" max="9495" width="9.25" style="167" bestFit="1" customWidth="1"/>
    <col min="9496" max="9496" width="11" style="167" bestFit="1" customWidth="1"/>
    <col min="9497" max="9729" width="9" style="167"/>
    <col min="9730" max="9730" width="4.625" style="167" bestFit="1" customWidth="1"/>
    <col min="9731" max="9731" width="7.5" style="167" bestFit="1" customWidth="1"/>
    <col min="9732" max="9732" width="6.25" style="167" customWidth="1"/>
    <col min="9733" max="9733" width="11" style="167" bestFit="1" customWidth="1"/>
    <col min="9734" max="9735" width="9.625" style="167" bestFit="1" customWidth="1"/>
    <col min="9736" max="9736" width="8.25" style="167" bestFit="1" customWidth="1"/>
    <col min="9737" max="9738" width="9.625" style="167" bestFit="1" customWidth="1"/>
    <col min="9739" max="9739" width="8.25" style="167" bestFit="1" customWidth="1"/>
    <col min="9740" max="9741" width="9.625" style="167" bestFit="1" customWidth="1"/>
    <col min="9742" max="9743" width="8.25" style="167" bestFit="1" customWidth="1"/>
    <col min="9744" max="9744" width="11" style="167" bestFit="1" customWidth="1"/>
    <col min="9745" max="9745" width="8" style="167" bestFit="1" customWidth="1"/>
    <col min="9746" max="9746" width="7.75" style="167" bestFit="1" customWidth="1"/>
    <col min="9747" max="9748" width="9.625" style="167" bestFit="1" customWidth="1"/>
    <col min="9749" max="9750" width="9.625" style="167" customWidth="1"/>
    <col min="9751" max="9751" width="9.25" style="167" bestFit="1" customWidth="1"/>
    <col min="9752" max="9752" width="11" style="167" bestFit="1" customWidth="1"/>
    <col min="9753" max="9985" width="9" style="167"/>
    <col min="9986" max="9986" width="4.625" style="167" bestFit="1" customWidth="1"/>
    <col min="9987" max="9987" width="7.5" style="167" bestFit="1" customWidth="1"/>
    <col min="9988" max="9988" width="6.25" style="167" customWidth="1"/>
    <col min="9989" max="9989" width="11" style="167" bestFit="1" customWidth="1"/>
    <col min="9990" max="9991" width="9.625" style="167" bestFit="1" customWidth="1"/>
    <col min="9992" max="9992" width="8.25" style="167" bestFit="1" customWidth="1"/>
    <col min="9993" max="9994" width="9.625" style="167" bestFit="1" customWidth="1"/>
    <col min="9995" max="9995" width="8.25" style="167" bestFit="1" customWidth="1"/>
    <col min="9996" max="9997" width="9.625" style="167" bestFit="1" customWidth="1"/>
    <col min="9998" max="9999" width="8.25" style="167" bestFit="1" customWidth="1"/>
    <col min="10000" max="10000" width="11" style="167" bestFit="1" customWidth="1"/>
    <col min="10001" max="10001" width="8" style="167" bestFit="1" customWidth="1"/>
    <col min="10002" max="10002" width="7.75" style="167" bestFit="1" customWidth="1"/>
    <col min="10003" max="10004" width="9.625" style="167" bestFit="1" customWidth="1"/>
    <col min="10005" max="10006" width="9.625" style="167" customWidth="1"/>
    <col min="10007" max="10007" width="9.25" style="167" bestFit="1" customWidth="1"/>
    <col min="10008" max="10008" width="11" style="167" bestFit="1" customWidth="1"/>
    <col min="10009" max="10241" width="9" style="167"/>
    <col min="10242" max="10242" width="4.625" style="167" bestFit="1" customWidth="1"/>
    <col min="10243" max="10243" width="7.5" style="167" bestFit="1" customWidth="1"/>
    <col min="10244" max="10244" width="6.25" style="167" customWidth="1"/>
    <col min="10245" max="10245" width="11" style="167" bestFit="1" customWidth="1"/>
    <col min="10246" max="10247" width="9.625" style="167" bestFit="1" customWidth="1"/>
    <col min="10248" max="10248" width="8.25" style="167" bestFit="1" customWidth="1"/>
    <col min="10249" max="10250" width="9.625" style="167" bestFit="1" customWidth="1"/>
    <col min="10251" max="10251" width="8.25" style="167" bestFit="1" customWidth="1"/>
    <col min="10252" max="10253" width="9.625" style="167" bestFit="1" customWidth="1"/>
    <col min="10254" max="10255" width="8.25" style="167" bestFit="1" customWidth="1"/>
    <col min="10256" max="10256" width="11" style="167" bestFit="1" customWidth="1"/>
    <col min="10257" max="10257" width="8" style="167" bestFit="1" customWidth="1"/>
    <col min="10258" max="10258" width="7.75" style="167" bestFit="1" customWidth="1"/>
    <col min="10259" max="10260" width="9.625" style="167" bestFit="1" customWidth="1"/>
    <col min="10261" max="10262" width="9.625" style="167" customWidth="1"/>
    <col min="10263" max="10263" width="9.25" style="167" bestFit="1" customWidth="1"/>
    <col min="10264" max="10264" width="11" style="167" bestFit="1" customWidth="1"/>
    <col min="10265" max="10497" width="9" style="167"/>
    <col min="10498" max="10498" width="4.625" style="167" bestFit="1" customWidth="1"/>
    <col min="10499" max="10499" width="7.5" style="167" bestFit="1" customWidth="1"/>
    <col min="10500" max="10500" width="6.25" style="167" customWidth="1"/>
    <col min="10501" max="10501" width="11" style="167" bestFit="1" customWidth="1"/>
    <col min="10502" max="10503" width="9.625" style="167" bestFit="1" customWidth="1"/>
    <col min="10504" max="10504" width="8.25" style="167" bestFit="1" customWidth="1"/>
    <col min="10505" max="10506" width="9.625" style="167" bestFit="1" customWidth="1"/>
    <col min="10507" max="10507" width="8.25" style="167" bestFit="1" customWidth="1"/>
    <col min="10508" max="10509" width="9.625" style="167" bestFit="1" customWidth="1"/>
    <col min="10510" max="10511" width="8.25" style="167" bestFit="1" customWidth="1"/>
    <col min="10512" max="10512" width="11" style="167" bestFit="1" customWidth="1"/>
    <col min="10513" max="10513" width="8" style="167" bestFit="1" customWidth="1"/>
    <col min="10514" max="10514" width="7.75" style="167" bestFit="1" customWidth="1"/>
    <col min="10515" max="10516" width="9.625" style="167" bestFit="1" customWidth="1"/>
    <col min="10517" max="10518" width="9.625" style="167" customWidth="1"/>
    <col min="10519" max="10519" width="9.25" style="167" bestFit="1" customWidth="1"/>
    <col min="10520" max="10520" width="11" style="167" bestFit="1" customWidth="1"/>
    <col min="10521" max="10753" width="9" style="167"/>
    <col min="10754" max="10754" width="4.625" style="167" bestFit="1" customWidth="1"/>
    <col min="10755" max="10755" width="7.5" style="167" bestFit="1" customWidth="1"/>
    <col min="10756" max="10756" width="6.25" style="167" customWidth="1"/>
    <col min="10757" max="10757" width="11" style="167" bestFit="1" customWidth="1"/>
    <col min="10758" max="10759" width="9.625" style="167" bestFit="1" customWidth="1"/>
    <col min="10760" max="10760" width="8.25" style="167" bestFit="1" customWidth="1"/>
    <col min="10761" max="10762" width="9.625" style="167" bestFit="1" customWidth="1"/>
    <col min="10763" max="10763" width="8.25" style="167" bestFit="1" customWidth="1"/>
    <col min="10764" max="10765" width="9.625" style="167" bestFit="1" customWidth="1"/>
    <col min="10766" max="10767" width="8.25" style="167" bestFit="1" customWidth="1"/>
    <col min="10768" max="10768" width="11" style="167" bestFit="1" customWidth="1"/>
    <col min="10769" max="10769" width="8" style="167" bestFit="1" customWidth="1"/>
    <col min="10770" max="10770" width="7.75" style="167" bestFit="1" customWidth="1"/>
    <col min="10771" max="10772" width="9.625" style="167" bestFit="1" customWidth="1"/>
    <col min="10773" max="10774" width="9.625" style="167" customWidth="1"/>
    <col min="10775" max="10775" width="9.25" style="167" bestFit="1" customWidth="1"/>
    <col min="10776" max="10776" width="11" style="167" bestFit="1" customWidth="1"/>
    <col min="10777" max="11009" width="9" style="167"/>
    <col min="11010" max="11010" width="4.625" style="167" bestFit="1" customWidth="1"/>
    <col min="11011" max="11011" width="7.5" style="167" bestFit="1" customWidth="1"/>
    <col min="11012" max="11012" width="6.25" style="167" customWidth="1"/>
    <col min="11013" max="11013" width="11" style="167" bestFit="1" customWidth="1"/>
    <col min="11014" max="11015" width="9.625" style="167" bestFit="1" customWidth="1"/>
    <col min="11016" max="11016" width="8.25" style="167" bestFit="1" customWidth="1"/>
    <col min="11017" max="11018" width="9.625" style="167" bestFit="1" customWidth="1"/>
    <col min="11019" max="11019" width="8.25" style="167" bestFit="1" customWidth="1"/>
    <col min="11020" max="11021" width="9.625" style="167" bestFit="1" customWidth="1"/>
    <col min="11022" max="11023" width="8.25" style="167" bestFit="1" customWidth="1"/>
    <col min="11024" max="11024" width="11" style="167" bestFit="1" customWidth="1"/>
    <col min="11025" max="11025" width="8" style="167" bestFit="1" customWidth="1"/>
    <col min="11026" max="11026" width="7.75" style="167" bestFit="1" customWidth="1"/>
    <col min="11027" max="11028" width="9.625" style="167" bestFit="1" customWidth="1"/>
    <col min="11029" max="11030" width="9.625" style="167" customWidth="1"/>
    <col min="11031" max="11031" width="9.25" style="167" bestFit="1" customWidth="1"/>
    <col min="11032" max="11032" width="11" style="167" bestFit="1" customWidth="1"/>
    <col min="11033" max="11265" width="9" style="167"/>
    <col min="11266" max="11266" width="4.625" style="167" bestFit="1" customWidth="1"/>
    <col min="11267" max="11267" width="7.5" style="167" bestFit="1" customWidth="1"/>
    <col min="11268" max="11268" width="6.25" style="167" customWidth="1"/>
    <col min="11269" max="11269" width="11" style="167" bestFit="1" customWidth="1"/>
    <col min="11270" max="11271" width="9.625" style="167" bestFit="1" customWidth="1"/>
    <col min="11272" max="11272" width="8.25" style="167" bestFit="1" customWidth="1"/>
    <col min="11273" max="11274" width="9.625" style="167" bestFit="1" customWidth="1"/>
    <col min="11275" max="11275" width="8.25" style="167" bestFit="1" customWidth="1"/>
    <col min="11276" max="11277" width="9.625" style="167" bestFit="1" customWidth="1"/>
    <col min="11278" max="11279" width="8.25" style="167" bestFit="1" customWidth="1"/>
    <col min="11280" max="11280" width="11" style="167" bestFit="1" customWidth="1"/>
    <col min="11281" max="11281" width="8" style="167" bestFit="1" customWidth="1"/>
    <col min="11282" max="11282" width="7.75" style="167" bestFit="1" customWidth="1"/>
    <col min="11283" max="11284" width="9.625" style="167" bestFit="1" customWidth="1"/>
    <col min="11285" max="11286" width="9.625" style="167" customWidth="1"/>
    <col min="11287" max="11287" width="9.25" style="167" bestFit="1" customWidth="1"/>
    <col min="11288" max="11288" width="11" style="167" bestFit="1" customWidth="1"/>
    <col min="11289" max="11521" width="9" style="167"/>
    <col min="11522" max="11522" width="4.625" style="167" bestFit="1" customWidth="1"/>
    <col min="11523" max="11523" width="7.5" style="167" bestFit="1" customWidth="1"/>
    <col min="11524" max="11524" width="6.25" style="167" customWidth="1"/>
    <col min="11525" max="11525" width="11" style="167" bestFit="1" customWidth="1"/>
    <col min="11526" max="11527" width="9.625" style="167" bestFit="1" customWidth="1"/>
    <col min="11528" max="11528" width="8.25" style="167" bestFit="1" customWidth="1"/>
    <col min="11529" max="11530" width="9.625" style="167" bestFit="1" customWidth="1"/>
    <col min="11531" max="11531" width="8.25" style="167" bestFit="1" customWidth="1"/>
    <col min="11532" max="11533" width="9.625" style="167" bestFit="1" customWidth="1"/>
    <col min="11534" max="11535" width="8.25" style="167" bestFit="1" customWidth="1"/>
    <col min="11536" max="11536" width="11" style="167" bestFit="1" customWidth="1"/>
    <col min="11537" max="11537" width="8" style="167" bestFit="1" customWidth="1"/>
    <col min="11538" max="11538" width="7.75" style="167" bestFit="1" customWidth="1"/>
    <col min="11539" max="11540" width="9.625" style="167" bestFit="1" customWidth="1"/>
    <col min="11541" max="11542" width="9.625" style="167" customWidth="1"/>
    <col min="11543" max="11543" width="9.25" style="167" bestFit="1" customWidth="1"/>
    <col min="11544" max="11544" width="11" style="167" bestFit="1" customWidth="1"/>
    <col min="11545" max="11777" width="9" style="167"/>
    <col min="11778" max="11778" width="4.625" style="167" bestFit="1" customWidth="1"/>
    <col min="11779" max="11779" width="7.5" style="167" bestFit="1" customWidth="1"/>
    <col min="11780" max="11780" width="6.25" style="167" customWidth="1"/>
    <col min="11781" max="11781" width="11" style="167" bestFit="1" customWidth="1"/>
    <col min="11782" max="11783" width="9.625" style="167" bestFit="1" customWidth="1"/>
    <col min="11784" max="11784" width="8.25" style="167" bestFit="1" customWidth="1"/>
    <col min="11785" max="11786" width="9.625" style="167" bestFit="1" customWidth="1"/>
    <col min="11787" max="11787" width="8.25" style="167" bestFit="1" customWidth="1"/>
    <col min="11788" max="11789" width="9.625" style="167" bestFit="1" customWidth="1"/>
    <col min="11790" max="11791" width="8.25" style="167" bestFit="1" customWidth="1"/>
    <col min="11792" max="11792" width="11" style="167" bestFit="1" customWidth="1"/>
    <col min="11793" max="11793" width="8" style="167" bestFit="1" customWidth="1"/>
    <col min="11794" max="11794" width="7.75" style="167" bestFit="1" customWidth="1"/>
    <col min="11795" max="11796" width="9.625" style="167" bestFit="1" customWidth="1"/>
    <col min="11797" max="11798" width="9.625" style="167" customWidth="1"/>
    <col min="11799" max="11799" width="9.25" style="167" bestFit="1" customWidth="1"/>
    <col min="11800" max="11800" width="11" style="167" bestFit="1" customWidth="1"/>
    <col min="11801" max="12033" width="9" style="167"/>
    <col min="12034" max="12034" width="4.625" style="167" bestFit="1" customWidth="1"/>
    <col min="12035" max="12035" width="7.5" style="167" bestFit="1" customWidth="1"/>
    <col min="12036" max="12036" width="6.25" style="167" customWidth="1"/>
    <col min="12037" max="12037" width="11" style="167" bestFit="1" customWidth="1"/>
    <col min="12038" max="12039" width="9.625" style="167" bestFit="1" customWidth="1"/>
    <col min="12040" max="12040" width="8.25" style="167" bestFit="1" customWidth="1"/>
    <col min="12041" max="12042" width="9.625" style="167" bestFit="1" customWidth="1"/>
    <col min="12043" max="12043" width="8.25" style="167" bestFit="1" customWidth="1"/>
    <col min="12044" max="12045" width="9.625" style="167" bestFit="1" customWidth="1"/>
    <col min="12046" max="12047" width="8.25" style="167" bestFit="1" customWidth="1"/>
    <col min="12048" max="12048" width="11" style="167" bestFit="1" customWidth="1"/>
    <col min="12049" max="12049" width="8" style="167" bestFit="1" customWidth="1"/>
    <col min="12050" max="12050" width="7.75" style="167" bestFit="1" customWidth="1"/>
    <col min="12051" max="12052" width="9.625" style="167" bestFit="1" customWidth="1"/>
    <col min="12053" max="12054" width="9.625" style="167" customWidth="1"/>
    <col min="12055" max="12055" width="9.25" style="167" bestFit="1" customWidth="1"/>
    <col min="12056" max="12056" width="11" style="167" bestFit="1" customWidth="1"/>
    <col min="12057" max="12289" width="9" style="167"/>
    <col min="12290" max="12290" width="4.625" style="167" bestFit="1" customWidth="1"/>
    <col min="12291" max="12291" width="7.5" style="167" bestFit="1" customWidth="1"/>
    <col min="12292" max="12292" width="6.25" style="167" customWidth="1"/>
    <col min="12293" max="12293" width="11" style="167" bestFit="1" customWidth="1"/>
    <col min="12294" max="12295" width="9.625" style="167" bestFit="1" customWidth="1"/>
    <col min="12296" max="12296" width="8.25" style="167" bestFit="1" customWidth="1"/>
    <col min="12297" max="12298" width="9.625" style="167" bestFit="1" customWidth="1"/>
    <col min="12299" max="12299" width="8.25" style="167" bestFit="1" customWidth="1"/>
    <col min="12300" max="12301" width="9.625" style="167" bestFit="1" customWidth="1"/>
    <col min="12302" max="12303" width="8.25" style="167" bestFit="1" customWidth="1"/>
    <col min="12304" max="12304" width="11" style="167" bestFit="1" customWidth="1"/>
    <col min="12305" max="12305" width="8" style="167" bestFit="1" customWidth="1"/>
    <col min="12306" max="12306" width="7.75" style="167" bestFit="1" customWidth="1"/>
    <col min="12307" max="12308" width="9.625" style="167" bestFit="1" customWidth="1"/>
    <col min="12309" max="12310" width="9.625" style="167" customWidth="1"/>
    <col min="12311" max="12311" width="9.25" style="167" bestFit="1" customWidth="1"/>
    <col min="12312" max="12312" width="11" style="167" bestFit="1" customWidth="1"/>
    <col min="12313" max="12545" width="9" style="167"/>
    <col min="12546" max="12546" width="4.625" style="167" bestFit="1" customWidth="1"/>
    <col min="12547" max="12547" width="7.5" style="167" bestFit="1" customWidth="1"/>
    <col min="12548" max="12548" width="6.25" style="167" customWidth="1"/>
    <col min="12549" max="12549" width="11" style="167" bestFit="1" customWidth="1"/>
    <col min="12550" max="12551" width="9.625" style="167" bestFit="1" customWidth="1"/>
    <col min="12552" max="12552" width="8.25" style="167" bestFit="1" customWidth="1"/>
    <col min="12553" max="12554" width="9.625" style="167" bestFit="1" customWidth="1"/>
    <col min="12555" max="12555" width="8.25" style="167" bestFit="1" customWidth="1"/>
    <col min="12556" max="12557" width="9.625" style="167" bestFit="1" customWidth="1"/>
    <col min="12558" max="12559" width="8.25" style="167" bestFit="1" customWidth="1"/>
    <col min="12560" max="12560" width="11" style="167" bestFit="1" customWidth="1"/>
    <col min="12561" max="12561" width="8" style="167" bestFit="1" customWidth="1"/>
    <col min="12562" max="12562" width="7.75" style="167" bestFit="1" customWidth="1"/>
    <col min="12563" max="12564" width="9.625" style="167" bestFit="1" customWidth="1"/>
    <col min="12565" max="12566" width="9.625" style="167" customWidth="1"/>
    <col min="12567" max="12567" width="9.25" style="167" bestFit="1" customWidth="1"/>
    <col min="12568" max="12568" width="11" style="167" bestFit="1" customWidth="1"/>
    <col min="12569" max="12801" width="9" style="167"/>
    <col min="12802" max="12802" width="4.625" style="167" bestFit="1" customWidth="1"/>
    <col min="12803" max="12803" width="7.5" style="167" bestFit="1" customWidth="1"/>
    <col min="12804" max="12804" width="6.25" style="167" customWidth="1"/>
    <col min="12805" max="12805" width="11" style="167" bestFit="1" customWidth="1"/>
    <col min="12806" max="12807" width="9.625" style="167" bestFit="1" customWidth="1"/>
    <col min="12808" max="12808" width="8.25" style="167" bestFit="1" customWidth="1"/>
    <col min="12809" max="12810" width="9.625" style="167" bestFit="1" customWidth="1"/>
    <col min="12811" max="12811" width="8.25" style="167" bestFit="1" customWidth="1"/>
    <col min="12812" max="12813" width="9.625" style="167" bestFit="1" customWidth="1"/>
    <col min="12814" max="12815" width="8.25" style="167" bestFit="1" customWidth="1"/>
    <col min="12816" max="12816" width="11" style="167" bestFit="1" customWidth="1"/>
    <col min="12817" max="12817" width="8" style="167" bestFit="1" customWidth="1"/>
    <col min="12818" max="12818" width="7.75" style="167" bestFit="1" customWidth="1"/>
    <col min="12819" max="12820" width="9.625" style="167" bestFit="1" customWidth="1"/>
    <col min="12821" max="12822" width="9.625" style="167" customWidth="1"/>
    <col min="12823" max="12823" width="9.25" style="167" bestFit="1" customWidth="1"/>
    <col min="12824" max="12824" width="11" style="167" bestFit="1" customWidth="1"/>
    <col min="12825" max="13057" width="9" style="167"/>
    <col min="13058" max="13058" width="4.625" style="167" bestFit="1" customWidth="1"/>
    <col min="13059" max="13059" width="7.5" style="167" bestFit="1" customWidth="1"/>
    <col min="13060" max="13060" width="6.25" style="167" customWidth="1"/>
    <col min="13061" max="13061" width="11" style="167" bestFit="1" customWidth="1"/>
    <col min="13062" max="13063" width="9.625" style="167" bestFit="1" customWidth="1"/>
    <col min="13064" max="13064" width="8.25" style="167" bestFit="1" customWidth="1"/>
    <col min="13065" max="13066" width="9.625" style="167" bestFit="1" customWidth="1"/>
    <col min="13067" max="13067" width="8.25" style="167" bestFit="1" customWidth="1"/>
    <col min="13068" max="13069" width="9.625" style="167" bestFit="1" customWidth="1"/>
    <col min="13070" max="13071" width="8.25" style="167" bestFit="1" customWidth="1"/>
    <col min="13072" max="13072" width="11" style="167" bestFit="1" customWidth="1"/>
    <col min="13073" max="13073" width="8" style="167" bestFit="1" customWidth="1"/>
    <col min="13074" max="13074" width="7.75" style="167" bestFit="1" customWidth="1"/>
    <col min="13075" max="13076" width="9.625" style="167" bestFit="1" customWidth="1"/>
    <col min="13077" max="13078" width="9.625" style="167" customWidth="1"/>
    <col min="13079" max="13079" width="9.25" style="167" bestFit="1" customWidth="1"/>
    <col min="13080" max="13080" width="11" style="167" bestFit="1" customWidth="1"/>
    <col min="13081" max="13313" width="9" style="167"/>
    <col min="13314" max="13314" width="4.625" style="167" bestFit="1" customWidth="1"/>
    <col min="13315" max="13315" width="7.5" style="167" bestFit="1" customWidth="1"/>
    <col min="13316" max="13316" width="6.25" style="167" customWidth="1"/>
    <col min="13317" max="13317" width="11" style="167" bestFit="1" customWidth="1"/>
    <col min="13318" max="13319" width="9.625" style="167" bestFit="1" customWidth="1"/>
    <col min="13320" max="13320" width="8.25" style="167" bestFit="1" customWidth="1"/>
    <col min="13321" max="13322" width="9.625" style="167" bestFit="1" customWidth="1"/>
    <col min="13323" max="13323" width="8.25" style="167" bestFit="1" customWidth="1"/>
    <col min="13324" max="13325" width="9.625" style="167" bestFit="1" customWidth="1"/>
    <col min="13326" max="13327" width="8.25" style="167" bestFit="1" customWidth="1"/>
    <col min="13328" max="13328" width="11" style="167" bestFit="1" customWidth="1"/>
    <col min="13329" max="13329" width="8" style="167" bestFit="1" customWidth="1"/>
    <col min="13330" max="13330" width="7.75" style="167" bestFit="1" customWidth="1"/>
    <col min="13331" max="13332" width="9.625" style="167" bestFit="1" customWidth="1"/>
    <col min="13333" max="13334" width="9.625" style="167" customWidth="1"/>
    <col min="13335" max="13335" width="9.25" style="167" bestFit="1" customWidth="1"/>
    <col min="13336" max="13336" width="11" style="167" bestFit="1" customWidth="1"/>
    <col min="13337" max="13569" width="9" style="167"/>
    <col min="13570" max="13570" width="4.625" style="167" bestFit="1" customWidth="1"/>
    <col min="13571" max="13571" width="7.5" style="167" bestFit="1" customWidth="1"/>
    <col min="13572" max="13572" width="6.25" style="167" customWidth="1"/>
    <col min="13573" max="13573" width="11" style="167" bestFit="1" customWidth="1"/>
    <col min="13574" max="13575" width="9.625" style="167" bestFit="1" customWidth="1"/>
    <col min="13576" max="13576" width="8.25" style="167" bestFit="1" customWidth="1"/>
    <col min="13577" max="13578" width="9.625" style="167" bestFit="1" customWidth="1"/>
    <col min="13579" max="13579" width="8.25" style="167" bestFit="1" customWidth="1"/>
    <col min="13580" max="13581" width="9.625" style="167" bestFit="1" customWidth="1"/>
    <col min="13582" max="13583" width="8.25" style="167" bestFit="1" customWidth="1"/>
    <col min="13584" max="13584" width="11" style="167" bestFit="1" customWidth="1"/>
    <col min="13585" max="13585" width="8" style="167" bestFit="1" customWidth="1"/>
    <col min="13586" max="13586" width="7.75" style="167" bestFit="1" customWidth="1"/>
    <col min="13587" max="13588" width="9.625" style="167" bestFit="1" customWidth="1"/>
    <col min="13589" max="13590" width="9.625" style="167" customWidth="1"/>
    <col min="13591" max="13591" width="9.25" style="167" bestFit="1" customWidth="1"/>
    <col min="13592" max="13592" width="11" style="167" bestFit="1" customWidth="1"/>
    <col min="13593" max="13825" width="9" style="167"/>
    <col min="13826" max="13826" width="4.625" style="167" bestFit="1" customWidth="1"/>
    <col min="13827" max="13827" width="7.5" style="167" bestFit="1" customWidth="1"/>
    <col min="13828" max="13828" width="6.25" style="167" customWidth="1"/>
    <col min="13829" max="13829" width="11" style="167" bestFit="1" customWidth="1"/>
    <col min="13830" max="13831" width="9.625" style="167" bestFit="1" customWidth="1"/>
    <col min="13832" max="13832" width="8.25" style="167" bestFit="1" customWidth="1"/>
    <col min="13833" max="13834" width="9.625" style="167" bestFit="1" customWidth="1"/>
    <col min="13835" max="13835" width="8.25" style="167" bestFit="1" customWidth="1"/>
    <col min="13836" max="13837" width="9.625" style="167" bestFit="1" customWidth="1"/>
    <col min="13838" max="13839" width="8.25" style="167" bestFit="1" customWidth="1"/>
    <col min="13840" max="13840" width="11" style="167" bestFit="1" customWidth="1"/>
    <col min="13841" max="13841" width="8" style="167" bestFit="1" customWidth="1"/>
    <col min="13842" max="13842" width="7.75" style="167" bestFit="1" customWidth="1"/>
    <col min="13843" max="13844" width="9.625" style="167" bestFit="1" customWidth="1"/>
    <col min="13845" max="13846" width="9.625" style="167" customWidth="1"/>
    <col min="13847" max="13847" width="9.25" style="167" bestFit="1" customWidth="1"/>
    <col min="13848" max="13848" width="11" style="167" bestFit="1" customWidth="1"/>
    <col min="13849" max="14081" width="9" style="167"/>
    <col min="14082" max="14082" width="4.625" style="167" bestFit="1" customWidth="1"/>
    <col min="14083" max="14083" width="7.5" style="167" bestFit="1" customWidth="1"/>
    <col min="14084" max="14084" width="6.25" style="167" customWidth="1"/>
    <col min="14085" max="14085" width="11" style="167" bestFit="1" customWidth="1"/>
    <col min="14086" max="14087" width="9.625" style="167" bestFit="1" customWidth="1"/>
    <col min="14088" max="14088" width="8.25" style="167" bestFit="1" customWidth="1"/>
    <col min="14089" max="14090" width="9.625" style="167" bestFit="1" customWidth="1"/>
    <col min="14091" max="14091" width="8.25" style="167" bestFit="1" customWidth="1"/>
    <col min="14092" max="14093" width="9.625" style="167" bestFit="1" customWidth="1"/>
    <col min="14094" max="14095" width="8.25" style="167" bestFit="1" customWidth="1"/>
    <col min="14096" max="14096" width="11" style="167" bestFit="1" customWidth="1"/>
    <col min="14097" max="14097" width="8" style="167" bestFit="1" customWidth="1"/>
    <col min="14098" max="14098" width="7.75" style="167" bestFit="1" customWidth="1"/>
    <col min="14099" max="14100" width="9.625" style="167" bestFit="1" customWidth="1"/>
    <col min="14101" max="14102" width="9.625" style="167" customWidth="1"/>
    <col min="14103" max="14103" width="9.25" style="167" bestFit="1" customWidth="1"/>
    <col min="14104" max="14104" width="11" style="167" bestFit="1" customWidth="1"/>
    <col min="14105" max="14337" width="9" style="167"/>
    <col min="14338" max="14338" width="4.625" style="167" bestFit="1" customWidth="1"/>
    <col min="14339" max="14339" width="7.5" style="167" bestFit="1" customWidth="1"/>
    <col min="14340" max="14340" width="6.25" style="167" customWidth="1"/>
    <col min="14341" max="14341" width="11" style="167" bestFit="1" customWidth="1"/>
    <col min="14342" max="14343" width="9.625" style="167" bestFit="1" customWidth="1"/>
    <col min="14344" max="14344" width="8.25" style="167" bestFit="1" customWidth="1"/>
    <col min="14345" max="14346" width="9.625" style="167" bestFit="1" customWidth="1"/>
    <col min="14347" max="14347" width="8.25" style="167" bestFit="1" customWidth="1"/>
    <col min="14348" max="14349" width="9.625" style="167" bestFit="1" customWidth="1"/>
    <col min="14350" max="14351" width="8.25" style="167" bestFit="1" customWidth="1"/>
    <col min="14352" max="14352" width="11" style="167" bestFit="1" customWidth="1"/>
    <col min="14353" max="14353" width="8" style="167" bestFit="1" customWidth="1"/>
    <col min="14354" max="14354" width="7.75" style="167" bestFit="1" customWidth="1"/>
    <col min="14355" max="14356" width="9.625" style="167" bestFit="1" customWidth="1"/>
    <col min="14357" max="14358" width="9.625" style="167" customWidth="1"/>
    <col min="14359" max="14359" width="9.25" style="167" bestFit="1" customWidth="1"/>
    <col min="14360" max="14360" width="11" style="167" bestFit="1" customWidth="1"/>
    <col min="14361" max="14593" width="9" style="167"/>
    <col min="14594" max="14594" width="4.625" style="167" bestFit="1" customWidth="1"/>
    <col min="14595" max="14595" width="7.5" style="167" bestFit="1" customWidth="1"/>
    <col min="14596" max="14596" width="6.25" style="167" customWidth="1"/>
    <col min="14597" max="14597" width="11" style="167" bestFit="1" customWidth="1"/>
    <col min="14598" max="14599" width="9.625" style="167" bestFit="1" customWidth="1"/>
    <col min="14600" max="14600" width="8.25" style="167" bestFit="1" customWidth="1"/>
    <col min="14601" max="14602" width="9.625" style="167" bestFit="1" customWidth="1"/>
    <col min="14603" max="14603" width="8.25" style="167" bestFit="1" customWidth="1"/>
    <col min="14604" max="14605" width="9.625" style="167" bestFit="1" customWidth="1"/>
    <col min="14606" max="14607" width="8.25" style="167" bestFit="1" customWidth="1"/>
    <col min="14608" max="14608" width="11" style="167" bestFit="1" customWidth="1"/>
    <col min="14609" max="14609" width="8" style="167" bestFit="1" customWidth="1"/>
    <col min="14610" max="14610" width="7.75" style="167" bestFit="1" customWidth="1"/>
    <col min="14611" max="14612" width="9.625" style="167" bestFit="1" customWidth="1"/>
    <col min="14613" max="14614" width="9.625" style="167" customWidth="1"/>
    <col min="14615" max="14615" width="9.25" style="167" bestFit="1" customWidth="1"/>
    <col min="14616" max="14616" width="11" style="167" bestFit="1" customWidth="1"/>
    <col min="14617" max="14849" width="9" style="167"/>
    <col min="14850" max="14850" width="4.625" style="167" bestFit="1" customWidth="1"/>
    <col min="14851" max="14851" width="7.5" style="167" bestFit="1" customWidth="1"/>
    <col min="14852" max="14852" width="6.25" style="167" customWidth="1"/>
    <col min="14853" max="14853" width="11" style="167" bestFit="1" customWidth="1"/>
    <col min="14854" max="14855" width="9.625" style="167" bestFit="1" customWidth="1"/>
    <col min="14856" max="14856" width="8.25" style="167" bestFit="1" customWidth="1"/>
    <col min="14857" max="14858" width="9.625" style="167" bestFit="1" customWidth="1"/>
    <col min="14859" max="14859" width="8.25" style="167" bestFit="1" customWidth="1"/>
    <col min="14860" max="14861" width="9.625" style="167" bestFit="1" customWidth="1"/>
    <col min="14862" max="14863" width="8.25" style="167" bestFit="1" customWidth="1"/>
    <col min="14864" max="14864" width="11" style="167" bestFit="1" customWidth="1"/>
    <col min="14865" max="14865" width="8" style="167" bestFit="1" customWidth="1"/>
    <col min="14866" max="14866" width="7.75" style="167" bestFit="1" customWidth="1"/>
    <col min="14867" max="14868" width="9.625" style="167" bestFit="1" customWidth="1"/>
    <col min="14869" max="14870" width="9.625" style="167" customWidth="1"/>
    <col min="14871" max="14871" width="9.25" style="167" bestFit="1" customWidth="1"/>
    <col min="14872" max="14872" width="11" style="167" bestFit="1" customWidth="1"/>
    <col min="14873" max="15105" width="9" style="167"/>
    <col min="15106" max="15106" width="4.625" style="167" bestFit="1" customWidth="1"/>
    <col min="15107" max="15107" width="7.5" style="167" bestFit="1" customWidth="1"/>
    <col min="15108" max="15108" width="6.25" style="167" customWidth="1"/>
    <col min="15109" max="15109" width="11" style="167" bestFit="1" customWidth="1"/>
    <col min="15110" max="15111" width="9.625" style="167" bestFit="1" customWidth="1"/>
    <col min="15112" max="15112" width="8.25" style="167" bestFit="1" customWidth="1"/>
    <col min="15113" max="15114" width="9.625" style="167" bestFit="1" customWidth="1"/>
    <col min="15115" max="15115" width="8.25" style="167" bestFit="1" customWidth="1"/>
    <col min="15116" max="15117" width="9.625" style="167" bestFit="1" customWidth="1"/>
    <col min="15118" max="15119" width="8.25" style="167" bestFit="1" customWidth="1"/>
    <col min="15120" max="15120" width="11" style="167" bestFit="1" customWidth="1"/>
    <col min="15121" max="15121" width="8" style="167" bestFit="1" customWidth="1"/>
    <col min="15122" max="15122" width="7.75" style="167" bestFit="1" customWidth="1"/>
    <col min="15123" max="15124" width="9.625" style="167" bestFit="1" customWidth="1"/>
    <col min="15125" max="15126" width="9.625" style="167" customWidth="1"/>
    <col min="15127" max="15127" width="9.25" style="167" bestFit="1" customWidth="1"/>
    <col min="15128" max="15128" width="11" style="167" bestFit="1" customWidth="1"/>
    <col min="15129" max="15361" width="9" style="167"/>
    <col min="15362" max="15362" width="4.625" style="167" bestFit="1" customWidth="1"/>
    <col min="15363" max="15363" width="7.5" style="167" bestFit="1" customWidth="1"/>
    <col min="15364" max="15364" width="6.25" style="167" customWidth="1"/>
    <col min="15365" max="15365" width="11" style="167" bestFit="1" customWidth="1"/>
    <col min="15366" max="15367" width="9.625" style="167" bestFit="1" customWidth="1"/>
    <col min="15368" max="15368" width="8.25" style="167" bestFit="1" customWidth="1"/>
    <col min="15369" max="15370" width="9.625" style="167" bestFit="1" customWidth="1"/>
    <col min="15371" max="15371" width="8.25" style="167" bestFit="1" customWidth="1"/>
    <col min="15372" max="15373" width="9.625" style="167" bestFit="1" customWidth="1"/>
    <col min="15374" max="15375" width="8.25" style="167" bestFit="1" customWidth="1"/>
    <col min="15376" max="15376" width="11" style="167" bestFit="1" customWidth="1"/>
    <col min="15377" max="15377" width="8" style="167" bestFit="1" customWidth="1"/>
    <col min="15378" max="15378" width="7.75" style="167" bestFit="1" customWidth="1"/>
    <col min="15379" max="15380" width="9.625" style="167" bestFit="1" customWidth="1"/>
    <col min="15381" max="15382" width="9.625" style="167" customWidth="1"/>
    <col min="15383" max="15383" width="9.25" style="167" bestFit="1" customWidth="1"/>
    <col min="15384" max="15384" width="11" style="167" bestFit="1" customWidth="1"/>
    <col min="15385" max="15617" width="9" style="167"/>
    <col min="15618" max="15618" width="4.625" style="167" bestFit="1" customWidth="1"/>
    <col min="15619" max="15619" width="7.5" style="167" bestFit="1" customWidth="1"/>
    <col min="15620" max="15620" width="6.25" style="167" customWidth="1"/>
    <col min="15621" max="15621" width="11" style="167" bestFit="1" customWidth="1"/>
    <col min="15622" max="15623" width="9.625" style="167" bestFit="1" customWidth="1"/>
    <col min="15624" max="15624" width="8.25" style="167" bestFit="1" customWidth="1"/>
    <col min="15625" max="15626" width="9.625" style="167" bestFit="1" customWidth="1"/>
    <col min="15627" max="15627" width="8.25" style="167" bestFit="1" customWidth="1"/>
    <col min="15628" max="15629" width="9.625" style="167" bestFit="1" customWidth="1"/>
    <col min="15630" max="15631" width="8.25" style="167" bestFit="1" customWidth="1"/>
    <col min="15632" max="15632" width="11" style="167" bestFit="1" customWidth="1"/>
    <col min="15633" max="15633" width="8" style="167" bestFit="1" customWidth="1"/>
    <col min="15634" max="15634" width="7.75" style="167" bestFit="1" customWidth="1"/>
    <col min="15635" max="15636" width="9.625" style="167" bestFit="1" customWidth="1"/>
    <col min="15637" max="15638" width="9.625" style="167" customWidth="1"/>
    <col min="15639" max="15639" width="9.25" style="167" bestFit="1" customWidth="1"/>
    <col min="15640" max="15640" width="11" style="167" bestFit="1" customWidth="1"/>
    <col min="15641" max="15873" width="9" style="167"/>
    <col min="15874" max="15874" width="4.625" style="167" bestFit="1" customWidth="1"/>
    <col min="15875" max="15875" width="7.5" style="167" bestFit="1" customWidth="1"/>
    <col min="15876" max="15876" width="6.25" style="167" customWidth="1"/>
    <col min="15877" max="15877" width="11" style="167" bestFit="1" customWidth="1"/>
    <col min="15878" max="15879" width="9.625" style="167" bestFit="1" customWidth="1"/>
    <col min="15880" max="15880" width="8.25" style="167" bestFit="1" customWidth="1"/>
    <col min="15881" max="15882" width="9.625" style="167" bestFit="1" customWidth="1"/>
    <col min="15883" max="15883" width="8.25" style="167" bestFit="1" customWidth="1"/>
    <col min="15884" max="15885" width="9.625" style="167" bestFit="1" customWidth="1"/>
    <col min="15886" max="15887" width="8.25" style="167" bestFit="1" customWidth="1"/>
    <col min="15888" max="15888" width="11" style="167" bestFit="1" customWidth="1"/>
    <col min="15889" max="15889" width="8" style="167" bestFit="1" customWidth="1"/>
    <col min="15890" max="15890" width="7.75" style="167" bestFit="1" customWidth="1"/>
    <col min="15891" max="15892" width="9.625" style="167" bestFit="1" customWidth="1"/>
    <col min="15893" max="15894" width="9.625" style="167" customWidth="1"/>
    <col min="15895" max="15895" width="9.25" style="167" bestFit="1" customWidth="1"/>
    <col min="15896" max="15896" width="11" style="167" bestFit="1" customWidth="1"/>
    <col min="15897" max="16129" width="9" style="167"/>
    <col min="16130" max="16130" width="4.625" style="167" bestFit="1" customWidth="1"/>
    <col min="16131" max="16131" width="7.5" style="167" bestFit="1" customWidth="1"/>
    <col min="16132" max="16132" width="6.25" style="167" customWidth="1"/>
    <col min="16133" max="16133" width="11" style="167" bestFit="1" customWidth="1"/>
    <col min="16134" max="16135" width="9.625" style="167" bestFit="1" customWidth="1"/>
    <col min="16136" max="16136" width="8.25" style="167" bestFit="1" customWidth="1"/>
    <col min="16137" max="16138" width="9.625" style="167" bestFit="1" customWidth="1"/>
    <col min="16139" max="16139" width="8.25" style="167" bestFit="1" customWidth="1"/>
    <col min="16140" max="16141" width="9.625" style="167" bestFit="1" customWidth="1"/>
    <col min="16142" max="16143" width="8.25" style="167" bestFit="1" customWidth="1"/>
    <col min="16144" max="16144" width="11" style="167" bestFit="1" customWidth="1"/>
    <col min="16145" max="16145" width="8" style="167" bestFit="1" customWidth="1"/>
    <col min="16146" max="16146" width="7.75" style="167" bestFit="1" customWidth="1"/>
    <col min="16147" max="16148" width="9.625" style="167" bestFit="1" customWidth="1"/>
    <col min="16149" max="16150" width="9.625" style="167" customWidth="1"/>
    <col min="16151" max="16151" width="9.25" style="167" bestFit="1" customWidth="1"/>
    <col min="16152" max="16152" width="11" style="167" bestFit="1" customWidth="1"/>
    <col min="16153" max="16384" width="9" style="167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278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65"/>
      <c r="V4" s="252"/>
      <c r="W4" s="252"/>
      <c r="X4" s="252"/>
    </row>
    <row r="5" spans="2:29" ht="20.25" customHeight="1" x14ac:dyDescent="0.3">
      <c r="B5" s="253" t="s">
        <v>279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66"/>
      <c r="Q5" s="69"/>
      <c r="R5" s="69"/>
      <c r="S5" s="69"/>
      <c r="T5" s="252"/>
      <c r="U5" s="165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6" si="0">SUM(E9:O9)</f>
        <v>2500000</v>
      </c>
      <c r="Q9" s="94">
        <f t="shared" ref="Q9:Q19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2" si="2">ROUNDDOWN(Q9*10%,-1)</f>
        <v>2590</v>
      </c>
      <c r="S9" s="95">
        <f>AB30</f>
        <v>0</v>
      </c>
      <c r="T9" s="95">
        <f t="shared" ref="T9:T19" si="3">IFERROR(ROUNDDOWN((P9-AC9)*3.43%,-1),)</f>
        <v>75460</v>
      </c>
      <c r="U9" s="96">
        <f t="shared" ref="U9:U22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130290</v>
      </c>
      <c r="X9" s="97">
        <f t="shared" ref="X9:X22" si="7">P9-W9</f>
        <v>2369710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/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130290</v>
      </c>
      <c r="X10" s="128">
        <f t="shared" si="7"/>
        <v>2369710</v>
      </c>
      <c r="Z10" s="98">
        <v>1</v>
      </c>
      <c r="AA10" s="99"/>
      <c r="AC10" s="100">
        <f t="shared" ref="AC10:AC13" si="8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8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8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8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" si="9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0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" si="11">IFERROR(IF(D15&lt;&gt;"대표이사",ROUNDDOWN((P15-AC15)*고용보험율,-1),0),)</f>
        <v>17600</v>
      </c>
      <c r="W15" s="124">
        <f t="shared" ref="W15" si="12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19" si="13">IF(N15&gt;=100000,100000,N15)+IF(O15&gt;=200000,200000,O15)</f>
        <v>300000</v>
      </c>
    </row>
    <row r="16" spans="2:29" ht="20.100000000000001" customHeight="1" x14ac:dyDescent="0.3">
      <c r="B16" s="101">
        <v>8</v>
      </c>
      <c r="C16" s="169" t="s">
        <v>119</v>
      </c>
      <c r="D16" s="88" t="s">
        <v>50</v>
      </c>
      <c r="E16" s="89">
        <f>[1]직원인적급여카드!M9</f>
        <v>2100000</v>
      </c>
      <c r="F16" s="102"/>
      <c r="G16" s="102"/>
      <c r="H16" s="102"/>
      <c r="I16" s="102"/>
      <c r="J16" s="103"/>
      <c r="K16" s="103"/>
      <c r="L16" s="103"/>
      <c r="M16" s="103"/>
      <c r="N16" s="89">
        <v>200000</v>
      </c>
      <c r="O16" s="129">
        <v>200000</v>
      </c>
      <c r="P16" s="124">
        <f t="shared" si="0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>IFERROR(IF(D17&lt;&gt;"대표이사",ROUNDDOWN((P16-AC16)*고용보험율,-1),0),)</f>
        <v>17600</v>
      </c>
      <c r="W16" s="124">
        <f>SUM(Q16:V16)</f>
        <v>130290</v>
      </c>
      <c r="X16" s="128">
        <f t="shared" si="7"/>
        <v>2369710</v>
      </c>
      <c r="Z16" s="98">
        <v>1</v>
      </c>
      <c r="AA16" s="99"/>
      <c r="AC16" s="100">
        <f t="shared" si="13"/>
        <v>300000</v>
      </c>
    </row>
    <row r="17" spans="2:29" ht="20.100000000000001" customHeight="1" x14ac:dyDescent="0.3">
      <c r="B17" s="101">
        <v>9</v>
      </c>
      <c r="C17" s="87" t="s">
        <v>247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:P22" si="14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:S18" si="15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ref="V17:V18" si="16">IFERROR(IF(D17&lt;&gt;"대표이사",ROUNDDOWN((P17-AC17)*고용보험율,-1),0),)</f>
        <v>17600</v>
      </c>
      <c r="W17" s="124">
        <f t="shared" ref="W17:W18" si="17">SUM(Q17:V17)</f>
        <v>229290</v>
      </c>
      <c r="X17" s="128">
        <f t="shared" si="7"/>
        <v>2270710</v>
      </c>
      <c r="Z17" s="98">
        <v>1</v>
      </c>
      <c r="AA17" s="99"/>
      <c r="AC17" s="100">
        <f t="shared" si="13"/>
        <v>300000</v>
      </c>
    </row>
    <row r="18" spans="2:29" ht="20.100000000000001" customHeight="1" x14ac:dyDescent="0.3">
      <c r="B18" s="101">
        <v>10</v>
      </c>
      <c r="C18" s="169" t="s">
        <v>143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4"/>
        <v>2500000</v>
      </c>
      <c r="Q18" s="125">
        <f t="shared" si="1"/>
        <v>25950</v>
      </c>
      <c r="R18" s="126">
        <f t="shared" si="2"/>
        <v>2590</v>
      </c>
      <c r="S18" s="126">
        <f t="shared" si="15"/>
        <v>99000</v>
      </c>
      <c r="T18" s="95">
        <f t="shared" si="3"/>
        <v>75460</v>
      </c>
      <c r="U18" s="96">
        <f t="shared" si="4"/>
        <v>8690</v>
      </c>
      <c r="V18" s="127">
        <f t="shared" si="16"/>
        <v>17600</v>
      </c>
      <c r="W18" s="124">
        <f t="shared" si="17"/>
        <v>229290</v>
      </c>
      <c r="X18" s="128">
        <f t="shared" si="7"/>
        <v>2270710</v>
      </c>
      <c r="Z18" s="98">
        <v>1</v>
      </c>
      <c r="AA18" s="99"/>
      <c r="AC18" s="100">
        <f t="shared" si="13"/>
        <v>300000</v>
      </c>
    </row>
    <row r="19" spans="2:29" ht="20.100000000000001" customHeight="1" x14ac:dyDescent="0.3">
      <c r="B19" s="101">
        <v>11</v>
      </c>
      <c r="C19" s="87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4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3"/>
        <v>300000</v>
      </c>
    </row>
    <row r="20" spans="2:29" s="168" customFormat="1" ht="20.100000000000001" customHeight="1" x14ac:dyDescent="0.3">
      <c r="B20" s="101">
        <v>12</v>
      </c>
      <c r="C20" s="169" t="s">
        <v>203</v>
      </c>
      <c r="D20" s="88" t="s">
        <v>50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23">
        <v>200000</v>
      </c>
      <c r="P20" s="124">
        <f t="shared" ref="P20" si="18">SUM(E20:O20)</f>
        <v>2500000</v>
      </c>
      <c r="Q20" s="125">
        <f t="shared" ref="Q20" si="19">IFERROR(IF(P20-AC20&lt;=10000000,VLOOKUP((P20-AC20)/1000,간이세액표,IF(11&lt;Z20+AA20,13,2+Z20+AA20),TRUE),IF(P20-AC20&gt;14000000,VLOOKUP((P20-AC20)/1000,간이세액표,IF(11&lt;Z20+AA20,13,2+Z20+AA20),TRUE)+1372000+ROUNDDOWN(((P20-AC20-14000000)*98%)*38%,-1),VLOOKUP((P20-AC20)/1000,간이세액표,IF(11&lt;Z20+AA20,13,2+Z20+AA20),TRUE)+ROUNDDOWN(((P20-AC20-10000000)*98%)*35%,-1))),)</f>
        <v>25950</v>
      </c>
      <c r="R20" s="126">
        <f t="shared" ref="R20" si="20">ROUNDDOWN(Q20*10%,-1)</f>
        <v>2590</v>
      </c>
      <c r="S20" s="126">
        <f t="shared" ref="S20" si="21">IFERROR(IF(AND(P20-AC20&gt;=월액최저,P20-AC20&lt;=월액최고),ROUNDDOWN((P20-AC20)*국민연금,-1),IF(P20-AC20&gt;=월액최고,최고연금,IF(AND(P20-AC20&lt;=월액최저,P20-AC20&gt;=1),최저연금,))),)</f>
        <v>99000</v>
      </c>
      <c r="T20" s="95">
        <f t="shared" ref="T20" si="22">IFERROR(ROUNDDOWN((P20-AC20)*3.43%,-1),)</f>
        <v>75460</v>
      </c>
      <c r="U20" s="96">
        <f t="shared" ref="U20" si="23">ROUNDDOWN(T20*11.52%,-1)</f>
        <v>8690</v>
      </c>
      <c r="V20" s="127">
        <f t="shared" ref="V20" si="24">IFERROR(IF(D20&lt;&gt;"대표이사",ROUNDDOWN((P20-AC20)*고용보험율,-1),0),)</f>
        <v>17600</v>
      </c>
      <c r="W20" s="124">
        <f t="shared" ref="W20" si="25">SUM(Q20:V20)</f>
        <v>229290</v>
      </c>
      <c r="X20" s="128">
        <f t="shared" ref="X20" si="26">P20-W20</f>
        <v>2270710</v>
      </c>
      <c r="Z20" s="98">
        <v>1</v>
      </c>
      <c r="AA20" s="99"/>
      <c r="AC20" s="100">
        <f t="shared" ref="AC20" si="27">IF(N20&gt;=100000,100000,N20)+IF(O20&gt;=200000,200000,O20)</f>
        <v>300000</v>
      </c>
    </row>
    <row r="21" spans="2:29" ht="20.100000000000001" customHeight="1" x14ac:dyDescent="0.3">
      <c r="B21" s="101">
        <v>13</v>
      </c>
      <c r="C21" s="87" t="s">
        <v>251</v>
      </c>
      <c r="D21" s="88" t="s">
        <v>50</v>
      </c>
      <c r="E21" s="89">
        <v>2100000</v>
      </c>
      <c r="F21" s="106"/>
      <c r="G21" s="106"/>
      <c r="H21" s="106"/>
      <c r="I21" s="106"/>
      <c r="J21" s="107"/>
      <c r="K21" s="107"/>
      <c r="L21" s="107"/>
      <c r="M21" s="107"/>
      <c r="N21" s="89">
        <v>200000</v>
      </c>
      <c r="O21" s="130">
        <v>200000</v>
      </c>
      <c r="P21" s="124">
        <f t="shared" si="14"/>
        <v>2500000</v>
      </c>
      <c r="Q21" s="125">
        <f t="shared" ref="Q21:Q22" si="28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/>
      <c r="T21" s="95">
        <f t="shared" ref="T21:T22" si="29">IFERROR(ROUNDDOWN((P21-AC21)*3.43%,-1),)</f>
        <v>75460</v>
      </c>
      <c r="U21" s="96">
        <f t="shared" si="4"/>
        <v>8690</v>
      </c>
      <c r="V21" s="127">
        <f t="shared" ref="V21:V22" si="30">IFERROR(IF(D21&lt;&gt;"대표이사",ROUNDDOWN((P21-AC21)*고용보험율,-1),0),)</f>
        <v>17600</v>
      </c>
      <c r="W21" s="124">
        <f t="shared" ref="W21:W22" si="31">SUM(Q21:V21)</f>
        <v>130290</v>
      </c>
      <c r="X21" s="128">
        <f t="shared" si="7"/>
        <v>2369710</v>
      </c>
      <c r="Z21" s="98">
        <v>1</v>
      </c>
      <c r="AA21" s="99"/>
      <c r="AC21" s="100">
        <f t="shared" ref="AC21:AC22" si="32">IF(N21&gt;=100000,100000,N21)+IF(O21&gt;=200000,200000,O21)</f>
        <v>300000</v>
      </c>
    </row>
    <row r="22" spans="2:29" s="168" customFormat="1" ht="20.100000000000001" customHeight="1" x14ac:dyDescent="0.3">
      <c r="B22" s="101">
        <v>14</v>
      </c>
      <c r="C22" s="87" t="s">
        <v>247</v>
      </c>
      <c r="D22" s="88" t="s">
        <v>50</v>
      </c>
      <c r="E22" s="89">
        <v>2100000</v>
      </c>
      <c r="F22" s="102"/>
      <c r="G22" s="102"/>
      <c r="H22" s="102"/>
      <c r="I22" s="102"/>
      <c r="J22" s="103"/>
      <c r="K22" s="103"/>
      <c r="L22" s="103"/>
      <c r="M22" s="103"/>
      <c r="N22" s="89">
        <v>200000</v>
      </c>
      <c r="O22" s="123">
        <v>200000</v>
      </c>
      <c r="P22" s="124">
        <f t="shared" si="14"/>
        <v>2500000</v>
      </c>
      <c r="Q22" s="125">
        <f t="shared" si="28"/>
        <v>25950</v>
      </c>
      <c r="R22" s="126">
        <f t="shared" si="2"/>
        <v>2590</v>
      </c>
      <c r="S22" s="126">
        <f t="shared" ref="S22" si="33">IFERROR(IF(AND(P22-AC22&gt;=월액최저,P22-AC22&lt;=월액최고),ROUNDDOWN((P22-AC22)*국민연금,-1),IF(P22-AC22&gt;=월액최고,최고연금,IF(AND(P22-AC22&lt;=월액최저,P22-AC22&gt;=1),최저연금,))),)</f>
        <v>99000</v>
      </c>
      <c r="T22" s="95">
        <f t="shared" si="29"/>
        <v>75460</v>
      </c>
      <c r="U22" s="96">
        <f t="shared" si="4"/>
        <v>8690</v>
      </c>
      <c r="V22" s="127">
        <f t="shared" si="30"/>
        <v>17600</v>
      </c>
      <c r="W22" s="124">
        <f t="shared" si="31"/>
        <v>229290</v>
      </c>
      <c r="X22" s="128">
        <f t="shared" si="7"/>
        <v>2270710</v>
      </c>
      <c r="Z22" s="98">
        <v>1</v>
      </c>
      <c r="AA22" s="99"/>
      <c r="AC22" s="100">
        <f t="shared" si="32"/>
        <v>300000</v>
      </c>
    </row>
    <row r="23" spans="2:29" s="168" customFormat="1" ht="20.100000000000001" customHeight="1" x14ac:dyDescent="0.3">
      <c r="B23" s="101">
        <v>15</v>
      </c>
      <c r="C23" s="169" t="s">
        <v>297</v>
      </c>
      <c r="D23" s="88" t="s">
        <v>50</v>
      </c>
      <c r="E23" s="89">
        <v>2100000</v>
      </c>
      <c r="F23" s="102"/>
      <c r="G23" s="102"/>
      <c r="H23" s="102"/>
      <c r="I23" s="102"/>
      <c r="J23" s="103"/>
      <c r="K23" s="103"/>
      <c r="L23" s="103"/>
      <c r="M23" s="103"/>
      <c r="N23" s="89">
        <v>200000</v>
      </c>
      <c r="O23" s="123">
        <v>200000</v>
      </c>
      <c r="P23" s="124">
        <f t="shared" ref="P23" si="34">SUM(E23:O23)</f>
        <v>2500000</v>
      </c>
      <c r="Q23" s="125">
        <f t="shared" ref="Q23" si="35">IFERROR(IF(P23-AC23&lt;=10000000,VLOOKUP((P23-AC23)/1000,간이세액표,IF(11&lt;Z23+AA23,13,2+Z23+AA23),TRUE),IF(P23-AC23&gt;14000000,VLOOKUP((P23-AC23)/1000,간이세액표,IF(11&lt;Z23+AA23,13,2+Z23+AA23),TRUE)+1372000+ROUNDDOWN(((P23-AC23-14000000)*98%)*38%,-1),VLOOKUP((P23-AC23)/1000,간이세액표,IF(11&lt;Z23+AA23,13,2+Z23+AA23),TRUE)+ROUNDDOWN(((P23-AC23-10000000)*98%)*35%,-1))),)</f>
        <v>25950</v>
      </c>
      <c r="R23" s="126">
        <f t="shared" ref="R23" si="36">ROUNDDOWN(Q23*10%,-1)</f>
        <v>2590</v>
      </c>
      <c r="S23" s="126">
        <f t="shared" ref="S23" si="37">IFERROR(IF(AND(P23-AC23&gt;=월액최저,P23-AC23&lt;=월액최고),ROUNDDOWN((P23-AC23)*국민연금,-1),IF(P23-AC23&gt;=월액최고,최고연금,IF(AND(P23-AC23&lt;=월액최저,P23-AC23&gt;=1),최저연금,))),)</f>
        <v>99000</v>
      </c>
      <c r="T23" s="95">
        <f t="shared" ref="T23" si="38">IFERROR(ROUNDDOWN((P23-AC23)*3.43%,-1),)</f>
        <v>75460</v>
      </c>
      <c r="U23" s="96">
        <f t="shared" ref="U23" si="39">ROUNDDOWN(T23*11.52%,-1)</f>
        <v>8690</v>
      </c>
      <c r="V23" s="127">
        <f t="shared" ref="V23" si="40">IFERROR(IF(D23&lt;&gt;"대표이사",ROUNDDOWN((P23-AC23)*고용보험율,-1),0),)</f>
        <v>17600</v>
      </c>
      <c r="W23" s="124">
        <f t="shared" ref="W23" si="41">SUM(Q23:V23)</f>
        <v>229290</v>
      </c>
      <c r="X23" s="128">
        <f t="shared" ref="X23" si="42">P23-W23</f>
        <v>2270710</v>
      </c>
      <c r="Z23" s="98">
        <v>1</v>
      </c>
      <c r="AA23" s="99"/>
      <c r="AC23" s="100">
        <f t="shared" ref="AC23" si="43">IF(N23&gt;=100000,100000,N23)+IF(O23&gt;=200000,200000,O23)</f>
        <v>300000</v>
      </c>
    </row>
    <row r="24" spans="2:29" s="168" customFormat="1" ht="20.100000000000001" customHeight="1" x14ac:dyDescent="0.3">
      <c r="B24" s="101"/>
      <c r="C24" s="87"/>
      <c r="D24" s="88"/>
      <c r="E24" s="89"/>
      <c r="F24" s="102"/>
      <c r="G24" s="102"/>
      <c r="H24" s="102"/>
      <c r="I24" s="102"/>
      <c r="J24" s="103"/>
      <c r="K24" s="103"/>
      <c r="L24" s="103"/>
      <c r="M24" s="103"/>
      <c r="N24" s="89"/>
      <c r="O24" s="123"/>
      <c r="P24" s="124"/>
      <c r="Q24" s="125"/>
      <c r="R24" s="126"/>
      <c r="S24" s="126"/>
      <c r="T24" s="95"/>
      <c r="U24" s="96"/>
      <c r="V24" s="127"/>
      <c r="W24" s="124"/>
      <c r="X24" s="128"/>
      <c r="Z24" s="98"/>
      <c r="AA24" s="99"/>
      <c r="AC24" s="100"/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44">SUM(E9:E24)</f>
        <v>31500000</v>
      </c>
      <c r="F25" s="132">
        <f t="shared" si="44"/>
        <v>0</v>
      </c>
      <c r="G25" s="132">
        <f t="shared" si="44"/>
        <v>0</v>
      </c>
      <c r="H25" s="132">
        <f t="shared" si="44"/>
        <v>0</v>
      </c>
      <c r="I25" s="132">
        <f t="shared" si="44"/>
        <v>0</v>
      </c>
      <c r="J25" s="132">
        <f t="shared" si="44"/>
        <v>0</v>
      </c>
      <c r="K25" s="132">
        <f t="shared" si="44"/>
        <v>0</v>
      </c>
      <c r="L25" s="132">
        <f t="shared" si="44"/>
        <v>0</v>
      </c>
      <c r="M25" s="133">
        <f t="shared" si="44"/>
        <v>0</v>
      </c>
      <c r="N25" s="131">
        <f t="shared" si="44"/>
        <v>3000000</v>
      </c>
      <c r="O25" s="134">
        <f t="shared" si="44"/>
        <v>3000000</v>
      </c>
      <c r="P25" s="135">
        <f t="shared" si="44"/>
        <v>37500000</v>
      </c>
      <c r="Q25" s="131">
        <f t="shared" si="44"/>
        <v>389250</v>
      </c>
      <c r="R25" s="132">
        <f t="shared" si="44"/>
        <v>38850</v>
      </c>
      <c r="S25" s="132">
        <f t="shared" si="44"/>
        <v>594000</v>
      </c>
      <c r="T25" s="132">
        <f t="shared" si="44"/>
        <v>1131900</v>
      </c>
      <c r="U25" s="133">
        <f t="shared" si="44"/>
        <v>130350</v>
      </c>
      <c r="V25" s="133">
        <f t="shared" si="44"/>
        <v>264000</v>
      </c>
      <c r="W25" s="135">
        <f t="shared" si="44"/>
        <v>2548350</v>
      </c>
      <c r="X25" s="136">
        <f t="shared" si="44"/>
        <v>34951650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280</v>
      </c>
      <c r="D28" s="257" t="s">
        <v>281</v>
      </c>
      <c r="E28" s="198"/>
      <c r="F28" s="204" t="s">
        <v>284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x14ac:dyDescent="0.3">
      <c r="B32" s="195" t="s">
        <v>97</v>
      </c>
      <c r="C32" s="120" t="s">
        <v>273</v>
      </c>
      <c r="D32" s="197" t="s">
        <v>192</v>
      </c>
      <c r="E32" s="198"/>
      <c r="F32" s="204" t="s">
        <v>283</v>
      </c>
      <c r="G32" s="205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x14ac:dyDescent="0.3">
      <c r="B33" s="195"/>
      <c r="C33" s="120" t="s">
        <v>56</v>
      </c>
      <c r="D33" s="197" t="s">
        <v>58</v>
      </c>
      <c r="E33" s="198"/>
      <c r="F33" s="204" t="s">
        <v>282</v>
      </c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5"/>
      <c r="C34" s="147" t="s">
        <v>285</v>
      </c>
      <c r="D34" s="197" t="s">
        <v>144</v>
      </c>
      <c r="E34" s="198"/>
      <c r="F34" s="204" t="s">
        <v>286</v>
      </c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6"/>
      <c r="C35" s="122"/>
      <c r="D35" s="197"/>
      <c r="E35" s="198"/>
      <c r="F35" s="204"/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20.100000000000001" customHeight="1" x14ac:dyDescent="0.3">
      <c r="Q36" s="64"/>
      <c r="R36" s="64"/>
      <c r="S36" s="64"/>
      <c r="T36" s="64"/>
      <c r="U36" s="64"/>
      <c r="V36" s="64"/>
    </row>
    <row r="37" spans="2:22" s="64" customFormat="1" ht="20.100000000000001" customHeight="1" x14ac:dyDescent="0.3">
      <c r="B37" s="167"/>
      <c r="C37" s="167"/>
      <c r="D37" s="167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67"/>
      <c r="C38" s="167"/>
      <c r="D38" s="167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67"/>
      <c r="C39" s="167"/>
      <c r="D39" s="167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67"/>
      <c r="C40" s="167"/>
      <c r="D40" s="167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67"/>
      <c r="C41" s="167"/>
      <c r="D41" s="167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67"/>
      <c r="C42" s="167"/>
      <c r="D42" s="167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67"/>
      <c r="C43" s="167"/>
      <c r="D43" s="167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67"/>
      <c r="C44" s="167"/>
      <c r="D44" s="167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67"/>
      <c r="C45" s="167"/>
      <c r="D45" s="167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67"/>
      <c r="C46" s="167"/>
      <c r="D46" s="167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67"/>
      <c r="C47" s="167"/>
      <c r="D47" s="167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67"/>
      <c r="C48" s="167"/>
      <c r="D48" s="167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67"/>
      <c r="C49" s="167"/>
      <c r="D49" s="167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67"/>
      <c r="C50" s="167"/>
      <c r="D50" s="167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67"/>
      <c r="C51" s="167"/>
      <c r="D51" s="167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67"/>
      <c r="C52" s="167"/>
      <c r="D52" s="167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67"/>
      <c r="C53" s="167"/>
      <c r="D53" s="167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67"/>
      <c r="C54" s="167"/>
      <c r="D54" s="167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67"/>
      <c r="C55" s="167"/>
      <c r="D55" s="167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67"/>
      <c r="C56" s="167"/>
      <c r="D56" s="167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67"/>
      <c r="C57" s="167"/>
      <c r="D57" s="167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67"/>
      <c r="C58" s="167"/>
      <c r="D58" s="167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67"/>
      <c r="C59" s="167"/>
      <c r="D59" s="167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67"/>
      <c r="C60" s="167"/>
      <c r="D60" s="167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67"/>
      <c r="C61" s="167"/>
      <c r="D61" s="167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67"/>
      <c r="C62" s="167"/>
      <c r="D62" s="167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67"/>
      <c r="C63" s="167"/>
      <c r="D63" s="167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67"/>
      <c r="C64" s="167"/>
      <c r="D64" s="167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67"/>
      <c r="C65" s="167"/>
      <c r="D65" s="167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67"/>
      <c r="C66" s="167"/>
      <c r="D66" s="167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67"/>
      <c r="C67" s="167"/>
      <c r="D67" s="167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67"/>
      <c r="C68" s="167"/>
      <c r="D68" s="167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67"/>
      <c r="C69" s="167"/>
      <c r="D69" s="167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67"/>
      <c r="C70" s="167"/>
      <c r="D70" s="167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67"/>
      <c r="C71" s="167"/>
      <c r="D71" s="167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67"/>
      <c r="C72" s="167"/>
      <c r="D72" s="167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67"/>
      <c r="C73" s="167"/>
      <c r="D73" s="167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67"/>
      <c r="C74" s="167"/>
      <c r="D74" s="167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67"/>
      <c r="C75" s="167"/>
      <c r="D75" s="167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67"/>
      <c r="C76" s="167"/>
      <c r="D76" s="167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67"/>
      <c r="C77" s="167"/>
      <c r="D77" s="167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67"/>
      <c r="C78" s="167"/>
      <c r="D78" s="167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67"/>
      <c r="C79" s="167"/>
      <c r="D79" s="167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67"/>
      <c r="C80" s="167"/>
      <c r="D80" s="167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67"/>
      <c r="C81" s="167"/>
      <c r="D81" s="167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67"/>
      <c r="C82" s="167"/>
      <c r="D82" s="167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67"/>
      <c r="C83" s="167"/>
      <c r="D83" s="167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67"/>
      <c r="C84" s="167"/>
      <c r="D84" s="167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67"/>
      <c r="C85" s="167"/>
      <c r="D85" s="167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67"/>
      <c r="C86" s="167"/>
      <c r="D86" s="167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67"/>
      <c r="C87" s="167"/>
      <c r="D87" s="167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67"/>
      <c r="C88" s="167"/>
      <c r="D88" s="167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67"/>
      <c r="C89" s="167"/>
      <c r="D89" s="167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67"/>
      <c r="C90" s="167"/>
      <c r="D90" s="167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67"/>
      <c r="C91" s="167"/>
      <c r="D91" s="167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67"/>
      <c r="C92" s="167"/>
      <c r="D92" s="167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67"/>
      <c r="C93" s="167"/>
      <c r="D93" s="167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67"/>
      <c r="C94" s="167"/>
      <c r="D94" s="167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67"/>
      <c r="C95" s="167"/>
      <c r="D95" s="167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67"/>
      <c r="C96" s="167"/>
      <c r="D96" s="167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67"/>
      <c r="C97" s="167"/>
      <c r="D97" s="167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67"/>
      <c r="C98" s="167"/>
      <c r="D98" s="167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67"/>
      <c r="C99" s="167"/>
      <c r="D99" s="167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67"/>
      <c r="C100" s="167"/>
      <c r="D100" s="167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67"/>
      <c r="C101" s="167"/>
      <c r="D101" s="167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67"/>
      <c r="C102" s="167"/>
      <c r="D102" s="167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67"/>
      <c r="C103" s="167"/>
      <c r="D103" s="167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67"/>
      <c r="C104" s="167"/>
      <c r="D104" s="167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67"/>
      <c r="C105" s="167"/>
      <c r="D105" s="167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67"/>
      <c r="C106" s="167"/>
      <c r="D106" s="167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67"/>
      <c r="C107" s="167"/>
      <c r="D107" s="167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67"/>
      <c r="C108" s="167"/>
      <c r="D108" s="167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67"/>
      <c r="C109" s="167"/>
      <c r="D109" s="167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67"/>
      <c r="C110" s="167"/>
      <c r="D110" s="167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67"/>
      <c r="C111" s="167"/>
      <c r="D111" s="167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67"/>
      <c r="C112" s="167"/>
      <c r="D112" s="167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67"/>
      <c r="C113" s="167"/>
      <c r="D113" s="167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67"/>
      <c r="C114" s="167"/>
      <c r="D114" s="167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67"/>
      <c r="C115" s="167"/>
      <c r="D115" s="167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67"/>
      <c r="C116" s="167"/>
      <c r="D116" s="167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67"/>
      <c r="C117" s="167"/>
      <c r="D117" s="167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67"/>
      <c r="C118" s="167"/>
      <c r="D118" s="167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67"/>
      <c r="C119" s="167"/>
      <c r="D119" s="167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67"/>
      <c r="C120" s="167"/>
      <c r="D120" s="167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67"/>
      <c r="C121" s="167"/>
      <c r="D121" s="167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67"/>
      <c r="C122" s="167"/>
      <c r="D122" s="167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67"/>
      <c r="C123" s="167"/>
      <c r="D123" s="167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67"/>
      <c r="C124" s="167"/>
      <c r="D124" s="167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67"/>
      <c r="C125" s="167"/>
      <c r="D125" s="167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67"/>
      <c r="C126" s="167"/>
      <c r="D126" s="167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67"/>
      <c r="C127" s="167"/>
      <c r="D127" s="167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67"/>
      <c r="C128" s="167"/>
      <c r="D128" s="167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67"/>
      <c r="C129" s="167"/>
      <c r="D129" s="167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67"/>
      <c r="C130" s="167"/>
      <c r="D130" s="167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67"/>
      <c r="C131" s="167"/>
      <c r="D131" s="167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67"/>
      <c r="C132" s="167"/>
      <c r="D132" s="167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67"/>
      <c r="C133" s="167"/>
      <c r="D133" s="167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67"/>
      <c r="C134" s="167"/>
      <c r="D134" s="167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67"/>
      <c r="C135" s="167"/>
      <c r="D135" s="167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67"/>
      <c r="C136" s="167"/>
      <c r="D136" s="167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67"/>
      <c r="C137" s="167"/>
      <c r="D137" s="167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67"/>
      <c r="C138" s="167"/>
      <c r="D138" s="167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67"/>
      <c r="C139" s="167"/>
      <c r="D139" s="167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67"/>
      <c r="C140" s="167"/>
      <c r="D140" s="167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67"/>
      <c r="C141" s="167"/>
      <c r="D141" s="167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67"/>
      <c r="C142" s="167"/>
      <c r="D142" s="167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67"/>
      <c r="C143" s="167"/>
      <c r="D143" s="167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67"/>
      <c r="C144" s="167"/>
      <c r="D144" s="167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67"/>
      <c r="C145" s="167"/>
      <c r="D145" s="167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67"/>
      <c r="C146" s="167"/>
      <c r="D146" s="167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67"/>
      <c r="C147" s="167"/>
      <c r="D147" s="167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67"/>
      <c r="C148" s="167"/>
      <c r="D148" s="167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67"/>
      <c r="C149" s="167"/>
      <c r="D149" s="167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67"/>
      <c r="C150" s="167"/>
      <c r="D150" s="167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67"/>
      <c r="C151" s="167"/>
      <c r="D151" s="167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67"/>
      <c r="C152" s="167"/>
      <c r="D152" s="167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67"/>
      <c r="C153" s="167"/>
      <c r="D153" s="167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67"/>
      <c r="C154" s="167"/>
      <c r="D154" s="167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67"/>
      <c r="C155" s="167"/>
      <c r="D155" s="167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67"/>
      <c r="C156" s="167"/>
      <c r="D156" s="167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67"/>
      <c r="C157" s="167"/>
      <c r="D157" s="167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67"/>
      <c r="C158" s="167"/>
      <c r="D158" s="167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67"/>
      <c r="C159" s="167"/>
      <c r="D159" s="167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67"/>
      <c r="C160" s="167"/>
      <c r="D160" s="167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67"/>
      <c r="C161" s="167"/>
      <c r="D161" s="167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67"/>
      <c r="C162" s="167"/>
      <c r="D162" s="167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67"/>
      <c r="C163" s="167"/>
      <c r="D163" s="167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67"/>
      <c r="C164" s="167"/>
      <c r="D164" s="167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67"/>
      <c r="C165" s="167"/>
      <c r="D165" s="167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67"/>
      <c r="C166" s="167"/>
      <c r="D166" s="167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67"/>
      <c r="C167" s="167"/>
      <c r="D167" s="167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67"/>
      <c r="C168" s="167"/>
      <c r="D168" s="167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67"/>
      <c r="C169" s="167"/>
      <c r="D169" s="167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67"/>
      <c r="C170" s="167"/>
      <c r="D170" s="167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67"/>
      <c r="C171" s="167"/>
      <c r="D171" s="167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67"/>
      <c r="C172" s="167"/>
      <c r="D172" s="167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67"/>
      <c r="C173" s="167"/>
      <c r="D173" s="167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67"/>
      <c r="C174" s="167"/>
      <c r="D174" s="167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67"/>
      <c r="C175" s="167"/>
      <c r="D175" s="167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67"/>
      <c r="C176" s="167"/>
      <c r="D176" s="167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67"/>
      <c r="C177" s="167"/>
      <c r="D177" s="167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67"/>
      <c r="C178" s="167"/>
      <c r="D178" s="167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67"/>
      <c r="C179" s="167"/>
      <c r="D179" s="167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67"/>
      <c r="C180" s="167"/>
      <c r="D180" s="167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67"/>
      <c r="C181" s="167"/>
      <c r="D181" s="167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67"/>
      <c r="C182" s="167"/>
      <c r="D182" s="167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67"/>
      <c r="C183" s="167"/>
      <c r="D183" s="167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67"/>
      <c r="C184" s="167"/>
      <c r="D184" s="167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67"/>
      <c r="C185" s="167"/>
      <c r="D185" s="167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67"/>
      <c r="C186" s="167"/>
      <c r="D186" s="167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67"/>
      <c r="C187" s="167"/>
      <c r="D187" s="167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67"/>
      <c r="C188" s="167"/>
      <c r="D188" s="167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67"/>
      <c r="C189" s="167"/>
      <c r="D189" s="167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67"/>
      <c r="C190" s="167"/>
      <c r="D190" s="167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67"/>
      <c r="C191" s="167"/>
      <c r="D191" s="167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67"/>
      <c r="C192" s="167"/>
      <c r="D192" s="167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67"/>
      <c r="C193" s="167"/>
      <c r="D193" s="167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67"/>
      <c r="C194" s="167"/>
      <c r="D194" s="167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67"/>
      <c r="C195" s="167"/>
      <c r="D195" s="167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67"/>
      <c r="C196" s="167"/>
      <c r="D196" s="167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67"/>
      <c r="C197" s="167"/>
      <c r="D197" s="167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67"/>
      <c r="C198" s="167"/>
      <c r="D198" s="167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67"/>
      <c r="C199" s="167"/>
      <c r="D199" s="167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67"/>
      <c r="C200" s="167"/>
      <c r="D200" s="167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67"/>
      <c r="C201" s="167"/>
      <c r="D201" s="167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67"/>
      <c r="C202" s="167"/>
      <c r="D202" s="167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67"/>
      <c r="C203" s="167"/>
      <c r="D203" s="167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67"/>
      <c r="C204" s="167"/>
      <c r="D204" s="167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67"/>
      <c r="C205" s="167"/>
      <c r="D205" s="167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67"/>
      <c r="C206" s="167"/>
      <c r="D206" s="167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67"/>
      <c r="C207" s="167"/>
      <c r="D207" s="167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67"/>
      <c r="C208" s="167"/>
      <c r="D208" s="167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67"/>
      <c r="C209" s="167"/>
      <c r="D209" s="167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67"/>
      <c r="C210" s="167"/>
      <c r="D210" s="167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67"/>
      <c r="C211" s="167"/>
      <c r="D211" s="167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67"/>
      <c r="C212" s="167"/>
      <c r="D212" s="167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67"/>
      <c r="C213" s="167"/>
      <c r="D213" s="167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67"/>
      <c r="C214" s="167"/>
      <c r="D214" s="167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67"/>
      <c r="C215" s="167"/>
      <c r="D215" s="167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67"/>
      <c r="C216" s="167"/>
      <c r="D216" s="167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67"/>
      <c r="C217" s="167"/>
      <c r="D217" s="167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67"/>
      <c r="C218" s="167"/>
      <c r="D218" s="167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67"/>
      <c r="C219" s="167"/>
      <c r="D219" s="167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67"/>
      <c r="C220" s="167"/>
      <c r="D220" s="167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67"/>
      <c r="C221" s="167"/>
      <c r="D221" s="167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67"/>
      <c r="C222" s="167"/>
      <c r="D222" s="167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67"/>
      <c r="C223" s="167"/>
      <c r="D223" s="167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67"/>
      <c r="C224" s="167"/>
      <c r="D224" s="167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67"/>
      <c r="C225" s="167"/>
      <c r="D225" s="167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67"/>
      <c r="C226" s="167"/>
      <c r="D226" s="167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67"/>
      <c r="C227" s="167"/>
      <c r="D227" s="167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67"/>
      <c r="C228" s="167"/>
      <c r="D228" s="167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67"/>
      <c r="C229" s="167"/>
      <c r="D229" s="167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67"/>
      <c r="C230" s="167"/>
      <c r="D230" s="167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67"/>
      <c r="C231" s="167"/>
      <c r="D231" s="167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67"/>
      <c r="C232" s="167"/>
      <c r="D232" s="167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67"/>
      <c r="C233" s="167"/>
      <c r="D233" s="167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67"/>
      <c r="C234" s="167"/>
      <c r="D234" s="167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67"/>
      <c r="C235" s="167"/>
      <c r="D235" s="167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67"/>
      <c r="C236" s="167"/>
      <c r="D236" s="167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67"/>
      <c r="C237" s="167"/>
      <c r="D237" s="167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67"/>
      <c r="C238" s="167"/>
      <c r="D238" s="167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67"/>
      <c r="C239" s="167"/>
      <c r="D239" s="167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67"/>
      <c r="C240" s="167"/>
      <c r="D240" s="167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67"/>
      <c r="C241" s="167"/>
      <c r="D241" s="167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67"/>
      <c r="C242" s="167"/>
      <c r="D242" s="167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67"/>
      <c r="C243" s="167"/>
      <c r="D243" s="167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67"/>
      <c r="C244" s="167"/>
      <c r="D244" s="167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67"/>
      <c r="C245" s="167"/>
      <c r="D245" s="167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67"/>
      <c r="C246" s="167"/>
      <c r="D246" s="167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67"/>
      <c r="C247" s="167"/>
      <c r="D247" s="167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67"/>
      <c r="C248" s="167"/>
      <c r="D248" s="167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67"/>
      <c r="C249" s="167"/>
      <c r="D249" s="167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67"/>
      <c r="C250" s="167"/>
      <c r="D250" s="167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67"/>
      <c r="C251" s="167"/>
      <c r="D251" s="167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67"/>
      <c r="C252" s="167"/>
      <c r="D252" s="167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67"/>
      <c r="C253" s="167"/>
      <c r="D253" s="167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67"/>
      <c r="C254" s="167"/>
      <c r="D254" s="167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67"/>
      <c r="C255" s="167"/>
      <c r="D255" s="167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67"/>
      <c r="C256" s="167"/>
      <c r="D256" s="167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67"/>
      <c r="C257" s="167"/>
      <c r="D257" s="167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67"/>
      <c r="C258" s="167"/>
      <c r="D258" s="167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67"/>
      <c r="C259" s="167"/>
      <c r="D259" s="167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67"/>
      <c r="C260" s="167"/>
      <c r="D260" s="167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67"/>
      <c r="C261" s="167"/>
      <c r="D261" s="167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67"/>
      <c r="C262" s="167"/>
      <c r="D262" s="167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67"/>
      <c r="C263" s="167"/>
      <c r="D263" s="167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67"/>
      <c r="C264" s="167"/>
      <c r="D264" s="167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67"/>
      <c r="C265" s="167"/>
      <c r="D265" s="167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67"/>
      <c r="C266" s="167"/>
      <c r="D266" s="167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67"/>
      <c r="C267" s="167"/>
      <c r="D267" s="167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67"/>
      <c r="C268" s="167"/>
      <c r="D268" s="167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67"/>
      <c r="C269" s="167"/>
      <c r="D269" s="167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67"/>
      <c r="C270" s="167"/>
      <c r="D270" s="167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67"/>
      <c r="C271" s="167"/>
      <c r="D271" s="167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67"/>
      <c r="C272" s="167"/>
      <c r="D272" s="167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67"/>
      <c r="C273" s="167"/>
      <c r="D273" s="167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67"/>
      <c r="C274" s="167"/>
      <c r="D274" s="167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67"/>
      <c r="C275" s="167"/>
      <c r="D275" s="167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67"/>
      <c r="C276" s="167"/>
      <c r="D276" s="167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67"/>
      <c r="C277" s="167"/>
      <c r="D277" s="167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67"/>
      <c r="C278" s="167"/>
      <c r="D278" s="167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67"/>
      <c r="C279" s="167"/>
      <c r="D279" s="167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67"/>
      <c r="C280" s="167"/>
      <c r="D280" s="167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67"/>
      <c r="C281" s="167"/>
      <c r="D281" s="167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67"/>
      <c r="C282" s="167"/>
      <c r="D282" s="167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67"/>
      <c r="C283" s="167"/>
      <c r="D283" s="167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B32:B35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  <mergeCell ref="D31:E31"/>
    <mergeCell ref="F31:G31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topLeftCell="A7" workbookViewId="0">
      <selection activeCell="R34" sqref="R34"/>
    </sheetView>
  </sheetViews>
  <sheetFormatPr defaultRowHeight="13.5" x14ac:dyDescent="0.3"/>
  <cols>
    <col min="1" max="1" width="1.625" style="167" customWidth="1"/>
    <col min="2" max="2" width="4.625" style="167" bestFit="1" customWidth="1"/>
    <col min="3" max="3" width="7.625" style="167" bestFit="1" customWidth="1"/>
    <col min="4" max="4" width="8" style="167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67" customWidth="1"/>
    <col min="26" max="26" width="8.375" style="167" customWidth="1"/>
    <col min="27" max="27" width="7.25" style="167" customWidth="1"/>
    <col min="28" max="28" width="3.875" style="167" customWidth="1"/>
    <col min="29" max="29" width="0.5" style="167" customWidth="1"/>
    <col min="30" max="257" width="9" style="167"/>
    <col min="258" max="258" width="4.625" style="167" bestFit="1" customWidth="1"/>
    <col min="259" max="259" width="7.5" style="167" bestFit="1" customWidth="1"/>
    <col min="260" max="260" width="6.25" style="167" customWidth="1"/>
    <col min="261" max="261" width="11" style="167" bestFit="1" customWidth="1"/>
    <col min="262" max="263" width="9.625" style="167" bestFit="1" customWidth="1"/>
    <col min="264" max="264" width="8.25" style="167" bestFit="1" customWidth="1"/>
    <col min="265" max="266" width="9.625" style="167" bestFit="1" customWidth="1"/>
    <col min="267" max="267" width="8.25" style="167" bestFit="1" customWidth="1"/>
    <col min="268" max="269" width="9.625" style="167" bestFit="1" customWidth="1"/>
    <col min="270" max="271" width="8.25" style="167" bestFit="1" customWidth="1"/>
    <col min="272" max="272" width="11" style="167" bestFit="1" customWidth="1"/>
    <col min="273" max="273" width="8" style="167" bestFit="1" customWidth="1"/>
    <col min="274" max="274" width="7.75" style="167" bestFit="1" customWidth="1"/>
    <col min="275" max="276" width="9.625" style="167" bestFit="1" customWidth="1"/>
    <col min="277" max="278" width="9.625" style="167" customWidth="1"/>
    <col min="279" max="279" width="9.25" style="167" bestFit="1" customWidth="1"/>
    <col min="280" max="280" width="11" style="167" bestFit="1" customWidth="1"/>
    <col min="281" max="513" width="9" style="167"/>
    <col min="514" max="514" width="4.625" style="167" bestFit="1" customWidth="1"/>
    <col min="515" max="515" width="7.5" style="167" bestFit="1" customWidth="1"/>
    <col min="516" max="516" width="6.25" style="167" customWidth="1"/>
    <col min="517" max="517" width="11" style="167" bestFit="1" customWidth="1"/>
    <col min="518" max="519" width="9.625" style="167" bestFit="1" customWidth="1"/>
    <col min="520" max="520" width="8.25" style="167" bestFit="1" customWidth="1"/>
    <col min="521" max="522" width="9.625" style="167" bestFit="1" customWidth="1"/>
    <col min="523" max="523" width="8.25" style="167" bestFit="1" customWidth="1"/>
    <col min="524" max="525" width="9.625" style="167" bestFit="1" customWidth="1"/>
    <col min="526" max="527" width="8.25" style="167" bestFit="1" customWidth="1"/>
    <col min="528" max="528" width="11" style="167" bestFit="1" customWidth="1"/>
    <col min="529" max="529" width="8" style="167" bestFit="1" customWidth="1"/>
    <col min="530" max="530" width="7.75" style="167" bestFit="1" customWidth="1"/>
    <col min="531" max="532" width="9.625" style="167" bestFit="1" customWidth="1"/>
    <col min="533" max="534" width="9.625" style="167" customWidth="1"/>
    <col min="535" max="535" width="9.25" style="167" bestFit="1" customWidth="1"/>
    <col min="536" max="536" width="11" style="167" bestFit="1" customWidth="1"/>
    <col min="537" max="769" width="9" style="167"/>
    <col min="770" max="770" width="4.625" style="167" bestFit="1" customWidth="1"/>
    <col min="771" max="771" width="7.5" style="167" bestFit="1" customWidth="1"/>
    <col min="772" max="772" width="6.25" style="167" customWidth="1"/>
    <col min="773" max="773" width="11" style="167" bestFit="1" customWidth="1"/>
    <col min="774" max="775" width="9.625" style="167" bestFit="1" customWidth="1"/>
    <col min="776" max="776" width="8.25" style="167" bestFit="1" customWidth="1"/>
    <col min="777" max="778" width="9.625" style="167" bestFit="1" customWidth="1"/>
    <col min="779" max="779" width="8.25" style="167" bestFit="1" customWidth="1"/>
    <col min="780" max="781" width="9.625" style="167" bestFit="1" customWidth="1"/>
    <col min="782" max="783" width="8.25" style="167" bestFit="1" customWidth="1"/>
    <col min="784" max="784" width="11" style="167" bestFit="1" customWidth="1"/>
    <col min="785" max="785" width="8" style="167" bestFit="1" customWidth="1"/>
    <col min="786" max="786" width="7.75" style="167" bestFit="1" customWidth="1"/>
    <col min="787" max="788" width="9.625" style="167" bestFit="1" customWidth="1"/>
    <col min="789" max="790" width="9.625" style="167" customWidth="1"/>
    <col min="791" max="791" width="9.25" style="167" bestFit="1" customWidth="1"/>
    <col min="792" max="792" width="11" style="167" bestFit="1" customWidth="1"/>
    <col min="793" max="1025" width="9" style="167"/>
    <col min="1026" max="1026" width="4.625" style="167" bestFit="1" customWidth="1"/>
    <col min="1027" max="1027" width="7.5" style="167" bestFit="1" customWidth="1"/>
    <col min="1028" max="1028" width="6.25" style="167" customWidth="1"/>
    <col min="1029" max="1029" width="11" style="167" bestFit="1" customWidth="1"/>
    <col min="1030" max="1031" width="9.625" style="167" bestFit="1" customWidth="1"/>
    <col min="1032" max="1032" width="8.25" style="167" bestFit="1" customWidth="1"/>
    <col min="1033" max="1034" width="9.625" style="167" bestFit="1" customWidth="1"/>
    <col min="1035" max="1035" width="8.25" style="167" bestFit="1" customWidth="1"/>
    <col min="1036" max="1037" width="9.625" style="167" bestFit="1" customWidth="1"/>
    <col min="1038" max="1039" width="8.25" style="167" bestFit="1" customWidth="1"/>
    <col min="1040" max="1040" width="11" style="167" bestFit="1" customWidth="1"/>
    <col min="1041" max="1041" width="8" style="167" bestFit="1" customWidth="1"/>
    <col min="1042" max="1042" width="7.75" style="167" bestFit="1" customWidth="1"/>
    <col min="1043" max="1044" width="9.625" style="167" bestFit="1" customWidth="1"/>
    <col min="1045" max="1046" width="9.625" style="167" customWidth="1"/>
    <col min="1047" max="1047" width="9.25" style="167" bestFit="1" customWidth="1"/>
    <col min="1048" max="1048" width="11" style="167" bestFit="1" customWidth="1"/>
    <col min="1049" max="1281" width="9" style="167"/>
    <col min="1282" max="1282" width="4.625" style="167" bestFit="1" customWidth="1"/>
    <col min="1283" max="1283" width="7.5" style="167" bestFit="1" customWidth="1"/>
    <col min="1284" max="1284" width="6.25" style="167" customWidth="1"/>
    <col min="1285" max="1285" width="11" style="167" bestFit="1" customWidth="1"/>
    <col min="1286" max="1287" width="9.625" style="167" bestFit="1" customWidth="1"/>
    <col min="1288" max="1288" width="8.25" style="167" bestFit="1" customWidth="1"/>
    <col min="1289" max="1290" width="9.625" style="167" bestFit="1" customWidth="1"/>
    <col min="1291" max="1291" width="8.25" style="167" bestFit="1" customWidth="1"/>
    <col min="1292" max="1293" width="9.625" style="167" bestFit="1" customWidth="1"/>
    <col min="1294" max="1295" width="8.25" style="167" bestFit="1" customWidth="1"/>
    <col min="1296" max="1296" width="11" style="167" bestFit="1" customWidth="1"/>
    <col min="1297" max="1297" width="8" style="167" bestFit="1" customWidth="1"/>
    <col min="1298" max="1298" width="7.75" style="167" bestFit="1" customWidth="1"/>
    <col min="1299" max="1300" width="9.625" style="167" bestFit="1" customWidth="1"/>
    <col min="1301" max="1302" width="9.625" style="167" customWidth="1"/>
    <col min="1303" max="1303" width="9.25" style="167" bestFit="1" customWidth="1"/>
    <col min="1304" max="1304" width="11" style="167" bestFit="1" customWidth="1"/>
    <col min="1305" max="1537" width="9" style="167"/>
    <col min="1538" max="1538" width="4.625" style="167" bestFit="1" customWidth="1"/>
    <col min="1539" max="1539" width="7.5" style="167" bestFit="1" customWidth="1"/>
    <col min="1540" max="1540" width="6.25" style="167" customWidth="1"/>
    <col min="1541" max="1541" width="11" style="167" bestFit="1" customWidth="1"/>
    <col min="1542" max="1543" width="9.625" style="167" bestFit="1" customWidth="1"/>
    <col min="1544" max="1544" width="8.25" style="167" bestFit="1" customWidth="1"/>
    <col min="1545" max="1546" width="9.625" style="167" bestFit="1" customWidth="1"/>
    <col min="1547" max="1547" width="8.25" style="167" bestFit="1" customWidth="1"/>
    <col min="1548" max="1549" width="9.625" style="167" bestFit="1" customWidth="1"/>
    <col min="1550" max="1551" width="8.25" style="167" bestFit="1" customWidth="1"/>
    <col min="1552" max="1552" width="11" style="167" bestFit="1" customWidth="1"/>
    <col min="1553" max="1553" width="8" style="167" bestFit="1" customWidth="1"/>
    <col min="1554" max="1554" width="7.75" style="167" bestFit="1" customWidth="1"/>
    <col min="1555" max="1556" width="9.625" style="167" bestFit="1" customWidth="1"/>
    <col min="1557" max="1558" width="9.625" style="167" customWidth="1"/>
    <col min="1559" max="1559" width="9.25" style="167" bestFit="1" customWidth="1"/>
    <col min="1560" max="1560" width="11" style="167" bestFit="1" customWidth="1"/>
    <col min="1561" max="1793" width="9" style="167"/>
    <col min="1794" max="1794" width="4.625" style="167" bestFit="1" customWidth="1"/>
    <col min="1795" max="1795" width="7.5" style="167" bestFit="1" customWidth="1"/>
    <col min="1796" max="1796" width="6.25" style="167" customWidth="1"/>
    <col min="1797" max="1797" width="11" style="167" bestFit="1" customWidth="1"/>
    <col min="1798" max="1799" width="9.625" style="167" bestFit="1" customWidth="1"/>
    <col min="1800" max="1800" width="8.25" style="167" bestFit="1" customWidth="1"/>
    <col min="1801" max="1802" width="9.625" style="167" bestFit="1" customWidth="1"/>
    <col min="1803" max="1803" width="8.25" style="167" bestFit="1" customWidth="1"/>
    <col min="1804" max="1805" width="9.625" style="167" bestFit="1" customWidth="1"/>
    <col min="1806" max="1807" width="8.25" style="167" bestFit="1" customWidth="1"/>
    <col min="1808" max="1808" width="11" style="167" bestFit="1" customWidth="1"/>
    <col min="1809" max="1809" width="8" style="167" bestFit="1" customWidth="1"/>
    <col min="1810" max="1810" width="7.75" style="167" bestFit="1" customWidth="1"/>
    <col min="1811" max="1812" width="9.625" style="167" bestFit="1" customWidth="1"/>
    <col min="1813" max="1814" width="9.625" style="167" customWidth="1"/>
    <col min="1815" max="1815" width="9.25" style="167" bestFit="1" customWidth="1"/>
    <col min="1816" max="1816" width="11" style="167" bestFit="1" customWidth="1"/>
    <col min="1817" max="2049" width="9" style="167"/>
    <col min="2050" max="2050" width="4.625" style="167" bestFit="1" customWidth="1"/>
    <col min="2051" max="2051" width="7.5" style="167" bestFit="1" customWidth="1"/>
    <col min="2052" max="2052" width="6.25" style="167" customWidth="1"/>
    <col min="2053" max="2053" width="11" style="167" bestFit="1" customWidth="1"/>
    <col min="2054" max="2055" width="9.625" style="167" bestFit="1" customWidth="1"/>
    <col min="2056" max="2056" width="8.25" style="167" bestFit="1" customWidth="1"/>
    <col min="2057" max="2058" width="9.625" style="167" bestFit="1" customWidth="1"/>
    <col min="2059" max="2059" width="8.25" style="167" bestFit="1" customWidth="1"/>
    <col min="2060" max="2061" width="9.625" style="167" bestFit="1" customWidth="1"/>
    <col min="2062" max="2063" width="8.25" style="167" bestFit="1" customWidth="1"/>
    <col min="2064" max="2064" width="11" style="167" bestFit="1" customWidth="1"/>
    <col min="2065" max="2065" width="8" style="167" bestFit="1" customWidth="1"/>
    <col min="2066" max="2066" width="7.75" style="167" bestFit="1" customWidth="1"/>
    <col min="2067" max="2068" width="9.625" style="167" bestFit="1" customWidth="1"/>
    <col min="2069" max="2070" width="9.625" style="167" customWidth="1"/>
    <col min="2071" max="2071" width="9.25" style="167" bestFit="1" customWidth="1"/>
    <col min="2072" max="2072" width="11" style="167" bestFit="1" customWidth="1"/>
    <col min="2073" max="2305" width="9" style="167"/>
    <col min="2306" max="2306" width="4.625" style="167" bestFit="1" customWidth="1"/>
    <col min="2307" max="2307" width="7.5" style="167" bestFit="1" customWidth="1"/>
    <col min="2308" max="2308" width="6.25" style="167" customWidth="1"/>
    <col min="2309" max="2309" width="11" style="167" bestFit="1" customWidth="1"/>
    <col min="2310" max="2311" width="9.625" style="167" bestFit="1" customWidth="1"/>
    <col min="2312" max="2312" width="8.25" style="167" bestFit="1" customWidth="1"/>
    <col min="2313" max="2314" width="9.625" style="167" bestFit="1" customWidth="1"/>
    <col min="2315" max="2315" width="8.25" style="167" bestFit="1" customWidth="1"/>
    <col min="2316" max="2317" width="9.625" style="167" bestFit="1" customWidth="1"/>
    <col min="2318" max="2319" width="8.25" style="167" bestFit="1" customWidth="1"/>
    <col min="2320" max="2320" width="11" style="167" bestFit="1" customWidth="1"/>
    <col min="2321" max="2321" width="8" style="167" bestFit="1" customWidth="1"/>
    <col min="2322" max="2322" width="7.75" style="167" bestFit="1" customWidth="1"/>
    <col min="2323" max="2324" width="9.625" style="167" bestFit="1" customWidth="1"/>
    <col min="2325" max="2326" width="9.625" style="167" customWidth="1"/>
    <col min="2327" max="2327" width="9.25" style="167" bestFit="1" customWidth="1"/>
    <col min="2328" max="2328" width="11" style="167" bestFit="1" customWidth="1"/>
    <col min="2329" max="2561" width="9" style="167"/>
    <col min="2562" max="2562" width="4.625" style="167" bestFit="1" customWidth="1"/>
    <col min="2563" max="2563" width="7.5" style="167" bestFit="1" customWidth="1"/>
    <col min="2564" max="2564" width="6.25" style="167" customWidth="1"/>
    <col min="2565" max="2565" width="11" style="167" bestFit="1" customWidth="1"/>
    <col min="2566" max="2567" width="9.625" style="167" bestFit="1" customWidth="1"/>
    <col min="2568" max="2568" width="8.25" style="167" bestFit="1" customWidth="1"/>
    <col min="2569" max="2570" width="9.625" style="167" bestFit="1" customWidth="1"/>
    <col min="2571" max="2571" width="8.25" style="167" bestFit="1" customWidth="1"/>
    <col min="2572" max="2573" width="9.625" style="167" bestFit="1" customWidth="1"/>
    <col min="2574" max="2575" width="8.25" style="167" bestFit="1" customWidth="1"/>
    <col min="2576" max="2576" width="11" style="167" bestFit="1" customWidth="1"/>
    <col min="2577" max="2577" width="8" style="167" bestFit="1" customWidth="1"/>
    <col min="2578" max="2578" width="7.75" style="167" bestFit="1" customWidth="1"/>
    <col min="2579" max="2580" width="9.625" style="167" bestFit="1" customWidth="1"/>
    <col min="2581" max="2582" width="9.625" style="167" customWidth="1"/>
    <col min="2583" max="2583" width="9.25" style="167" bestFit="1" customWidth="1"/>
    <col min="2584" max="2584" width="11" style="167" bestFit="1" customWidth="1"/>
    <col min="2585" max="2817" width="9" style="167"/>
    <col min="2818" max="2818" width="4.625" style="167" bestFit="1" customWidth="1"/>
    <col min="2819" max="2819" width="7.5" style="167" bestFit="1" customWidth="1"/>
    <col min="2820" max="2820" width="6.25" style="167" customWidth="1"/>
    <col min="2821" max="2821" width="11" style="167" bestFit="1" customWidth="1"/>
    <col min="2822" max="2823" width="9.625" style="167" bestFit="1" customWidth="1"/>
    <col min="2824" max="2824" width="8.25" style="167" bestFit="1" customWidth="1"/>
    <col min="2825" max="2826" width="9.625" style="167" bestFit="1" customWidth="1"/>
    <col min="2827" max="2827" width="8.25" style="167" bestFit="1" customWidth="1"/>
    <col min="2828" max="2829" width="9.625" style="167" bestFit="1" customWidth="1"/>
    <col min="2830" max="2831" width="8.25" style="167" bestFit="1" customWidth="1"/>
    <col min="2832" max="2832" width="11" style="167" bestFit="1" customWidth="1"/>
    <col min="2833" max="2833" width="8" style="167" bestFit="1" customWidth="1"/>
    <col min="2834" max="2834" width="7.75" style="167" bestFit="1" customWidth="1"/>
    <col min="2835" max="2836" width="9.625" style="167" bestFit="1" customWidth="1"/>
    <col min="2837" max="2838" width="9.625" style="167" customWidth="1"/>
    <col min="2839" max="2839" width="9.25" style="167" bestFit="1" customWidth="1"/>
    <col min="2840" max="2840" width="11" style="167" bestFit="1" customWidth="1"/>
    <col min="2841" max="3073" width="9" style="167"/>
    <col min="3074" max="3074" width="4.625" style="167" bestFit="1" customWidth="1"/>
    <col min="3075" max="3075" width="7.5" style="167" bestFit="1" customWidth="1"/>
    <col min="3076" max="3076" width="6.25" style="167" customWidth="1"/>
    <col min="3077" max="3077" width="11" style="167" bestFit="1" customWidth="1"/>
    <col min="3078" max="3079" width="9.625" style="167" bestFit="1" customWidth="1"/>
    <col min="3080" max="3080" width="8.25" style="167" bestFit="1" customWidth="1"/>
    <col min="3081" max="3082" width="9.625" style="167" bestFit="1" customWidth="1"/>
    <col min="3083" max="3083" width="8.25" style="167" bestFit="1" customWidth="1"/>
    <col min="3084" max="3085" width="9.625" style="167" bestFit="1" customWidth="1"/>
    <col min="3086" max="3087" width="8.25" style="167" bestFit="1" customWidth="1"/>
    <col min="3088" max="3088" width="11" style="167" bestFit="1" customWidth="1"/>
    <col min="3089" max="3089" width="8" style="167" bestFit="1" customWidth="1"/>
    <col min="3090" max="3090" width="7.75" style="167" bestFit="1" customWidth="1"/>
    <col min="3091" max="3092" width="9.625" style="167" bestFit="1" customWidth="1"/>
    <col min="3093" max="3094" width="9.625" style="167" customWidth="1"/>
    <col min="3095" max="3095" width="9.25" style="167" bestFit="1" customWidth="1"/>
    <col min="3096" max="3096" width="11" style="167" bestFit="1" customWidth="1"/>
    <col min="3097" max="3329" width="9" style="167"/>
    <col min="3330" max="3330" width="4.625" style="167" bestFit="1" customWidth="1"/>
    <col min="3331" max="3331" width="7.5" style="167" bestFit="1" customWidth="1"/>
    <col min="3332" max="3332" width="6.25" style="167" customWidth="1"/>
    <col min="3333" max="3333" width="11" style="167" bestFit="1" customWidth="1"/>
    <col min="3334" max="3335" width="9.625" style="167" bestFit="1" customWidth="1"/>
    <col min="3336" max="3336" width="8.25" style="167" bestFit="1" customWidth="1"/>
    <col min="3337" max="3338" width="9.625" style="167" bestFit="1" customWidth="1"/>
    <col min="3339" max="3339" width="8.25" style="167" bestFit="1" customWidth="1"/>
    <col min="3340" max="3341" width="9.625" style="167" bestFit="1" customWidth="1"/>
    <col min="3342" max="3343" width="8.25" style="167" bestFit="1" customWidth="1"/>
    <col min="3344" max="3344" width="11" style="167" bestFit="1" customWidth="1"/>
    <col min="3345" max="3345" width="8" style="167" bestFit="1" customWidth="1"/>
    <col min="3346" max="3346" width="7.75" style="167" bestFit="1" customWidth="1"/>
    <col min="3347" max="3348" width="9.625" style="167" bestFit="1" customWidth="1"/>
    <col min="3349" max="3350" width="9.625" style="167" customWidth="1"/>
    <col min="3351" max="3351" width="9.25" style="167" bestFit="1" customWidth="1"/>
    <col min="3352" max="3352" width="11" style="167" bestFit="1" customWidth="1"/>
    <col min="3353" max="3585" width="9" style="167"/>
    <col min="3586" max="3586" width="4.625" style="167" bestFit="1" customWidth="1"/>
    <col min="3587" max="3587" width="7.5" style="167" bestFit="1" customWidth="1"/>
    <col min="3588" max="3588" width="6.25" style="167" customWidth="1"/>
    <col min="3589" max="3589" width="11" style="167" bestFit="1" customWidth="1"/>
    <col min="3590" max="3591" width="9.625" style="167" bestFit="1" customWidth="1"/>
    <col min="3592" max="3592" width="8.25" style="167" bestFit="1" customWidth="1"/>
    <col min="3593" max="3594" width="9.625" style="167" bestFit="1" customWidth="1"/>
    <col min="3595" max="3595" width="8.25" style="167" bestFit="1" customWidth="1"/>
    <col min="3596" max="3597" width="9.625" style="167" bestFit="1" customWidth="1"/>
    <col min="3598" max="3599" width="8.25" style="167" bestFit="1" customWidth="1"/>
    <col min="3600" max="3600" width="11" style="167" bestFit="1" customWidth="1"/>
    <col min="3601" max="3601" width="8" style="167" bestFit="1" customWidth="1"/>
    <col min="3602" max="3602" width="7.75" style="167" bestFit="1" customWidth="1"/>
    <col min="3603" max="3604" width="9.625" style="167" bestFit="1" customWidth="1"/>
    <col min="3605" max="3606" width="9.625" style="167" customWidth="1"/>
    <col min="3607" max="3607" width="9.25" style="167" bestFit="1" customWidth="1"/>
    <col min="3608" max="3608" width="11" style="167" bestFit="1" customWidth="1"/>
    <col min="3609" max="3841" width="9" style="167"/>
    <col min="3842" max="3842" width="4.625" style="167" bestFit="1" customWidth="1"/>
    <col min="3843" max="3843" width="7.5" style="167" bestFit="1" customWidth="1"/>
    <col min="3844" max="3844" width="6.25" style="167" customWidth="1"/>
    <col min="3845" max="3845" width="11" style="167" bestFit="1" customWidth="1"/>
    <col min="3846" max="3847" width="9.625" style="167" bestFit="1" customWidth="1"/>
    <col min="3848" max="3848" width="8.25" style="167" bestFit="1" customWidth="1"/>
    <col min="3849" max="3850" width="9.625" style="167" bestFit="1" customWidth="1"/>
    <col min="3851" max="3851" width="8.25" style="167" bestFit="1" customWidth="1"/>
    <col min="3852" max="3853" width="9.625" style="167" bestFit="1" customWidth="1"/>
    <col min="3854" max="3855" width="8.25" style="167" bestFit="1" customWidth="1"/>
    <col min="3856" max="3856" width="11" style="167" bestFit="1" customWidth="1"/>
    <col min="3857" max="3857" width="8" style="167" bestFit="1" customWidth="1"/>
    <col min="3858" max="3858" width="7.75" style="167" bestFit="1" customWidth="1"/>
    <col min="3859" max="3860" width="9.625" style="167" bestFit="1" customWidth="1"/>
    <col min="3861" max="3862" width="9.625" style="167" customWidth="1"/>
    <col min="3863" max="3863" width="9.25" style="167" bestFit="1" customWidth="1"/>
    <col min="3864" max="3864" width="11" style="167" bestFit="1" customWidth="1"/>
    <col min="3865" max="4097" width="9" style="167"/>
    <col min="4098" max="4098" width="4.625" style="167" bestFit="1" customWidth="1"/>
    <col min="4099" max="4099" width="7.5" style="167" bestFit="1" customWidth="1"/>
    <col min="4100" max="4100" width="6.25" style="167" customWidth="1"/>
    <col min="4101" max="4101" width="11" style="167" bestFit="1" customWidth="1"/>
    <col min="4102" max="4103" width="9.625" style="167" bestFit="1" customWidth="1"/>
    <col min="4104" max="4104" width="8.25" style="167" bestFit="1" customWidth="1"/>
    <col min="4105" max="4106" width="9.625" style="167" bestFit="1" customWidth="1"/>
    <col min="4107" max="4107" width="8.25" style="167" bestFit="1" customWidth="1"/>
    <col min="4108" max="4109" width="9.625" style="167" bestFit="1" customWidth="1"/>
    <col min="4110" max="4111" width="8.25" style="167" bestFit="1" customWidth="1"/>
    <col min="4112" max="4112" width="11" style="167" bestFit="1" customWidth="1"/>
    <col min="4113" max="4113" width="8" style="167" bestFit="1" customWidth="1"/>
    <col min="4114" max="4114" width="7.75" style="167" bestFit="1" customWidth="1"/>
    <col min="4115" max="4116" width="9.625" style="167" bestFit="1" customWidth="1"/>
    <col min="4117" max="4118" width="9.625" style="167" customWidth="1"/>
    <col min="4119" max="4119" width="9.25" style="167" bestFit="1" customWidth="1"/>
    <col min="4120" max="4120" width="11" style="167" bestFit="1" customWidth="1"/>
    <col min="4121" max="4353" width="9" style="167"/>
    <col min="4354" max="4354" width="4.625" style="167" bestFit="1" customWidth="1"/>
    <col min="4355" max="4355" width="7.5" style="167" bestFit="1" customWidth="1"/>
    <col min="4356" max="4356" width="6.25" style="167" customWidth="1"/>
    <col min="4357" max="4357" width="11" style="167" bestFit="1" customWidth="1"/>
    <col min="4358" max="4359" width="9.625" style="167" bestFit="1" customWidth="1"/>
    <col min="4360" max="4360" width="8.25" style="167" bestFit="1" customWidth="1"/>
    <col min="4361" max="4362" width="9.625" style="167" bestFit="1" customWidth="1"/>
    <col min="4363" max="4363" width="8.25" style="167" bestFit="1" customWidth="1"/>
    <col min="4364" max="4365" width="9.625" style="167" bestFit="1" customWidth="1"/>
    <col min="4366" max="4367" width="8.25" style="167" bestFit="1" customWidth="1"/>
    <col min="4368" max="4368" width="11" style="167" bestFit="1" customWidth="1"/>
    <col min="4369" max="4369" width="8" style="167" bestFit="1" customWidth="1"/>
    <col min="4370" max="4370" width="7.75" style="167" bestFit="1" customWidth="1"/>
    <col min="4371" max="4372" width="9.625" style="167" bestFit="1" customWidth="1"/>
    <col min="4373" max="4374" width="9.625" style="167" customWidth="1"/>
    <col min="4375" max="4375" width="9.25" style="167" bestFit="1" customWidth="1"/>
    <col min="4376" max="4376" width="11" style="167" bestFit="1" customWidth="1"/>
    <col min="4377" max="4609" width="9" style="167"/>
    <col min="4610" max="4610" width="4.625" style="167" bestFit="1" customWidth="1"/>
    <col min="4611" max="4611" width="7.5" style="167" bestFit="1" customWidth="1"/>
    <col min="4612" max="4612" width="6.25" style="167" customWidth="1"/>
    <col min="4613" max="4613" width="11" style="167" bestFit="1" customWidth="1"/>
    <col min="4614" max="4615" width="9.625" style="167" bestFit="1" customWidth="1"/>
    <col min="4616" max="4616" width="8.25" style="167" bestFit="1" customWidth="1"/>
    <col min="4617" max="4618" width="9.625" style="167" bestFit="1" customWidth="1"/>
    <col min="4619" max="4619" width="8.25" style="167" bestFit="1" customWidth="1"/>
    <col min="4620" max="4621" width="9.625" style="167" bestFit="1" customWidth="1"/>
    <col min="4622" max="4623" width="8.25" style="167" bestFit="1" customWidth="1"/>
    <col min="4624" max="4624" width="11" style="167" bestFit="1" customWidth="1"/>
    <col min="4625" max="4625" width="8" style="167" bestFit="1" customWidth="1"/>
    <col min="4626" max="4626" width="7.75" style="167" bestFit="1" customWidth="1"/>
    <col min="4627" max="4628" width="9.625" style="167" bestFit="1" customWidth="1"/>
    <col min="4629" max="4630" width="9.625" style="167" customWidth="1"/>
    <col min="4631" max="4631" width="9.25" style="167" bestFit="1" customWidth="1"/>
    <col min="4632" max="4632" width="11" style="167" bestFit="1" customWidth="1"/>
    <col min="4633" max="4865" width="9" style="167"/>
    <col min="4866" max="4866" width="4.625" style="167" bestFit="1" customWidth="1"/>
    <col min="4867" max="4867" width="7.5" style="167" bestFit="1" customWidth="1"/>
    <col min="4868" max="4868" width="6.25" style="167" customWidth="1"/>
    <col min="4869" max="4869" width="11" style="167" bestFit="1" customWidth="1"/>
    <col min="4870" max="4871" width="9.625" style="167" bestFit="1" customWidth="1"/>
    <col min="4872" max="4872" width="8.25" style="167" bestFit="1" customWidth="1"/>
    <col min="4873" max="4874" width="9.625" style="167" bestFit="1" customWidth="1"/>
    <col min="4875" max="4875" width="8.25" style="167" bestFit="1" customWidth="1"/>
    <col min="4876" max="4877" width="9.625" style="167" bestFit="1" customWidth="1"/>
    <col min="4878" max="4879" width="8.25" style="167" bestFit="1" customWidth="1"/>
    <col min="4880" max="4880" width="11" style="167" bestFit="1" customWidth="1"/>
    <col min="4881" max="4881" width="8" style="167" bestFit="1" customWidth="1"/>
    <col min="4882" max="4882" width="7.75" style="167" bestFit="1" customWidth="1"/>
    <col min="4883" max="4884" width="9.625" style="167" bestFit="1" customWidth="1"/>
    <col min="4885" max="4886" width="9.625" style="167" customWidth="1"/>
    <col min="4887" max="4887" width="9.25" style="167" bestFit="1" customWidth="1"/>
    <col min="4888" max="4888" width="11" style="167" bestFit="1" customWidth="1"/>
    <col min="4889" max="5121" width="9" style="167"/>
    <col min="5122" max="5122" width="4.625" style="167" bestFit="1" customWidth="1"/>
    <col min="5123" max="5123" width="7.5" style="167" bestFit="1" customWidth="1"/>
    <col min="5124" max="5124" width="6.25" style="167" customWidth="1"/>
    <col min="5125" max="5125" width="11" style="167" bestFit="1" customWidth="1"/>
    <col min="5126" max="5127" width="9.625" style="167" bestFit="1" customWidth="1"/>
    <col min="5128" max="5128" width="8.25" style="167" bestFit="1" customWidth="1"/>
    <col min="5129" max="5130" width="9.625" style="167" bestFit="1" customWidth="1"/>
    <col min="5131" max="5131" width="8.25" style="167" bestFit="1" customWidth="1"/>
    <col min="5132" max="5133" width="9.625" style="167" bestFit="1" customWidth="1"/>
    <col min="5134" max="5135" width="8.25" style="167" bestFit="1" customWidth="1"/>
    <col min="5136" max="5136" width="11" style="167" bestFit="1" customWidth="1"/>
    <col min="5137" max="5137" width="8" style="167" bestFit="1" customWidth="1"/>
    <col min="5138" max="5138" width="7.75" style="167" bestFit="1" customWidth="1"/>
    <col min="5139" max="5140" width="9.625" style="167" bestFit="1" customWidth="1"/>
    <col min="5141" max="5142" width="9.625" style="167" customWidth="1"/>
    <col min="5143" max="5143" width="9.25" style="167" bestFit="1" customWidth="1"/>
    <col min="5144" max="5144" width="11" style="167" bestFit="1" customWidth="1"/>
    <col min="5145" max="5377" width="9" style="167"/>
    <col min="5378" max="5378" width="4.625" style="167" bestFit="1" customWidth="1"/>
    <col min="5379" max="5379" width="7.5" style="167" bestFit="1" customWidth="1"/>
    <col min="5380" max="5380" width="6.25" style="167" customWidth="1"/>
    <col min="5381" max="5381" width="11" style="167" bestFit="1" customWidth="1"/>
    <col min="5382" max="5383" width="9.625" style="167" bestFit="1" customWidth="1"/>
    <col min="5384" max="5384" width="8.25" style="167" bestFit="1" customWidth="1"/>
    <col min="5385" max="5386" width="9.625" style="167" bestFit="1" customWidth="1"/>
    <col min="5387" max="5387" width="8.25" style="167" bestFit="1" customWidth="1"/>
    <col min="5388" max="5389" width="9.625" style="167" bestFit="1" customWidth="1"/>
    <col min="5390" max="5391" width="8.25" style="167" bestFit="1" customWidth="1"/>
    <col min="5392" max="5392" width="11" style="167" bestFit="1" customWidth="1"/>
    <col min="5393" max="5393" width="8" style="167" bestFit="1" customWidth="1"/>
    <col min="5394" max="5394" width="7.75" style="167" bestFit="1" customWidth="1"/>
    <col min="5395" max="5396" width="9.625" style="167" bestFit="1" customWidth="1"/>
    <col min="5397" max="5398" width="9.625" style="167" customWidth="1"/>
    <col min="5399" max="5399" width="9.25" style="167" bestFit="1" customWidth="1"/>
    <col min="5400" max="5400" width="11" style="167" bestFit="1" customWidth="1"/>
    <col min="5401" max="5633" width="9" style="167"/>
    <col min="5634" max="5634" width="4.625" style="167" bestFit="1" customWidth="1"/>
    <col min="5635" max="5635" width="7.5" style="167" bestFit="1" customWidth="1"/>
    <col min="5636" max="5636" width="6.25" style="167" customWidth="1"/>
    <col min="5637" max="5637" width="11" style="167" bestFit="1" customWidth="1"/>
    <col min="5638" max="5639" width="9.625" style="167" bestFit="1" customWidth="1"/>
    <col min="5640" max="5640" width="8.25" style="167" bestFit="1" customWidth="1"/>
    <col min="5641" max="5642" width="9.625" style="167" bestFit="1" customWidth="1"/>
    <col min="5643" max="5643" width="8.25" style="167" bestFit="1" customWidth="1"/>
    <col min="5644" max="5645" width="9.625" style="167" bestFit="1" customWidth="1"/>
    <col min="5646" max="5647" width="8.25" style="167" bestFit="1" customWidth="1"/>
    <col min="5648" max="5648" width="11" style="167" bestFit="1" customWidth="1"/>
    <col min="5649" max="5649" width="8" style="167" bestFit="1" customWidth="1"/>
    <col min="5650" max="5650" width="7.75" style="167" bestFit="1" customWidth="1"/>
    <col min="5651" max="5652" width="9.625" style="167" bestFit="1" customWidth="1"/>
    <col min="5653" max="5654" width="9.625" style="167" customWidth="1"/>
    <col min="5655" max="5655" width="9.25" style="167" bestFit="1" customWidth="1"/>
    <col min="5656" max="5656" width="11" style="167" bestFit="1" customWidth="1"/>
    <col min="5657" max="5889" width="9" style="167"/>
    <col min="5890" max="5890" width="4.625" style="167" bestFit="1" customWidth="1"/>
    <col min="5891" max="5891" width="7.5" style="167" bestFit="1" customWidth="1"/>
    <col min="5892" max="5892" width="6.25" style="167" customWidth="1"/>
    <col min="5893" max="5893" width="11" style="167" bestFit="1" customWidth="1"/>
    <col min="5894" max="5895" width="9.625" style="167" bestFit="1" customWidth="1"/>
    <col min="5896" max="5896" width="8.25" style="167" bestFit="1" customWidth="1"/>
    <col min="5897" max="5898" width="9.625" style="167" bestFit="1" customWidth="1"/>
    <col min="5899" max="5899" width="8.25" style="167" bestFit="1" customWidth="1"/>
    <col min="5900" max="5901" width="9.625" style="167" bestFit="1" customWidth="1"/>
    <col min="5902" max="5903" width="8.25" style="167" bestFit="1" customWidth="1"/>
    <col min="5904" max="5904" width="11" style="167" bestFit="1" customWidth="1"/>
    <col min="5905" max="5905" width="8" style="167" bestFit="1" customWidth="1"/>
    <col min="5906" max="5906" width="7.75" style="167" bestFit="1" customWidth="1"/>
    <col min="5907" max="5908" width="9.625" style="167" bestFit="1" customWidth="1"/>
    <col min="5909" max="5910" width="9.625" style="167" customWidth="1"/>
    <col min="5911" max="5911" width="9.25" style="167" bestFit="1" customWidth="1"/>
    <col min="5912" max="5912" width="11" style="167" bestFit="1" customWidth="1"/>
    <col min="5913" max="6145" width="9" style="167"/>
    <col min="6146" max="6146" width="4.625" style="167" bestFit="1" customWidth="1"/>
    <col min="6147" max="6147" width="7.5" style="167" bestFit="1" customWidth="1"/>
    <col min="6148" max="6148" width="6.25" style="167" customWidth="1"/>
    <col min="6149" max="6149" width="11" style="167" bestFit="1" customWidth="1"/>
    <col min="6150" max="6151" width="9.625" style="167" bestFit="1" customWidth="1"/>
    <col min="6152" max="6152" width="8.25" style="167" bestFit="1" customWidth="1"/>
    <col min="6153" max="6154" width="9.625" style="167" bestFit="1" customWidth="1"/>
    <col min="6155" max="6155" width="8.25" style="167" bestFit="1" customWidth="1"/>
    <col min="6156" max="6157" width="9.625" style="167" bestFit="1" customWidth="1"/>
    <col min="6158" max="6159" width="8.25" style="167" bestFit="1" customWidth="1"/>
    <col min="6160" max="6160" width="11" style="167" bestFit="1" customWidth="1"/>
    <col min="6161" max="6161" width="8" style="167" bestFit="1" customWidth="1"/>
    <col min="6162" max="6162" width="7.75" style="167" bestFit="1" customWidth="1"/>
    <col min="6163" max="6164" width="9.625" style="167" bestFit="1" customWidth="1"/>
    <col min="6165" max="6166" width="9.625" style="167" customWidth="1"/>
    <col min="6167" max="6167" width="9.25" style="167" bestFit="1" customWidth="1"/>
    <col min="6168" max="6168" width="11" style="167" bestFit="1" customWidth="1"/>
    <col min="6169" max="6401" width="9" style="167"/>
    <col min="6402" max="6402" width="4.625" style="167" bestFit="1" customWidth="1"/>
    <col min="6403" max="6403" width="7.5" style="167" bestFit="1" customWidth="1"/>
    <col min="6404" max="6404" width="6.25" style="167" customWidth="1"/>
    <col min="6405" max="6405" width="11" style="167" bestFit="1" customWidth="1"/>
    <col min="6406" max="6407" width="9.625" style="167" bestFit="1" customWidth="1"/>
    <col min="6408" max="6408" width="8.25" style="167" bestFit="1" customWidth="1"/>
    <col min="6409" max="6410" width="9.625" style="167" bestFit="1" customWidth="1"/>
    <col min="6411" max="6411" width="8.25" style="167" bestFit="1" customWidth="1"/>
    <col min="6412" max="6413" width="9.625" style="167" bestFit="1" customWidth="1"/>
    <col min="6414" max="6415" width="8.25" style="167" bestFit="1" customWidth="1"/>
    <col min="6416" max="6416" width="11" style="167" bestFit="1" customWidth="1"/>
    <col min="6417" max="6417" width="8" style="167" bestFit="1" customWidth="1"/>
    <col min="6418" max="6418" width="7.75" style="167" bestFit="1" customWidth="1"/>
    <col min="6419" max="6420" width="9.625" style="167" bestFit="1" customWidth="1"/>
    <col min="6421" max="6422" width="9.625" style="167" customWidth="1"/>
    <col min="6423" max="6423" width="9.25" style="167" bestFit="1" customWidth="1"/>
    <col min="6424" max="6424" width="11" style="167" bestFit="1" customWidth="1"/>
    <col min="6425" max="6657" width="9" style="167"/>
    <col min="6658" max="6658" width="4.625" style="167" bestFit="1" customWidth="1"/>
    <col min="6659" max="6659" width="7.5" style="167" bestFit="1" customWidth="1"/>
    <col min="6660" max="6660" width="6.25" style="167" customWidth="1"/>
    <col min="6661" max="6661" width="11" style="167" bestFit="1" customWidth="1"/>
    <col min="6662" max="6663" width="9.625" style="167" bestFit="1" customWidth="1"/>
    <col min="6664" max="6664" width="8.25" style="167" bestFit="1" customWidth="1"/>
    <col min="6665" max="6666" width="9.625" style="167" bestFit="1" customWidth="1"/>
    <col min="6667" max="6667" width="8.25" style="167" bestFit="1" customWidth="1"/>
    <col min="6668" max="6669" width="9.625" style="167" bestFit="1" customWidth="1"/>
    <col min="6670" max="6671" width="8.25" style="167" bestFit="1" customWidth="1"/>
    <col min="6672" max="6672" width="11" style="167" bestFit="1" customWidth="1"/>
    <col min="6673" max="6673" width="8" style="167" bestFit="1" customWidth="1"/>
    <col min="6674" max="6674" width="7.75" style="167" bestFit="1" customWidth="1"/>
    <col min="6675" max="6676" width="9.625" style="167" bestFit="1" customWidth="1"/>
    <col min="6677" max="6678" width="9.625" style="167" customWidth="1"/>
    <col min="6679" max="6679" width="9.25" style="167" bestFit="1" customWidth="1"/>
    <col min="6680" max="6680" width="11" style="167" bestFit="1" customWidth="1"/>
    <col min="6681" max="6913" width="9" style="167"/>
    <col min="6914" max="6914" width="4.625" style="167" bestFit="1" customWidth="1"/>
    <col min="6915" max="6915" width="7.5" style="167" bestFit="1" customWidth="1"/>
    <col min="6916" max="6916" width="6.25" style="167" customWidth="1"/>
    <col min="6917" max="6917" width="11" style="167" bestFit="1" customWidth="1"/>
    <col min="6918" max="6919" width="9.625" style="167" bestFit="1" customWidth="1"/>
    <col min="6920" max="6920" width="8.25" style="167" bestFit="1" customWidth="1"/>
    <col min="6921" max="6922" width="9.625" style="167" bestFit="1" customWidth="1"/>
    <col min="6923" max="6923" width="8.25" style="167" bestFit="1" customWidth="1"/>
    <col min="6924" max="6925" width="9.625" style="167" bestFit="1" customWidth="1"/>
    <col min="6926" max="6927" width="8.25" style="167" bestFit="1" customWidth="1"/>
    <col min="6928" max="6928" width="11" style="167" bestFit="1" customWidth="1"/>
    <col min="6929" max="6929" width="8" style="167" bestFit="1" customWidth="1"/>
    <col min="6930" max="6930" width="7.75" style="167" bestFit="1" customWidth="1"/>
    <col min="6931" max="6932" width="9.625" style="167" bestFit="1" customWidth="1"/>
    <col min="6933" max="6934" width="9.625" style="167" customWidth="1"/>
    <col min="6935" max="6935" width="9.25" style="167" bestFit="1" customWidth="1"/>
    <col min="6936" max="6936" width="11" style="167" bestFit="1" customWidth="1"/>
    <col min="6937" max="7169" width="9" style="167"/>
    <col min="7170" max="7170" width="4.625" style="167" bestFit="1" customWidth="1"/>
    <col min="7171" max="7171" width="7.5" style="167" bestFit="1" customWidth="1"/>
    <col min="7172" max="7172" width="6.25" style="167" customWidth="1"/>
    <col min="7173" max="7173" width="11" style="167" bestFit="1" customWidth="1"/>
    <col min="7174" max="7175" width="9.625" style="167" bestFit="1" customWidth="1"/>
    <col min="7176" max="7176" width="8.25" style="167" bestFit="1" customWidth="1"/>
    <col min="7177" max="7178" width="9.625" style="167" bestFit="1" customWidth="1"/>
    <col min="7179" max="7179" width="8.25" style="167" bestFit="1" customWidth="1"/>
    <col min="7180" max="7181" width="9.625" style="167" bestFit="1" customWidth="1"/>
    <col min="7182" max="7183" width="8.25" style="167" bestFit="1" customWidth="1"/>
    <col min="7184" max="7184" width="11" style="167" bestFit="1" customWidth="1"/>
    <col min="7185" max="7185" width="8" style="167" bestFit="1" customWidth="1"/>
    <col min="7186" max="7186" width="7.75" style="167" bestFit="1" customWidth="1"/>
    <col min="7187" max="7188" width="9.625" style="167" bestFit="1" customWidth="1"/>
    <col min="7189" max="7190" width="9.625" style="167" customWidth="1"/>
    <col min="7191" max="7191" width="9.25" style="167" bestFit="1" customWidth="1"/>
    <col min="7192" max="7192" width="11" style="167" bestFit="1" customWidth="1"/>
    <col min="7193" max="7425" width="9" style="167"/>
    <col min="7426" max="7426" width="4.625" style="167" bestFit="1" customWidth="1"/>
    <col min="7427" max="7427" width="7.5" style="167" bestFit="1" customWidth="1"/>
    <col min="7428" max="7428" width="6.25" style="167" customWidth="1"/>
    <col min="7429" max="7429" width="11" style="167" bestFit="1" customWidth="1"/>
    <col min="7430" max="7431" width="9.625" style="167" bestFit="1" customWidth="1"/>
    <col min="7432" max="7432" width="8.25" style="167" bestFit="1" customWidth="1"/>
    <col min="7433" max="7434" width="9.625" style="167" bestFit="1" customWidth="1"/>
    <col min="7435" max="7435" width="8.25" style="167" bestFit="1" customWidth="1"/>
    <col min="7436" max="7437" width="9.625" style="167" bestFit="1" customWidth="1"/>
    <col min="7438" max="7439" width="8.25" style="167" bestFit="1" customWidth="1"/>
    <col min="7440" max="7440" width="11" style="167" bestFit="1" customWidth="1"/>
    <col min="7441" max="7441" width="8" style="167" bestFit="1" customWidth="1"/>
    <col min="7442" max="7442" width="7.75" style="167" bestFit="1" customWidth="1"/>
    <col min="7443" max="7444" width="9.625" style="167" bestFit="1" customWidth="1"/>
    <col min="7445" max="7446" width="9.625" style="167" customWidth="1"/>
    <col min="7447" max="7447" width="9.25" style="167" bestFit="1" customWidth="1"/>
    <col min="7448" max="7448" width="11" style="167" bestFit="1" customWidth="1"/>
    <col min="7449" max="7681" width="9" style="167"/>
    <col min="7682" max="7682" width="4.625" style="167" bestFit="1" customWidth="1"/>
    <col min="7683" max="7683" width="7.5" style="167" bestFit="1" customWidth="1"/>
    <col min="7684" max="7684" width="6.25" style="167" customWidth="1"/>
    <col min="7685" max="7685" width="11" style="167" bestFit="1" customWidth="1"/>
    <col min="7686" max="7687" width="9.625" style="167" bestFit="1" customWidth="1"/>
    <col min="7688" max="7688" width="8.25" style="167" bestFit="1" customWidth="1"/>
    <col min="7689" max="7690" width="9.625" style="167" bestFit="1" customWidth="1"/>
    <col min="7691" max="7691" width="8.25" style="167" bestFit="1" customWidth="1"/>
    <col min="7692" max="7693" width="9.625" style="167" bestFit="1" customWidth="1"/>
    <col min="7694" max="7695" width="8.25" style="167" bestFit="1" customWidth="1"/>
    <col min="7696" max="7696" width="11" style="167" bestFit="1" customWidth="1"/>
    <col min="7697" max="7697" width="8" style="167" bestFit="1" customWidth="1"/>
    <col min="7698" max="7698" width="7.75" style="167" bestFit="1" customWidth="1"/>
    <col min="7699" max="7700" width="9.625" style="167" bestFit="1" customWidth="1"/>
    <col min="7701" max="7702" width="9.625" style="167" customWidth="1"/>
    <col min="7703" max="7703" width="9.25" style="167" bestFit="1" customWidth="1"/>
    <col min="7704" max="7704" width="11" style="167" bestFit="1" customWidth="1"/>
    <col min="7705" max="7937" width="9" style="167"/>
    <col min="7938" max="7938" width="4.625" style="167" bestFit="1" customWidth="1"/>
    <col min="7939" max="7939" width="7.5" style="167" bestFit="1" customWidth="1"/>
    <col min="7940" max="7940" width="6.25" style="167" customWidth="1"/>
    <col min="7941" max="7941" width="11" style="167" bestFit="1" customWidth="1"/>
    <col min="7942" max="7943" width="9.625" style="167" bestFit="1" customWidth="1"/>
    <col min="7944" max="7944" width="8.25" style="167" bestFit="1" customWidth="1"/>
    <col min="7945" max="7946" width="9.625" style="167" bestFit="1" customWidth="1"/>
    <col min="7947" max="7947" width="8.25" style="167" bestFit="1" customWidth="1"/>
    <col min="7948" max="7949" width="9.625" style="167" bestFit="1" customWidth="1"/>
    <col min="7950" max="7951" width="8.25" style="167" bestFit="1" customWidth="1"/>
    <col min="7952" max="7952" width="11" style="167" bestFit="1" customWidth="1"/>
    <col min="7953" max="7953" width="8" style="167" bestFit="1" customWidth="1"/>
    <col min="7954" max="7954" width="7.75" style="167" bestFit="1" customWidth="1"/>
    <col min="7955" max="7956" width="9.625" style="167" bestFit="1" customWidth="1"/>
    <col min="7957" max="7958" width="9.625" style="167" customWidth="1"/>
    <col min="7959" max="7959" width="9.25" style="167" bestFit="1" customWidth="1"/>
    <col min="7960" max="7960" width="11" style="167" bestFit="1" customWidth="1"/>
    <col min="7961" max="8193" width="9" style="167"/>
    <col min="8194" max="8194" width="4.625" style="167" bestFit="1" customWidth="1"/>
    <col min="8195" max="8195" width="7.5" style="167" bestFit="1" customWidth="1"/>
    <col min="8196" max="8196" width="6.25" style="167" customWidth="1"/>
    <col min="8197" max="8197" width="11" style="167" bestFit="1" customWidth="1"/>
    <col min="8198" max="8199" width="9.625" style="167" bestFit="1" customWidth="1"/>
    <col min="8200" max="8200" width="8.25" style="167" bestFit="1" customWidth="1"/>
    <col min="8201" max="8202" width="9.625" style="167" bestFit="1" customWidth="1"/>
    <col min="8203" max="8203" width="8.25" style="167" bestFit="1" customWidth="1"/>
    <col min="8204" max="8205" width="9.625" style="167" bestFit="1" customWidth="1"/>
    <col min="8206" max="8207" width="8.25" style="167" bestFit="1" customWidth="1"/>
    <col min="8208" max="8208" width="11" style="167" bestFit="1" customWidth="1"/>
    <col min="8209" max="8209" width="8" style="167" bestFit="1" customWidth="1"/>
    <col min="8210" max="8210" width="7.75" style="167" bestFit="1" customWidth="1"/>
    <col min="8211" max="8212" width="9.625" style="167" bestFit="1" customWidth="1"/>
    <col min="8213" max="8214" width="9.625" style="167" customWidth="1"/>
    <col min="8215" max="8215" width="9.25" style="167" bestFit="1" customWidth="1"/>
    <col min="8216" max="8216" width="11" style="167" bestFit="1" customWidth="1"/>
    <col min="8217" max="8449" width="9" style="167"/>
    <col min="8450" max="8450" width="4.625" style="167" bestFit="1" customWidth="1"/>
    <col min="8451" max="8451" width="7.5" style="167" bestFit="1" customWidth="1"/>
    <col min="8452" max="8452" width="6.25" style="167" customWidth="1"/>
    <col min="8453" max="8453" width="11" style="167" bestFit="1" customWidth="1"/>
    <col min="8454" max="8455" width="9.625" style="167" bestFit="1" customWidth="1"/>
    <col min="8456" max="8456" width="8.25" style="167" bestFit="1" customWidth="1"/>
    <col min="8457" max="8458" width="9.625" style="167" bestFit="1" customWidth="1"/>
    <col min="8459" max="8459" width="8.25" style="167" bestFit="1" customWidth="1"/>
    <col min="8460" max="8461" width="9.625" style="167" bestFit="1" customWidth="1"/>
    <col min="8462" max="8463" width="8.25" style="167" bestFit="1" customWidth="1"/>
    <col min="8464" max="8464" width="11" style="167" bestFit="1" customWidth="1"/>
    <col min="8465" max="8465" width="8" style="167" bestFit="1" customWidth="1"/>
    <col min="8466" max="8466" width="7.75" style="167" bestFit="1" customWidth="1"/>
    <col min="8467" max="8468" width="9.625" style="167" bestFit="1" customWidth="1"/>
    <col min="8469" max="8470" width="9.625" style="167" customWidth="1"/>
    <col min="8471" max="8471" width="9.25" style="167" bestFit="1" customWidth="1"/>
    <col min="8472" max="8472" width="11" style="167" bestFit="1" customWidth="1"/>
    <col min="8473" max="8705" width="9" style="167"/>
    <col min="8706" max="8706" width="4.625" style="167" bestFit="1" customWidth="1"/>
    <col min="8707" max="8707" width="7.5" style="167" bestFit="1" customWidth="1"/>
    <col min="8708" max="8708" width="6.25" style="167" customWidth="1"/>
    <col min="8709" max="8709" width="11" style="167" bestFit="1" customWidth="1"/>
    <col min="8710" max="8711" width="9.625" style="167" bestFit="1" customWidth="1"/>
    <col min="8712" max="8712" width="8.25" style="167" bestFit="1" customWidth="1"/>
    <col min="8713" max="8714" width="9.625" style="167" bestFit="1" customWidth="1"/>
    <col min="8715" max="8715" width="8.25" style="167" bestFit="1" customWidth="1"/>
    <col min="8716" max="8717" width="9.625" style="167" bestFit="1" customWidth="1"/>
    <col min="8718" max="8719" width="8.25" style="167" bestFit="1" customWidth="1"/>
    <col min="8720" max="8720" width="11" style="167" bestFit="1" customWidth="1"/>
    <col min="8721" max="8721" width="8" style="167" bestFit="1" customWidth="1"/>
    <col min="8722" max="8722" width="7.75" style="167" bestFit="1" customWidth="1"/>
    <col min="8723" max="8724" width="9.625" style="167" bestFit="1" customWidth="1"/>
    <col min="8725" max="8726" width="9.625" style="167" customWidth="1"/>
    <col min="8727" max="8727" width="9.25" style="167" bestFit="1" customWidth="1"/>
    <col min="8728" max="8728" width="11" style="167" bestFit="1" customWidth="1"/>
    <col min="8729" max="8961" width="9" style="167"/>
    <col min="8962" max="8962" width="4.625" style="167" bestFit="1" customWidth="1"/>
    <col min="8963" max="8963" width="7.5" style="167" bestFit="1" customWidth="1"/>
    <col min="8964" max="8964" width="6.25" style="167" customWidth="1"/>
    <col min="8965" max="8965" width="11" style="167" bestFit="1" customWidth="1"/>
    <col min="8966" max="8967" width="9.625" style="167" bestFit="1" customWidth="1"/>
    <col min="8968" max="8968" width="8.25" style="167" bestFit="1" customWidth="1"/>
    <col min="8969" max="8970" width="9.625" style="167" bestFit="1" customWidth="1"/>
    <col min="8971" max="8971" width="8.25" style="167" bestFit="1" customWidth="1"/>
    <col min="8972" max="8973" width="9.625" style="167" bestFit="1" customWidth="1"/>
    <col min="8974" max="8975" width="8.25" style="167" bestFit="1" customWidth="1"/>
    <col min="8976" max="8976" width="11" style="167" bestFit="1" customWidth="1"/>
    <col min="8977" max="8977" width="8" style="167" bestFit="1" customWidth="1"/>
    <col min="8978" max="8978" width="7.75" style="167" bestFit="1" customWidth="1"/>
    <col min="8979" max="8980" width="9.625" style="167" bestFit="1" customWidth="1"/>
    <col min="8981" max="8982" width="9.625" style="167" customWidth="1"/>
    <col min="8983" max="8983" width="9.25" style="167" bestFit="1" customWidth="1"/>
    <col min="8984" max="8984" width="11" style="167" bestFit="1" customWidth="1"/>
    <col min="8985" max="9217" width="9" style="167"/>
    <col min="9218" max="9218" width="4.625" style="167" bestFit="1" customWidth="1"/>
    <col min="9219" max="9219" width="7.5" style="167" bestFit="1" customWidth="1"/>
    <col min="9220" max="9220" width="6.25" style="167" customWidth="1"/>
    <col min="9221" max="9221" width="11" style="167" bestFit="1" customWidth="1"/>
    <col min="9222" max="9223" width="9.625" style="167" bestFit="1" customWidth="1"/>
    <col min="9224" max="9224" width="8.25" style="167" bestFit="1" customWidth="1"/>
    <col min="9225" max="9226" width="9.625" style="167" bestFit="1" customWidth="1"/>
    <col min="9227" max="9227" width="8.25" style="167" bestFit="1" customWidth="1"/>
    <col min="9228" max="9229" width="9.625" style="167" bestFit="1" customWidth="1"/>
    <col min="9230" max="9231" width="8.25" style="167" bestFit="1" customWidth="1"/>
    <col min="9232" max="9232" width="11" style="167" bestFit="1" customWidth="1"/>
    <col min="9233" max="9233" width="8" style="167" bestFit="1" customWidth="1"/>
    <col min="9234" max="9234" width="7.75" style="167" bestFit="1" customWidth="1"/>
    <col min="9235" max="9236" width="9.625" style="167" bestFit="1" customWidth="1"/>
    <col min="9237" max="9238" width="9.625" style="167" customWidth="1"/>
    <col min="9239" max="9239" width="9.25" style="167" bestFit="1" customWidth="1"/>
    <col min="9240" max="9240" width="11" style="167" bestFit="1" customWidth="1"/>
    <col min="9241" max="9473" width="9" style="167"/>
    <col min="9474" max="9474" width="4.625" style="167" bestFit="1" customWidth="1"/>
    <col min="9475" max="9475" width="7.5" style="167" bestFit="1" customWidth="1"/>
    <col min="9476" max="9476" width="6.25" style="167" customWidth="1"/>
    <col min="9477" max="9477" width="11" style="167" bestFit="1" customWidth="1"/>
    <col min="9478" max="9479" width="9.625" style="167" bestFit="1" customWidth="1"/>
    <col min="9480" max="9480" width="8.25" style="167" bestFit="1" customWidth="1"/>
    <col min="9481" max="9482" width="9.625" style="167" bestFit="1" customWidth="1"/>
    <col min="9483" max="9483" width="8.25" style="167" bestFit="1" customWidth="1"/>
    <col min="9484" max="9485" width="9.625" style="167" bestFit="1" customWidth="1"/>
    <col min="9486" max="9487" width="8.25" style="167" bestFit="1" customWidth="1"/>
    <col min="9488" max="9488" width="11" style="167" bestFit="1" customWidth="1"/>
    <col min="9489" max="9489" width="8" style="167" bestFit="1" customWidth="1"/>
    <col min="9490" max="9490" width="7.75" style="167" bestFit="1" customWidth="1"/>
    <col min="9491" max="9492" width="9.625" style="167" bestFit="1" customWidth="1"/>
    <col min="9493" max="9494" width="9.625" style="167" customWidth="1"/>
    <col min="9495" max="9495" width="9.25" style="167" bestFit="1" customWidth="1"/>
    <col min="9496" max="9496" width="11" style="167" bestFit="1" customWidth="1"/>
    <col min="9497" max="9729" width="9" style="167"/>
    <col min="9730" max="9730" width="4.625" style="167" bestFit="1" customWidth="1"/>
    <col min="9731" max="9731" width="7.5" style="167" bestFit="1" customWidth="1"/>
    <col min="9732" max="9732" width="6.25" style="167" customWidth="1"/>
    <col min="9733" max="9733" width="11" style="167" bestFit="1" customWidth="1"/>
    <col min="9734" max="9735" width="9.625" style="167" bestFit="1" customWidth="1"/>
    <col min="9736" max="9736" width="8.25" style="167" bestFit="1" customWidth="1"/>
    <col min="9737" max="9738" width="9.625" style="167" bestFit="1" customWidth="1"/>
    <col min="9739" max="9739" width="8.25" style="167" bestFit="1" customWidth="1"/>
    <col min="9740" max="9741" width="9.625" style="167" bestFit="1" customWidth="1"/>
    <col min="9742" max="9743" width="8.25" style="167" bestFit="1" customWidth="1"/>
    <col min="9744" max="9744" width="11" style="167" bestFit="1" customWidth="1"/>
    <col min="9745" max="9745" width="8" style="167" bestFit="1" customWidth="1"/>
    <col min="9746" max="9746" width="7.75" style="167" bestFit="1" customWidth="1"/>
    <col min="9747" max="9748" width="9.625" style="167" bestFit="1" customWidth="1"/>
    <col min="9749" max="9750" width="9.625" style="167" customWidth="1"/>
    <col min="9751" max="9751" width="9.25" style="167" bestFit="1" customWidth="1"/>
    <col min="9752" max="9752" width="11" style="167" bestFit="1" customWidth="1"/>
    <col min="9753" max="9985" width="9" style="167"/>
    <col min="9986" max="9986" width="4.625" style="167" bestFit="1" customWidth="1"/>
    <col min="9987" max="9987" width="7.5" style="167" bestFit="1" customWidth="1"/>
    <col min="9988" max="9988" width="6.25" style="167" customWidth="1"/>
    <col min="9989" max="9989" width="11" style="167" bestFit="1" customWidth="1"/>
    <col min="9990" max="9991" width="9.625" style="167" bestFit="1" customWidth="1"/>
    <col min="9992" max="9992" width="8.25" style="167" bestFit="1" customWidth="1"/>
    <col min="9993" max="9994" width="9.625" style="167" bestFit="1" customWidth="1"/>
    <col min="9995" max="9995" width="8.25" style="167" bestFit="1" customWidth="1"/>
    <col min="9996" max="9997" width="9.625" style="167" bestFit="1" customWidth="1"/>
    <col min="9998" max="9999" width="8.25" style="167" bestFit="1" customWidth="1"/>
    <col min="10000" max="10000" width="11" style="167" bestFit="1" customWidth="1"/>
    <col min="10001" max="10001" width="8" style="167" bestFit="1" customWidth="1"/>
    <col min="10002" max="10002" width="7.75" style="167" bestFit="1" customWidth="1"/>
    <col min="10003" max="10004" width="9.625" style="167" bestFit="1" customWidth="1"/>
    <col min="10005" max="10006" width="9.625" style="167" customWidth="1"/>
    <col min="10007" max="10007" width="9.25" style="167" bestFit="1" customWidth="1"/>
    <col min="10008" max="10008" width="11" style="167" bestFit="1" customWidth="1"/>
    <col min="10009" max="10241" width="9" style="167"/>
    <col min="10242" max="10242" width="4.625" style="167" bestFit="1" customWidth="1"/>
    <col min="10243" max="10243" width="7.5" style="167" bestFit="1" customWidth="1"/>
    <col min="10244" max="10244" width="6.25" style="167" customWidth="1"/>
    <col min="10245" max="10245" width="11" style="167" bestFit="1" customWidth="1"/>
    <col min="10246" max="10247" width="9.625" style="167" bestFit="1" customWidth="1"/>
    <col min="10248" max="10248" width="8.25" style="167" bestFit="1" customWidth="1"/>
    <col min="10249" max="10250" width="9.625" style="167" bestFit="1" customWidth="1"/>
    <col min="10251" max="10251" width="8.25" style="167" bestFit="1" customWidth="1"/>
    <col min="10252" max="10253" width="9.625" style="167" bestFit="1" customWidth="1"/>
    <col min="10254" max="10255" width="8.25" style="167" bestFit="1" customWidth="1"/>
    <col min="10256" max="10256" width="11" style="167" bestFit="1" customWidth="1"/>
    <col min="10257" max="10257" width="8" style="167" bestFit="1" customWidth="1"/>
    <col min="10258" max="10258" width="7.75" style="167" bestFit="1" customWidth="1"/>
    <col min="10259" max="10260" width="9.625" style="167" bestFit="1" customWidth="1"/>
    <col min="10261" max="10262" width="9.625" style="167" customWidth="1"/>
    <col min="10263" max="10263" width="9.25" style="167" bestFit="1" customWidth="1"/>
    <col min="10264" max="10264" width="11" style="167" bestFit="1" customWidth="1"/>
    <col min="10265" max="10497" width="9" style="167"/>
    <col min="10498" max="10498" width="4.625" style="167" bestFit="1" customWidth="1"/>
    <col min="10499" max="10499" width="7.5" style="167" bestFit="1" customWidth="1"/>
    <col min="10500" max="10500" width="6.25" style="167" customWidth="1"/>
    <col min="10501" max="10501" width="11" style="167" bestFit="1" customWidth="1"/>
    <col min="10502" max="10503" width="9.625" style="167" bestFit="1" customWidth="1"/>
    <col min="10504" max="10504" width="8.25" style="167" bestFit="1" customWidth="1"/>
    <col min="10505" max="10506" width="9.625" style="167" bestFit="1" customWidth="1"/>
    <col min="10507" max="10507" width="8.25" style="167" bestFit="1" customWidth="1"/>
    <col min="10508" max="10509" width="9.625" style="167" bestFit="1" customWidth="1"/>
    <col min="10510" max="10511" width="8.25" style="167" bestFit="1" customWidth="1"/>
    <col min="10512" max="10512" width="11" style="167" bestFit="1" customWidth="1"/>
    <col min="10513" max="10513" width="8" style="167" bestFit="1" customWidth="1"/>
    <col min="10514" max="10514" width="7.75" style="167" bestFit="1" customWidth="1"/>
    <col min="10515" max="10516" width="9.625" style="167" bestFit="1" customWidth="1"/>
    <col min="10517" max="10518" width="9.625" style="167" customWidth="1"/>
    <col min="10519" max="10519" width="9.25" style="167" bestFit="1" customWidth="1"/>
    <col min="10520" max="10520" width="11" style="167" bestFit="1" customWidth="1"/>
    <col min="10521" max="10753" width="9" style="167"/>
    <col min="10754" max="10754" width="4.625" style="167" bestFit="1" customWidth="1"/>
    <col min="10755" max="10755" width="7.5" style="167" bestFit="1" customWidth="1"/>
    <col min="10756" max="10756" width="6.25" style="167" customWidth="1"/>
    <col min="10757" max="10757" width="11" style="167" bestFit="1" customWidth="1"/>
    <col min="10758" max="10759" width="9.625" style="167" bestFit="1" customWidth="1"/>
    <col min="10760" max="10760" width="8.25" style="167" bestFit="1" customWidth="1"/>
    <col min="10761" max="10762" width="9.625" style="167" bestFit="1" customWidth="1"/>
    <col min="10763" max="10763" width="8.25" style="167" bestFit="1" customWidth="1"/>
    <col min="10764" max="10765" width="9.625" style="167" bestFit="1" customWidth="1"/>
    <col min="10766" max="10767" width="8.25" style="167" bestFit="1" customWidth="1"/>
    <col min="10768" max="10768" width="11" style="167" bestFit="1" customWidth="1"/>
    <col min="10769" max="10769" width="8" style="167" bestFit="1" customWidth="1"/>
    <col min="10770" max="10770" width="7.75" style="167" bestFit="1" customWidth="1"/>
    <col min="10771" max="10772" width="9.625" style="167" bestFit="1" customWidth="1"/>
    <col min="10773" max="10774" width="9.625" style="167" customWidth="1"/>
    <col min="10775" max="10775" width="9.25" style="167" bestFit="1" customWidth="1"/>
    <col min="10776" max="10776" width="11" style="167" bestFit="1" customWidth="1"/>
    <col min="10777" max="11009" width="9" style="167"/>
    <col min="11010" max="11010" width="4.625" style="167" bestFit="1" customWidth="1"/>
    <col min="11011" max="11011" width="7.5" style="167" bestFit="1" customWidth="1"/>
    <col min="11012" max="11012" width="6.25" style="167" customWidth="1"/>
    <col min="11013" max="11013" width="11" style="167" bestFit="1" customWidth="1"/>
    <col min="11014" max="11015" width="9.625" style="167" bestFit="1" customWidth="1"/>
    <col min="11016" max="11016" width="8.25" style="167" bestFit="1" customWidth="1"/>
    <col min="11017" max="11018" width="9.625" style="167" bestFit="1" customWidth="1"/>
    <col min="11019" max="11019" width="8.25" style="167" bestFit="1" customWidth="1"/>
    <col min="11020" max="11021" width="9.625" style="167" bestFit="1" customWidth="1"/>
    <col min="11022" max="11023" width="8.25" style="167" bestFit="1" customWidth="1"/>
    <col min="11024" max="11024" width="11" style="167" bestFit="1" customWidth="1"/>
    <col min="11025" max="11025" width="8" style="167" bestFit="1" customWidth="1"/>
    <col min="11026" max="11026" width="7.75" style="167" bestFit="1" customWidth="1"/>
    <col min="11027" max="11028" width="9.625" style="167" bestFit="1" customWidth="1"/>
    <col min="11029" max="11030" width="9.625" style="167" customWidth="1"/>
    <col min="11031" max="11031" width="9.25" style="167" bestFit="1" customWidth="1"/>
    <col min="11032" max="11032" width="11" style="167" bestFit="1" customWidth="1"/>
    <col min="11033" max="11265" width="9" style="167"/>
    <col min="11266" max="11266" width="4.625" style="167" bestFit="1" customWidth="1"/>
    <col min="11267" max="11267" width="7.5" style="167" bestFit="1" customWidth="1"/>
    <col min="11268" max="11268" width="6.25" style="167" customWidth="1"/>
    <col min="11269" max="11269" width="11" style="167" bestFit="1" customWidth="1"/>
    <col min="11270" max="11271" width="9.625" style="167" bestFit="1" customWidth="1"/>
    <col min="11272" max="11272" width="8.25" style="167" bestFit="1" customWidth="1"/>
    <col min="11273" max="11274" width="9.625" style="167" bestFit="1" customWidth="1"/>
    <col min="11275" max="11275" width="8.25" style="167" bestFit="1" customWidth="1"/>
    <col min="11276" max="11277" width="9.625" style="167" bestFit="1" customWidth="1"/>
    <col min="11278" max="11279" width="8.25" style="167" bestFit="1" customWidth="1"/>
    <col min="11280" max="11280" width="11" style="167" bestFit="1" customWidth="1"/>
    <col min="11281" max="11281" width="8" style="167" bestFit="1" customWidth="1"/>
    <col min="11282" max="11282" width="7.75" style="167" bestFit="1" customWidth="1"/>
    <col min="11283" max="11284" width="9.625" style="167" bestFit="1" customWidth="1"/>
    <col min="11285" max="11286" width="9.625" style="167" customWidth="1"/>
    <col min="11287" max="11287" width="9.25" style="167" bestFit="1" customWidth="1"/>
    <col min="11288" max="11288" width="11" style="167" bestFit="1" customWidth="1"/>
    <col min="11289" max="11521" width="9" style="167"/>
    <col min="11522" max="11522" width="4.625" style="167" bestFit="1" customWidth="1"/>
    <col min="11523" max="11523" width="7.5" style="167" bestFit="1" customWidth="1"/>
    <col min="11524" max="11524" width="6.25" style="167" customWidth="1"/>
    <col min="11525" max="11525" width="11" style="167" bestFit="1" customWidth="1"/>
    <col min="11526" max="11527" width="9.625" style="167" bestFit="1" customWidth="1"/>
    <col min="11528" max="11528" width="8.25" style="167" bestFit="1" customWidth="1"/>
    <col min="11529" max="11530" width="9.625" style="167" bestFit="1" customWidth="1"/>
    <col min="11531" max="11531" width="8.25" style="167" bestFit="1" customWidth="1"/>
    <col min="11532" max="11533" width="9.625" style="167" bestFit="1" customWidth="1"/>
    <col min="11534" max="11535" width="8.25" style="167" bestFit="1" customWidth="1"/>
    <col min="11536" max="11536" width="11" style="167" bestFit="1" customWidth="1"/>
    <col min="11537" max="11537" width="8" style="167" bestFit="1" customWidth="1"/>
    <col min="11538" max="11538" width="7.75" style="167" bestFit="1" customWidth="1"/>
    <col min="11539" max="11540" width="9.625" style="167" bestFit="1" customWidth="1"/>
    <col min="11541" max="11542" width="9.625" style="167" customWidth="1"/>
    <col min="11543" max="11543" width="9.25" style="167" bestFit="1" customWidth="1"/>
    <col min="11544" max="11544" width="11" style="167" bestFit="1" customWidth="1"/>
    <col min="11545" max="11777" width="9" style="167"/>
    <col min="11778" max="11778" width="4.625" style="167" bestFit="1" customWidth="1"/>
    <col min="11779" max="11779" width="7.5" style="167" bestFit="1" customWidth="1"/>
    <col min="11780" max="11780" width="6.25" style="167" customWidth="1"/>
    <col min="11781" max="11781" width="11" style="167" bestFit="1" customWidth="1"/>
    <col min="11782" max="11783" width="9.625" style="167" bestFit="1" customWidth="1"/>
    <col min="11784" max="11784" width="8.25" style="167" bestFit="1" customWidth="1"/>
    <col min="11785" max="11786" width="9.625" style="167" bestFit="1" customWidth="1"/>
    <col min="11787" max="11787" width="8.25" style="167" bestFit="1" customWidth="1"/>
    <col min="11788" max="11789" width="9.625" style="167" bestFit="1" customWidth="1"/>
    <col min="11790" max="11791" width="8.25" style="167" bestFit="1" customWidth="1"/>
    <col min="11792" max="11792" width="11" style="167" bestFit="1" customWidth="1"/>
    <col min="11793" max="11793" width="8" style="167" bestFit="1" customWidth="1"/>
    <col min="11794" max="11794" width="7.75" style="167" bestFit="1" customWidth="1"/>
    <col min="11795" max="11796" width="9.625" style="167" bestFit="1" customWidth="1"/>
    <col min="11797" max="11798" width="9.625" style="167" customWidth="1"/>
    <col min="11799" max="11799" width="9.25" style="167" bestFit="1" customWidth="1"/>
    <col min="11800" max="11800" width="11" style="167" bestFit="1" customWidth="1"/>
    <col min="11801" max="12033" width="9" style="167"/>
    <col min="12034" max="12034" width="4.625" style="167" bestFit="1" customWidth="1"/>
    <col min="12035" max="12035" width="7.5" style="167" bestFit="1" customWidth="1"/>
    <col min="12036" max="12036" width="6.25" style="167" customWidth="1"/>
    <col min="12037" max="12037" width="11" style="167" bestFit="1" customWidth="1"/>
    <col min="12038" max="12039" width="9.625" style="167" bestFit="1" customWidth="1"/>
    <col min="12040" max="12040" width="8.25" style="167" bestFit="1" customWidth="1"/>
    <col min="12041" max="12042" width="9.625" style="167" bestFit="1" customWidth="1"/>
    <col min="12043" max="12043" width="8.25" style="167" bestFit="1" customWidth="1"/>
    <col min="12044" max="12045" width="9.625" style="167" bestFit="1" customWidth="1"/>
    <col min="12046" max="12047" width="8.25" style="167" bestFit="1" customWidth="1"/>
    <col min="12048" max="12048" width="11" style="167" bestFit="1" customWidth="1"/>
    <col min="12049" max="12049" width="8" style="167" bestFit="1" customWidth="1"/>
    <col min="12050" max="12050" width="7.75" style="167" bestFit="1" customWidth="1"/>
    <col min="12051" max="12052" width="9.625" style="167" bestFit="1" customWidth="1"/>
    <col min="12053" max="12054" width="9.625" style="167" customWidth="1"/>
    <col min="12055" max="12055" width="9.25" style="167" bestFit="1" customWidth="1"/>
    <col min="12056" max="12056" width="11" style="167" bestFit="1" customWidth="1"/>
    <col min="12057" max="12289" width="9" style="167"/>
    <col min="12290" max="12290" width="4.625" style="167" bestFit="1" customWidth="1"/>
    <col min="12291" max="12291" width="7.5" style="167" bestFit="1" customWidth="1"/>
    <col min="12292" max="12292" width="6.25" style="167" customWidth="1"/>
    <col min="12293" max="12293" width="11" style="167" bestFit="1" customWidth="1"/>
    <col min="12294" max="12295" width="9.625" style="167" bestFit="1" customWidth="1"/>
    <col min="12296" max="12296" width="8.25" style="167" bestFit="1" customWidth="1"/>
    <col min="12297" max="12298" width="9.625" style="167" bestFit="1" customWidth="1"/>
    <col min="12299" max="12299" width="8.25" style="167" bestFit="1" customWidth="1"/>
    <col min="12300" max="12301" width="9.625" style="167" bestFit="1" customWidth="1"/>
    <col min="12302" max="12303" width="8.25" style="167" bestFit="1" customWidth="1"/>
    <col min="12304" max="12304" width="11" style="167" bestFit="1" customWidth="1"/>
    <col min="12305" max="12305" width="8" style="167" bestFit="1" customWidth="1"/>
    <col min="12306" max="12306" width="7.75" style="167" bestFit="1" customWidth="1"/>
    <col min="12307" max="12308" width="9.625" style="167" bestFit="1" customWidth="1"/>
    <col min="12309" max="12310" width="9.625" style="167" customWidth="1"/>
    <col min="12311" max="12311" width="9.25" style="167" bestFit="1" customWidth="1"/>
    <col min="12312" max="12312" width="11" style="167" bestFit="1" customWidth="1"/>
    <col min="12313" max="12545" width="9" style="167"/>
    <col min="12546" max="12546" width="4.625" style="167" bestFit="1" customWidth="1"/>
    <col min="12547" max="12547" width="7.5" style="167" bestFit="1" customWidth="1"/>
    <col min="12548" max="12548" width="6.25" style="167" customWidth="1"/>
    <col min="12549" max="12549" width="11" style="167" bestFit="1" customWidth="1"/>
    <col min="12550" max="12551" width="9.625" style="167" bestFit="1" customWidth="1"/>
    <col min="12552" max="12552" width="8.25" style="167" bestFit="1" customWidth="1"/>
    <col min="12553" max="12554" width="9.625" style="167" bestFit="1" customWidth="1"/>
    <col min="12555" max="12555" width="8.25" style="167" bestFit="1" customWidth="1"/>
    <col min="12556" max="12557" width="9.625" style="167" bestFit="1" customWidth="1"/>
    <col min="12558" max="12559" width="8.25" style="167" bestFit="1" customWidth="1"/>
    <col min="12560" max="12560" width="11" style="167" bestFit="1" customWidth="1"/>
    <col min="12561" max="12561" width="8" style="167" bestFit="1" customWidth="1"/>
    <col min="12562" max="12562" width="7.75" style="167" bestFit="1" customWidth="1"/>
    <col min="12563" max="12564" width="9.625" style="167" bestFit="1" customWidth="1"/>
    <col min="12565" max="12566" width="9.625" style="167" customWidth="1"/>
    <col min="12567" max="12567" width="9.25" style="167" bestFit="1" customWidth="1"/>
    <col min="12568" max="12568" width="11" style="167" bestFit="1" customWidth="1"/>
    <col min="12569" max="12801" width="9" style="167"/>
    <col min="12802" max="12802" width="4.625" style="167" bestFit="1" customWidth="1"/>
    <col min="12803" max="12803" width="7.5" style="167" bestFit="1" customWidth="1"/>
    <col min="12804" max="12804" width="6.25" style="167" customWidth="1"/>
    <col min="12805" max="12805" width="11" style="167" bestFit="1" customWidth="1"/>
    <col min="12806" max="12807" width="9.625" style="167" bestFit="1" customWidth="1"/>
    <col min="12808" max="12808" width="8.25" style="167" bestFit="1" customWidth="1"/>
    <col min="12809" max="12810" width="9.625" style="167" bestFit="1" customWidth="1"/>
    <col min="12811" max="12811" width="8.25" style="167" bestFit="1" customWidth="1"/>
    <col min="12812" max="12813" width="9.625" style="167" bestFit="1" customWidth="1"/>
    <col min="12814" max="12815" width="8.25" style="167" bestFit="1" customWidth="1"/>
    <col min="12816" max="12816" width="11" style="167" bestFit="1" customWidth="1"/>
    <col min="12817" max="12817" width="8" style="167" bestFit="1" customWidth="1"/>
    <col min="12818" max="12818" width="7.75" style="167" bestFit="1" customWidth="1"/>
    <col min="12819" max="12820" width="9.625" style="167" bestFit="1" customWidth="1"/>
    <col min="12821" max="12822" width="9.625" style="167" customWidth="1"/>
    <col min="12823" max="12823" width="9.25" style="167" bestFit="1" customWidth="1"/>
    <col min="12824" max="12824" width="11" style="167" bestFit="1" customWidth="1"/>
    <col min="12825" max="13057" width="9" style="167"/>
    <col min="13058" max="13058" width="4.625" style="167" bestFit="1" customWidth="1"/>
    <col min="13059" max="13059" width="7.5" style="167" bestFit="1" customWidth="1"/>
    <col min="13060" max="13060" width="6.25" style="167" customWidth="1"/>
    <col min="13061" max="13061" width="11" style="167" bestFit="1" customWidth="1"/>
    <col min="13062" max="13063" width="9.625" style="167" bestFit="1" customWidth="1"/>
    <col min="13064" max="13064" width="8.25" style="167" bestFit="1" customWidth="1"/>
    <col min="13065" max="13066" width="9.625" style="167" bestFit="1" customWidth="1"/>
    <col min="13067" max="13067" width="8.25" style="167" bestFit="1" customWidth="1"/>
    <col min="13068" max="13069" width="9.625" style="167" bestFit="1" customWidth="1"/>
    <col min="13070" max="13071" width="8.25" style="167" bestFit="1" customWidth="1"/>
    <col min="13072" max="13072" width="11" style="167" bestFit="1" customWidth="1"/>
    <col min="13073" max="13073" width="8" style="167" bestFit="1" customWidth="1"/>
    <col min="13074" max="13074" width="7.75" style="167" bestFit="1" customWidth="1"/>
    <col min="13075" max="13076" width="9.625" style="167" bestFit="1" customWidth="1"/>
    <col min="13077" max="13078" width="9.625" style="167" customWidth="1"/>
    <col min="13079" max="13079" width="9.25" style="167" bestFit="1" customWidth="1"/>
    <col min="13080" max="13080" width="11" style="167" bestFit="1" customWidth="1"/>
    <col min="13081" max="13313" width="9" style="167"/>
    <col min="13314" max="13314" width="4.625" style="167" bestFit="1" customWidth="1"/>
    <col min="13315" max="13315" width="7.5" style="167" bestFit="1" customWidth="1"/>
    <col min="13316" max="13316" width="6.25" style="167" customWidth="1"/>
    <col min="13317" max="13317" width="11" style="167" bestFit="1" customWidth="1"/>
    <col min="13318" max="13319" width="9.625" style="167" bestFit="1" customWidth="1"/>
    <col min="13320" max="13320" width="8.25" style="167" bestFit="1" customWidth="1"/>
    <col min="13321" max="13322" width="9.625" style="167" bestFit="1" customWidth="1"/>
    <col min="13323" max="13323" width="8.25" style="167" bestFit="1" customWidth="1"/>
    <col min="13324" max="13325" width="9.625" style="167" bestFit="1" customWidth="1"/>
    <col min="13326" max="13327" width="8.25" style="167" bestFit="1" customWidth="1"/>
    <col min="13328" max="13328" width="11" style="167" bestFit="1" customWidth="1"/>
    <col min="13329" max="13329" width="8" style="167" bestFit="1" customWidth="1"/>
    <col min="13330" max="13330" width="7.75" style="167" bestFit="1" customWidth="1"/>
    <col min="13331" max="13332" width="9.625" style="167" bestFit="1" customWidth="1"/>
    <col min="13333" max="13334" width="9.625" style="167" customWidth="1"/>
    <col min="13335" max="13335" width="9.25" style="167" bestFit="1" customWidth="1"/>
    <col min="13336" max="13336" width="11" style="167" bestFit="1" customWidth="1"/>
    <col min="13337" max="13569" width="9" style="167"/>
    <col min="13570" max="13570" width="4.625" style="167" bestFit="1" customWidth="1"/>
    <col min="13571" max="13571" width="7.5" style="167" bestFit="1" customWidth="1"/>
    <col min="13572" max="13572" width="6.25" style="167" customWidth="1"/>
    <col min="13573" max="13573" width="11" style="167" bestFit="1" customWidth="1"/>
    <col min="13574" max="13575" width="9.625" style="167" bestFit="1" customWidth="1"/>
    <col min="13576" max="13576" width="8.25" style="167" bestFit="1" customWidth="1"/>
    <col min="13577" max="13578" width="9.625" style="167" bestFit="1" customWidth="1"/>
    <col min="13579" max="13579" width="8.25" style="167" bestFit="1" customWidth="1"/>
    <col min="13580" max="13581" width="9.625" style="167" bestFit="1" customWidth="1"/>
    <col min="13582" max="13583" width="8.25" style="167" bestFit="1" customWidth="1"/>
    <col min="13584" max="13584" width="11" style="167" bestFit="1" customWidth="1"/>
    <col min="13585" max="13585" width="8" style="167" bestFit="1" customWidth="1"/>
    <col min="13586" max="13586" width="7.75" style="167" bestFit="1" customWidth="1"/>
    <col min="13587" max="13588" width="9.625" style="167" bestFit="1" customWidth="1"/>
    <col min="13589" max="13590" width="9.625" style="167" customWidth="1"/>
    <col min="13591" max="13591" width="9.25" style="167" bestFit="1" customWidth="1"/>
    <col min="13592" max="13592" width="11" style="167" bestFit="1" customWidth="1"/>
    <col min="13593" max="13825" width="9" style="167"/>
    <col min="13826" max="13826" width="4.625" style="167" bestFit="1" customWidth="1"/>
    <col min="13827" max="13827" width="7.5" style="167" bestFit="1" customWidth="1"/>
    <col min="13828" max="13828" width="6.25" style="167" customWidth="1"/>
    <col min="13829" max="13829" width="11" style="167" bestFit="1" customWidth="1"/>
    <col min="13830" max="13831" width="9.625" style="167" bestFit="1" customWidth="1"/>
    <col min="13832" max="13832" width="8.25" style="167" bestFit="1" customWidth="1"/>
    <col min="13833" max="13834" width="9.625" style="167" bestFit="1" customWidth="1"/>
    <col min="13835" max="13835" width="8.25" style="167" bestFit="1" customWidth="1"/>
    <col min="13836" max="13837" width="9.625" style="167" bestFit="1" customWidth="1"/>
    <col min="13838" max="13839" width="8.25" style="167" bestFit="1" customWidth="1"/>
    <col min="13840" max="13840" width="11" style="167" bestFit="1" customWidth="1"/>
    <col min="13841" max="13841" width="8" style="167" bestFit="1" customWidth="1"/>
    <col min="13842" max="13842" width="7.75" style="167" bestFit="1" customWidth="1"/>
    <col min="13843" max="13844" width="9.625" style="167" bestFit="1" customWidth="1"/>
    <col min="13845" max="13846" width="9.625" style="167" customWidth="1"/>
    <col min="13847" max="13847" width="9.25" style="167" bestFit="1" customWidth="1"/>
    <col min="13848" max="13848" width="11" style="167" bestFit="1" customWidth="1"/>
    <col min="13849" max="14081" width="9" style="167"/>
    <col min="14082" max="14082" width="4.625" style="167" bestFit="1" customWidth="1"/>
    <col min="14083" max="14083" width="7.5" style="167" bestFit="1" customWidth="1"/>
    <col min="14084" max="14084" width="6.25" style="167" customWidth="1"/>
    <col min="14085" max="14085" width="11" style="167" bestFit="1" customWidth="1"/>
    <col min="14086" max="14087" width="9.625" style="167" bestFit="1" customWidth="1"/>
    <col min="14088" max="14088" width="8.25" style="167" bestFit="1" customWidth="1"/>
    <col min="14089" max="14090" width="9.625" style="167" bestFit="1" customWidth="1"/>
    <col min="14091" max="14091" width="8.25" style="167" bestFit="1" customWidth="1"/>
    <col min="14092" max="14093" width="9.625" style="167" bestFit="1" customWidth="1"/>
    <col min="14094" max="14095" width="8.25" style="167" bestFit="1" customWidth="1"/>
    <col min="14096" max="14096" width="11" style="167" bestFit="1" customWidth="1"/>
    <col min="14097" max="14097" width="8" style="167" bestFit="1" customWidth="1"/>
    <col min="14098" max="14098" width="7.75" style="167" bestFit="1" customWidth="1"/>
    <col min="14099" max="14100" width="9.625" style="167" bestFit="1" customWidth="1"/>
    <col min="14101" max="14102" width="9.625" style="167" customWidth="1"/>
    <col min="14103" max="14103" width="9.25" style="167" bestFit="1" customWidth="1"/>
    <col min="14104" max="14104" width="11" style="167" bestFit="1" customWidth="1"/>
    <col min="14105" max="14337" width="9" style="167"/>
    <col min="14338" max="14338" width="4.625" style="167" bestFit="1" customWidth="1"/>
    <col min="14339" max="14339" width="7.5" style="167" bestFit="1" customWidth="1"/>
    <col min="14340" max="14340" width="6.25" style="167" customWidth="1"/>
    <col min="14341" max="14341" width="11" style="167" bestFit="1" customWidth="1"/>
    <col min="14342" max="14343" width="9.625" style="167" bestFit="1" customWidth="1"/>
    <col min="14344" max="14344" width="8.25" style="167" bestFit="1" customWidth="1"/>
    <col min="14345" max="14346" width="9.625" style="167" bestFit="1" customWidth="1"/>
    <col min="14347" max="14347" width="8.25" style="167" bestFit="1" customWidth="1"/>
    <col min="14348" max="14349" width="9.625" style="167" bestFit="1" customWidth="1"/>
    <col min="14350" max="14351" width="8.25" style="167" bestFit="1" customWidth="1"/>
    <col min="14352" max="14352" width="11" style="167" bestFit="1" customWidth="1"/>
    <col min="14353" max="14353" width="8" style="167" bestFit="1" customWidth="1"/>
    <col min="14354" max="14354" width="7.75" style="167" bestFit="1" customWidth="1"/>
    <col min="14355" max="14356" width="9.625" style="167" bestFit="1" customWidth="1"/>
    <col min="14357" max="14358" width="9.625" style="167" customWidth="1"/>
    <col min="14359" max="14359" width="9.25" style="167" bestFit="1" customWidth="1"/>
    <col min="14360" max="14360" width="11" style="167" bestFit="1" customWidth="1"/>
    <col min="14361" max="14593" width="9" style="167"/>
    <col min="14594" max="14594" width="4.625" style="167" bestFit="1" customWidth="1"/>
    <col min="14595" max="14595" width="7.5" style="167" bestFit="1" customWidth="1"/>
    <col min="14596" max="14596" width="6.25" style="167" customWidth="1"/>
    <col min="14597" max="14597" width="11" style="167" bestFit="1" customWidth="1"/>
    <col min="14598" max="14599" width="9.625" style="167" bestFit="1" customWidth="1"/>
    <col min="14600" max="14600" width="8.25" style="167" bestFit="1" customWidth="1"/>
    <col min="14601" max="14602" width="9.625" style="167" bestFit="1" customWidth="1"/>
    <col min="14603" max="14603" width="8.25" style="167" bestFit="1" customWidth="1"/>
    <col min="14604" max="14605" width="9.625" style="167" bestFit="1" customWidth="1"/>
    <col min="14606" max="14607" width="8.25" style="167" bestFit="1" customWidth="1"/>
    <col min="14608" max="14608" width="11" style="167" bestFit="1" customWidth="1"/>
    <col min="14609" max="14609" width="8" style="167" bestFit="1" customWidth="1"/>
    <col min="14610" max="14610" width="7.75" style="167" bestFit="1" customWidth="1"/>
    <col min="14611" max="14612" width="9.625" style="167" bestFit="1" customWidth="1"/>
    <col min="14613" max="14614" width="9.625" style="167" customWidth="1"/>
    <col min="14615" max="14615" width="9.25" style="167" bestFit="1" customWidth="1"/>
    <col min="14616" max="14616" width="11" style="167" bestFit="1" customWidth="1"/>
    <col min="14617" max="14849" width="9" style="167"/>
    <col min="14850" max="14850" width="4.625" style="167" bestFit="1" customWidth="1"/>
    <col min="14851" max="14851" width="7.5" style="167" bestFit="1" customWidth="1"/>
    <col min="14852" max="14852" width="6.25" style="167" customWidth="1"/>
    <col min="14853" max="14853" width="11" style="167" bestFit="1" customWidth="1"/>
    <col min="14854" max="14855" width="9.625" style="167" bestFit="1" customWidth="1"/>
    <col min="14856" max="14856" width="8.25" style="167" bestFit="1" customWidth="1"/>
    <col min="14857" max="14858" width="9.625" style="167" bestFit="1" customWidth="1"/>
    <col min="14859" max="14859" width="8.25" style="167" bestFit="1" customWidth="1"/>
    <col min="14860" max="14861" width="9.625" style="167" bestFit="1" customWidth="1"/>
    <col min="14862" max="14863" width="8.25" style="167" bestFit="1" customWidth="1"/>
    <col min="14864" max="14864" width="11" style="167" bestFit="1" customWidth="1"/>
    <col min="14865" max="14865" width="8" style="167" bestFit="1" customWidth="1"/>
    <col min="14866" max="14866" width="7.75" style="167" bestFit="1" customWidth="1"/>
    <col min="14867" max="14868" width="9.625" style="167" bestFit="1" customWidth="1"/>
    <col min="14869" max="14870" width="9.625" style="167" customWidth="1"/>
    <col min="14871" max="14871" width="9.25" style="167" bestFit="1" customWidth="1"/>
    <col min="14872" max="14872" width="11" style="167" bestFit="1" customWidth="1"/>
    <col min="14873" max="15105" width="9" style="167"/>
    <col min="15106" max="15106" width="4.625" style="167" bestFit="1" customWidth="1"/>
    <col min="15107" max="15107" width="7.5" style="167" bestFit="1" customWidth="1"/>
    <col min="15108" max="15108" width="6.25" style="167" customWidth="1"/>
    <col min="15109" max="15109" width="11" style="167" bestFit="1" customWidth="1"/>
    <col min="15110" max="15111" width="9.625" style="167" bestFit="1" customWidth="1"/>
    <col min="15112" max="15112" width="8.25" style="167" bestFit="1" customWidth="1"/>
    <col min="15113" max="15114" width="9.625" style="167" bestFit="1" customWidth="1"/>
    <col min="15115" max="15115" width="8.25" style="167" bestFit="1" customWidth="1"/>
    <col min="15116" max="15117" width="9.625" style="167" bestFit="1" customWidth="1"/>
    <col min="15118" max="15119" width="8.25" style="167" bestFit="1" customWidth="1"/>
    <col min="15120" max="15120" width="11" style="167" bestFit="1" customWidth="1"/>
    <col min="15121" max="15121" width="8" style="167" bestFit="1" customWidth="1"/>
    <col min="15122" max="15122" width="7.75" style="167" bestFit="1" customWidth="1"/>
    <col min="15123" max="15124" width="9.625" style="167" bestFit="1" customWidth="1"/>
    <col min="15125" max="15126" width="9.625" style="167" customWidth="1"/>
    <col min="15127" max="15127" width="9.25" style="167" bestFit="1" customWidth="1"/>
    <col min="15128" max="15128" width="11" style="167" bestFit="1" customWidth="1"/>
    <col min="15129" max="15361" width="9" style="167"/>
    <col min="15362" max="15362" width="4.625" style="167" bestFit="1" customWidth="1"/>
    <col min="15363" max="15363" width="7.5" style="167" bestFit="1" customWidth="1"/>
    <col min="15364" max="15364" width="6.25" style="167" customWidth="1"/>
    <col min="15365" max="15365" width="11" style="167" bestFit="1" customWidth="1"/>
    <col min="15366" max="15367" width="9.625" style="167" bestFit="1" customWidth="1"/>
    <col min="15368" max="15368" width="8.25" style="167" bestFit="1" customWidth="1"/>
    <col min="15369" max="15370" width="9.625" style="167" bestFit="1" customWidth="1"/>
    <col min="15371" max="15371" width="8.25" style="167" bestFit="1" customWidth="1"/>
    <col min="15372" max="15373" width="9.625" style="167" bestFit="1" customWidth="1"/>
    <col min="15374" max="15375" width="8.25" style="167" bestFit="1" customWidth="1"/>
    <col min="15376" max="15376" width="11" style="167" bestFit="1" customWidth="1"/>
    <col min="15377" max="15377" width="8" style="167" bestFit="1" customWidth="1"/>
    <col min="15378" max="15378" width="7.75" style="167" bestFit="1" customWidth="1"/>
    <col min="15379" max="15380" width="9.625" style="167" bestFit="1" customWidth="1"/>
    <col min="15381" max="15382" width="9.625" style="167" customWidth="1"/>
    <col min="15383" max="15383" width="9.25" style="167" bestFit="1" customWidth="1"/>
    <col min="15384" max="15384" width="11" style="167" bestFit="1" customWidth="1"/>
    <col min="15385" max="15617" width="9" style="167"/>
    <col min="15618" max="15618" width="4.625" style="167" bestFit="1" customWidth="1"/>
    <col min="15619" max="15619" width="7.5" style="167" bestFit="1" customWidth="1"/>
    <col min="15620" max="15620" width="6.25" style="167" customWidth="1"/>
    <col min="15621" max="15621" width="11" style="167" bestFit="1" customWidth="1"/>
    <col min="15622" max="15623" width="9.625" style="167" bestFit="1" customWidth="1"/>
    <col min="15624" max="15624" width="8.25" style="167" bestFit="1" customWidth="1"/>
    <col min="15625" max="15626" width="9.625" style="167" bestFit="1" customWidth="1"/>
    <col min="15627" max="15627" width="8.25" style="167" bestFit="1" customWidth="1"/>
    <col min="15628" max="15629" width="9.625" style="167" bestFit="1" customWidth="1"/>
    <col min="15630" max="15631" width="8.25" style="167" bestFit="1" customWidth="1"/>
    <col min="15632" max="15632" width="11" style="167" bestFit="1" customWidth="1"/>
    <col min="15633" max="15633" width="8" style="167" bestFit="1" customWidth="1"/>
    <col min="15634" max="15634" width="7.75" style="167" bestFit="1" customWidth="1"/>
    <col min="15635" max="15636" width="9.625" style="167" bestFit="1" customWidth="1"/>
    <col min="15637" max="15638" width="9.625" style="167" customWidth="1"/>
    <col min="15639" max="15639" width="9.25" style="167" bestFit="1" customWidth="1"/>
    <col min="15640" max="15640" width="11" style="167" bestFit="1" customWidth="1"/>
    <col min="15641" max="15873" width="9" style="167"/>
    <col min="15874" max="15874" width="4.625" style="167" bestFit="1" customWidth="1"/>
    <col min="15875" max="15875" width="7.5" style="167" bestFit="1" customWidth="1"/>
    <col min="15876" max="15876" width="6.25" style="167" customWidth="1"/>
    <col min="15877" max="15877" width="11" style="167" bestFit="1" customWidth="1"/>
    <col min="15878" max="15879" width="9.625" style="167" bestFit="1" customWidth="1"/>
    <col min="15880" max="15880" width="8.25" style="167" bestFit="1" customWidth="1"/>
    <col min="15881" max="15882" width="9.625" style="167" bestFit="1" customWidth="1"/>
    <col min="15883" max="15883" width="8.25" style="167" bestFit="1" customWidth="1"/>
    <col min="15884" max="15885" width="9.625" style="167" bestFit="1" customWidth="1"/>
    <col min="15886" max="15887" width="8.25" style="167" bestFit="1" customWidth="1"/>
    <col min="15888" max="15888" width="11" style="167" bestFit="1" customWidth="1"/>
    <col min="15889" max="15889" width="8" style="167" bestFit="1" customWidth="1"/>
    <col min="15890" max="15890" width="7.75" style="167" bestFit="1" customWidth="1"/>
    <col min="15891" max="15892" width="9.625" style="167" bestFit="1" customWidth="1"/>
    <col min="15893" max="15894" width="9.625" style="167" customWidth="1"/>
    <col min="15895" max="15895" width="9.25" style="167" bestFit="1" customWidth="1"/>
    <col min="15896" max="15896" width="11" style="167" bestFit="1" customWidth="1"/>
    <col min="15897" max="16129" width="9" style="167"/>
    <col min="16130" max="16130" width="4.625" style="167" bestFit="1" customWidth="1"/>
    <col min="16131" max="16131" width="7.5" style="167" bestFit="1" customWidth="1"/>
    <col min="16132" max="16132" width="6.25" style="167" customWidth="1"/>
    <col min="16133" max="16133" width="11" style="167" bestFit="1" customWidth="1"/>
    <col min="16134" max="16135" width="9.625" style="167" bestFit="1" customWidth="1"/>
    <col min="16136" max="16136" width="8.25" style="167" bestFit="1" customWidth="1"/>
    <col min="16137" max="16138" width="9.625" style="167" bestFit="1" customWidth="1"/>
    <col min="16139" max="16139" width="8.25" style="167" bestFit="1" customWidth="1"/>
    <col min="16140" max="16141" width="9.625" style="167" bestFit="1" customWidth="1"/>
    <col min="16142" max="16143" width="8.25" style="167" bestFit="1" customWidth="1"/>
    <col min="16144" max="16144" width="11" style="167" bestFit="1" customWidth="1"/>
    <col min="16145" max="16145" width="8" style="167" bestFit="1" customWidth="1"/>
    <col min="16146" max="16146" width="7.75" style="167" bestFit="1" customWidth="1"/>
    <col min="16147" max="16148" width="9.625" style="167" bestFit="1" customWidth="1"/>
    <col min="16149" max="16150" width="9.625" style="167" customWidth="1"/>
    <col min="16151" max="16151" width="9.25" style="167" bestFit="1" customWidth="1"/>
    <col min="16152" max="16152" width="11" style="167" bestFit="1" customWidth="1"/>
    <col min="16153" max="16384" width="9" style="167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295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65"/>
      <c r="V4" s="252"/>
      <c r="W4" s="252"/>
      <c r="X4" s="252"/>
    </row>
    <row r="5" spans="2:29" ht="20.25" customHeight="1" x14ac:dyDescent="0.3">
      <c r="B5" s="253" t="s">
        <v>296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66"/>
      <c r="Q5" s="69"/>
      <c r="R5" s="69"/>
      <c r="S5" s="69"/>
      <c r="T5" s="252"/>
      <c r="U5" s="165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4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/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130290</v>
      </c>
      <c r="X9" s="97">
        <f t="shared" ref="X9:X24" si="7">P9-W9</f>
        <v>2369710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/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130290</v>
      </c>
      <c r="X10" s="128">
        <f t="shared" si="7"/>
        <v>2369710</v>
      </c>
      <c r="Z10" s="98">
        <v>1</v>
      </c>
      <c r="AA10" s="99"/>
      <c r="AC10" s="100">
        <f t="shared" ref="AC10:AC13" si="8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8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8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8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" si="9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0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:V17" si="11">IFERROR(IF(D15&lt;&gt;"대표이사",ROUNDDOWN((P15-AC15)*고용보험율,-1),0),)</f>
        <v>17600</v>
      </c>
      <c r="W15" s="124">
        <f t="shared" ref="W15:W17" si="12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24" si="13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251</v>
      </c>
      <c r="D16" s="88" t="s">
        <v>50</v>
      </c>
      <c r="E16" s="89">
        <v>2100000</v>
      </c>
      <c r="F16" s="106"/>
      <c r="G16" s="106"/>
      <c r="H16" s="106"/>
      <c r="I16" s="106"/>
      <c r="J16" s="107"/>
      <c r="K16" s="107"/>
      <c r="L16" s="107"/>
      <c r="M16" s="107"/>
      <c r="N16" s="89">
        <v>200000</v>
      </c>
      <c r="O16" s="130">
        <v>200000</v>
      </c>
      <c r="P16" s="124">
        <f t="shared" ref="P16" si="14">SUM(E16:O16)</f>
        <v>2500000</v>
      </c>
      <c r="Q16" s="125">
        <f t="shared" si="1"/>
        <v>25950</v>
      </c>
      <c r="R16" s="126">
        <f t="shared" ref="R16:R17" si="15">ROUNDDOWN(Q16*10%,-1)</f>
        <v>2590</v>
      </c>
      <c r="S16" s="126"/>
      <c r="T16" s="95">
        <f t="shared" si="3"/>
        <v>75460</v>
      </c>
      <c r="U16" s="96">
        <f t="shared" ref="U16:U17" si="16">ROUNDDOWN(T16*11.52%,-1)</f>
        <v>8690</v>
      </c>
      <c r="V16" s="127">
        <f t="shared" si="11"/>
        <v>17600</v>
      </c>
      <c r="W16" s="124">
        <f t="shared" si="12"/>
        <v>130290</v>
      </c>
      <c r="X16" s="128">
        <f t="shared" ref="X16:X17" si="17">P16-W16</f>
        <v>2369710</v>
      </c>
      <c r="Z16" s="98">
        <v>1</v>
      </c>
      <c r="AA16" s="99"/>
      <c r="AC16" s="100">
        <f t="shared" si="13"/>
        <v>300000</v>
      </c>
    </row>
    <row r="17" spans="2:29" s="168" customFormat="1" ht="20.100000000000001" customHeight="1" x14ac:dyDescent="0.3">
      <c r="B17" s="101">
        <v>9</v>
      </c>
      <c r="C17" s="87" t="s">
        <v>247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" si="18">SUM(E17:O17)</f>
        <v>2500000</v>
      </c>
      <c r="Q17" s="125">
        <f t="shared" si="1"/>
        <v>25950</v>
      </c>
      <c r="R17" s="126">
        <f t="shared" si="15"/>
        <v>2590</v>
      </c>
      <c r="S17" s="126">
        <f t="shared" ref="S17" si="19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16"/>
        <v>8690</v>
      </c>
      <c r="V17" s="127">
        <f t="shared" si="11"/>
        <v>17600</v>
      </c>
      <c r="W17" s="124">
        <f t="shared" si="12"/>
        <v>229290</v>
      </c>
      <c r="X17" s="128">
        <f t="shared" si="17"/>
        <v>2270710</v>
      </c>
      <c r="Z17" s="98">
        <v>1</v>
      </c>
      <c r="AA17" s="99"/>
      <c r="AC17" s="100">
        <f t="shared" si="13"/>
        <v>300000</v>
      </c>
    </row>
    <row r="18" spans="2:29" ht="20.100000000000001" customHeight="1" x14ac:dyDescent="0.3">
      <c r="B18" s="101">
        <v>10</v>
      </c>
      <c r="C18" s="169" t="s">
        <v>289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ref="P18:P20" si="20">SUM(E18:O18)</f>
        <v>2500000</v>
      </c>
      <c r="Q18" s="125">
        <f t="shared" si="1"/>
        <v>25950</v>
      </c>
      <c r="R18" s="126">
        <f t="shared" si="2"/>
        <v>2590</v>
      </c>
      <c r="S18" s="126"/>
      <c r="T18" s="95">
        <f t="shared" si="3"/>
        <v>75460</v>
      </c>
      <c r="U18" s="96">
        <f t="shared" si="4"/>
        <v>8690</v>
      </c>
      <c r="V18" s="127">
        <f t="shared" ref="V18:V24" si="21">IFERROR(IF(D18&lt;&gt;"대표이사",ROUNDDOWN((P18-AC18)*고용보험율,-1),0),)</f>
        <v>17600</v>
      </c>
      <c r="W18" s="124">
        <f t="shared" ref="W18:W24" si="22">SUM(Q18:V18)</f>
        <v>130290</v>
      </c>
      <c r="X18" s="128">
        <f t="shared" si="7"/>
        <v>2369710</v>
      </c>
      <c r="Z18" s="98">
        <v>1</v>
      </c>
      <c r="AA18" s="99"/>
      <c r="AC18" s="100">
        <f t="shared" si="13"/>
        <v>300000</v>
      </c>
    </row>
    <row r="19" spans="2:29" ht="20.100000000000001" customHeight="1" x14ac:dyDescent="0.3">
      <c r="B19" s="101">
        <v>11</v>
      </c>
      <c r="C19" s="87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20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3"/>
        <v>300000</v>
      </c>
    </row>
    <row r="20" spans="2:29" ht="20.100000000000001" customHeight="1" x14ac:dyDescent="0.3">
      <c r="B20" s="101">
        <v>12</v>
      </c>
      <c r="C20" s="169" t="s">
        <v>288</v>
      </c>
      <c r="D20" s="88" t="s">
        <v>50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si="20"/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s="168" customFormat="1" ht="20.100000000000001" customHeight="1" x14ac:dyDescent="0.3">
      <c r="B21" s="101">
        <v>13</v>
      </c>
      <c r="C21" s="87" t="s">
        <v>297</v>
      </c>
      <c r="D21" s="88" t="s">
        <v>50</v>
      </c>
      <c r="E21" s="89">
        <v>2100000</v>
      </c>
      <c r="F21" s="102"/>
      <c r="G21" s="102"/>
      <c r="H21" s="102"/>
      <c r="I21" s="102"/>
      <c r="J21" s="103"/>
      <c r="K21" s="103"/>
      <c r="L21" s="103"/>
      <c r="M21" s="103"/>
      <c r="N21" s="89">
        <v>200000</v>
      </c>
      <c r="O21" s="123">
        <v>200000</v>
      </c>
      <c r="P21" s="124">
        <f t="shared" ref="P21" si="23">SUM(E21:O21)</f>
        <v>2500000</v>
      </c>
      <c r="Q21" s="125">
        <f t="shared" ref="Q21" si="24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>
        <f t="shared" ref="S21" si="25">IFERROR(IF(AND(P21-AC21&gt;=월액최저,P21-AC21&lt;=월액최고),ROUNDDOWN((P21-AC21)*국민연금,-1),IF(P21-AC21&gt;=월액최고,최고연금,IF(AND(P21-AC21&lt;=월액최저,P21-AC21&gt;=1),최저연금,))),)</f>
        <v>99000</v>
      </c>
      <c r="T21" s="95">
        <f t="shared" ref="T21" si="26">IFERROR(ROUNDDOWN((P21-AC21)*3.43%,-1),)</f>
        <v>75460</v>
      </c>
      <c r="U21" s="96">
        <f t="shared" si="4"/>
        <v>8690</v>
      </c>
      <c r="V21" s="127">
        <f t="shared" ref="V21" si="27">IFERROR(IF(D21&lt;&gt;"대표이사",ROUNDDOWN((P21-AC21)*고용보험율,-1),0),)</f>
        <v>17600</v>
      </c>
      <c r="W21" s="124">
        <f t="shared" ref="W21" si="28">SUM(Q21:V21)</f>
        <v>229290</v>
      </c>
      <c r="X21" s="128">
        <f t="shared" si="7"/>
        <v>2270710</v>
      </c>
      <c r="Z21" s="98">
        <v>1</v>
      </c>
      <c r="AA21" s="99"/>
      <c r="AC21" s="100">
        <f t="shared" ref="AC21" si="29">IF(N21&gt;=100000,100000,N21)+IF(O21&gt;=200000,200000,O21)</f>
        <v>300000</v>
      </c>
    </row>
    <row r="22" spans="2:29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30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s="168" customFormat="1" ht="20.100000000000001" customHeight="1" x14ac:dyDescent="0.3">
      <c r="B23" s="101"/>
      <c r="C23" s="87"/>
      <c r="D23" s="88"/>
      <c r="E23" s="89"/>
      <c r="F23" s="102"/>
      <c r="G23" s="102"/>
      <c r="H23" s="102"/>
      <c r="I23" s="102"/>
      <c r="J23" s="103"/>
      <c r="K23" s="103"/>
      <c r="L23" s="103"/>
      <c r="M23" s="103"/>
      <c r="N23" s="89"/>
      <c r="O23" s="123"/>
      <c r="P23" s="124"/>
      <c r="Q23" s="125"/>
      <c r="R23" s="126"/>
      <c r="S23" s="126"/>
      <c r="T23" s="95"/>
      <c r="U23" s="96"/>
      <c r="V23" s="127"/>
      <c r="W23" s="124"/>
      <c r="X23" s="128"/>
      <c r="Z23" s="98"/>
      <c r="AA23" s="99"/>
      <c r="AC23" s="100"/>
    </row>
    <row r="24" spans="2:29" ht="20.100000000000001" customHeight="1" x14ac:dyDescent="0.3">
      <c r="B24" s="101"/>
      <c r="C24" s="87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>
        <f t="shared" si="1"/>
        <v>0</v>
      </c>
      <c r="R24" s="126">
        <f t="shared" si="2"/>
        <v>0</v>
      </c>
      <c r="S24" s="126">
        <f t="shared" ref="S24" si="31">IFERROR(IF(AND(P24-AC24&gt;=월액최저,P24-AC24&lt;=월액최고),ROUNDDOWN((P24-AC24)*국민연금,-1),IF(P24-AC24&gt;=월액최고,최고연금,IF(AND(P24-AC24&lt;=월액최저,P24-AC24&gt;=1),최저연금,))),)</f>
        <v>0</v>
      </c>
      <c r="T24" s="95">
        <f t="shared" si="3"/>
        <v>0</v>
      </c>
      <c r="U24" s="96">
        <f t="shared" si="4"/>
        <v>0</v>
      </c>
      <c r="V24" s="127">
        <f t="shared" si="21"/>
        <v>0</v>
      </c>
      <c r="W24" s="124">
        <f t="shared" si="22"/>
        <v>0</v>
      </c>
      <c r="X24" s="128">
        <f t="shared" si="7"/>
        <v>0</v>
      </c>
      <c r="Z24" s="98">
        <v>1</v>
      </c>
      <c r="AA24" s="99"/>
      <c r="AC24" s="100">
        <f t="shared" si="13"/>
        <v>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32">SUM(E9:E24)</f>
        <v>29400000</v>
      </c>
      <c r="F25" s="132">
        <f t="shared" si="32"/>
        <v>0</v>
      </c>
      <c r="G25" s="132">
        <f t="shared" si="32"/>
        <v>0</v>
      </c>
      <c r="H25" s="132">
        <f t="shared" si="32"/>
        <v>0</v>
      </c>
      <c r="I25" s="132">
        <f t="shared" si="32"/>
        <v>0</v>
      </c>
      <c r="J25" s="132">
        <f t="shared" si="32"/>
        <v>0</v>
      </c>
      <c r="K25" s="132">
        <f t="shared" si="32"/>
        <v>0</v>
      </c>
      <c r="L25" s="132">
        <f t="shared" si="32"/>
        <v>0</v>
      </c>
      <c r="M25" s="133">
        <f t="shared" si="32"/>
        <v>0</v>
      </c>
      <c r="N25" s="131">
        <f t="shared" si="32"/>
        <v>2800000</v>
      </c>
      <c r="O25" s="134">
        <f t="shared" si="32"/>
        <v>2800000</v>
      </c>
      <c r="P25" s="135">
        <f t="shared" si="32"/>
        <v>35000000</v>
      </c>
      <c r="Q25" s="131">
        <f t="shared" si="32"/>
        <v>363300</v>
      </c>
      <c r="R25" s="132">
        <f t="shared" si="32"/>
        <v>36260</v>
      </c>
      <c r="S25" s="132">
        <f t="shared" si="32"/>
        <v>495000</v>
      </c>
      <c r="T25" s="132">
        <f t="shared" si="32"/>
        <v>1056440</v>
      </c>
      <c r="U25" s="133">
        <f t="shared" si="32"/>
        <v>121660</v>
      </c>
      <c r="V25" s="133">
        <f t="shared" si="32"/>
        <v>246400</v>
      </c>
      <c r="W25" s="135">
        <f t="shared" si="32"/>
        <v>2319060</v>
      </c>
      <c r="X25" s="136">
        <f t="shared" si="32"/>
        <v>32680940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257</v>
      </c>
      <c r="D28" s="197" t="s">
        <v>260</v>
      </c>
      <c r="E28" s="198"/>
      <c r="F28" s="204" t="s">
        <v>287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 t="s">
        <v>290</v>
      </c>
      <c r="D29" s="197" t="s">
        <v>291</v>
      </c>
      <c r="E29" s="198"/>
      <c r="F29" s="204" t="s">
        <v>292</v>
      </c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/>
      <c r="D32" s="197"/>
      <c r="E32" s="198"/>
      <c r="F32" s="199"/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5"/>
      <c r="C34" s="147"/>
      <c r="D34" s="197"/>
      <c r="E34" s="198"/>
      <c r="F34" s="204"/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6"/>
      <c r="C35" s="122"/>
      <c r="D35" s="197"/>
      <c r="E35" s="198"/>
      <c r="F35" s="204"/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20.100000000000001" customHeight="1" x14ac:dyDescent="0.3">
      <c r="Q36" s="64"/>
      <c r="R36" s="64"/>
      <c r="S36" s="64"/>
      <c r="T36" s="64"/>
      <c r="U36" s="64"/>
      <c r="V36" s="64"/>
    </row>
    <row r="37" spans="2:22" s="64" customFormat="1" ht="20.100000000000001" customHeight="1" x14ac:dyDescent="0.3">
      <c r="B37" s="167"/>
      <c r="C37" s="167"/>
      <c r="D37" s="167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67"/>
      <c r="C38" s="167"/>
      <c r="D38" s="167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67"/>
      <c r="C39" s="167"/>
      <c r="D39" s="167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67"/>
      <c r="C40" s="167"/>
      <c r="D40" s="167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67"/>
      <c r="C41" s="167"/>
      <c r="D41" s="167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67"/>
      <c r="C42" s="167"/>
      <c r="D42" s="167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67"/>
      <c r="C43" s="167"/>
      <c r="D43" s="167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67"/>
      <c r="C44" s="167"/>
      <c r="D44" s="167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67"/>
      <c r="C45" s="167"/>
      <c r="D45" s="167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67"/>
      <c r="C46" s="167"/>
      <c r="D46" s="167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67"/>
      <c r="C47" s="167"/>
      <c r="D47" s="167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67"/>
      <c r="C48" s="167"/>
      <c r="D48" s="167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67"/>
      <c r="C49" s="167"/>
      <c r="D49" s="167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67"/>
      <c r="C50" s="167"/>
      <c r="D50" s="167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67"/>
      <c r="C51" s="167"/>
      <c r="D51" s="167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67"/>
      <c r="C52" s="167"/>
      <c r="D52" s="167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67"/>
      <c r="C53" s="167"/>
      <c r="D53" s="167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67"/>
      <c r="C54" s="167"/>
      <c r="D54" s="167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67"/>
      <c r="C55" s="167"/>
      <c r="D55" s="167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67"/>
      <c r="C56" s="167"/>
      <c r="D56" s="167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67"/>
      <c r="C57" s="167"/>
      <c r="D57" s="167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67"/>
      <c r="C58" s="167"/>
      <c r="D58" s="167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67"/>
      <c r="C59" s="167"/>
      <c r="D59" s="167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67"/>
      <c r="C60" s="167"/>
      <c r="D60" s="167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67"/>
      <c r="C61" s="167"/>
      <c r="D61" s="167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67"/>
      <c r="C62" s="167"/>
      <c r="D62" s="167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67"/>
      <c r="C63" s="167"/>
      <c r="D63" s="167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67"/>
      <c r="C64" s="167"/>
      <c r="D64" s="167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67"/>
      <c r="C65" s="167"/>
      <c r="D65" s="167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67"/>
      <c r="C66" s="167"/>
      <c r="D66" s="167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67"/>
      <c r="C67" s="167"/>
      <c r="D67" s="167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67"/>
      <c r="C68" s="167"/>
      <c r="D68" s="167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67"/>
      <c r="C69" s="167"/>
      <c r="D69" s="167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67"/>
      <c r="C70" s="167"/>
      <c r="D70" s="167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67"/>
      <c r="C71" s="167"/>
      <c r="D71" s="167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67"/>
      <c r="C72" s="167"/>
      <c r="D72" s="167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67"/>
      <c r="C73" s="167"/>
      <c r="D73" s="167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67"/>
      <c r="C74" s="167"/>
      <c r="D74" s="167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67"/>
      <c r="C75" s="167"/>
      <c r="D75" s="167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67"/>
      <c r="C76" s="167"/>
      <c r="D76" s="167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67"/>
      <c r="C77" s="167"/>
      <c r="D77" s="167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67"/>
      <c r="C78" s="167"/>
      <c r="D78" s="167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67"/>
      <c r="C79" s="167"/>
      <c r="D79" s="167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67"/>
      <c r="C80" s="167"/>
      <c r="D80" s="167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67"/>
      <c r="C81" s="167"/>
      <c r="D81" s="167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67"/>
      <c r="C82" s="167"/>
      <c r="D82" s="167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67"/>
      <c r="C83" s="167"/>
      <c r="D83" s="167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67"/>
      <c r="C84" s="167"/>
      <c r="D84" s="167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67"/>
      <c r="C85" s="167"/>
      <c r="D85" s="167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67"/>
      <c r="C86" s="167"/>
      <c r="D86" s="167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67"/>
      <c r="C87" s="167"/>
      <c r="D87" s="167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67"/>
      <c r="C88" s="167"/>
      <c r="D88" s="167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67"/>
      <c r="C89" s="167"/>
      <c r="D89" s="167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67"/>
      <c r="C90" s="167"/>
      <c r="D90" s="167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67"/>
      <c r="C91" s="167"/>
      <c r="D91" s="167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67"/>
      <c r="C92" s="167"/>
      <c r="D92" s="167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67"/>
      <c r="C93" s="167"/>
      <c r="D93" s="167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67"/>
      <c r="C94" s="167"/>
      <c r="D94" s="167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67"/>
      <c r="C95" s="167"/>
      <c r="D95" s="167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67"/>
      <c r="C96" s="167"/>
      <c r="D96" s="167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67"/>
      <c r="C97" s="167"/>
      <c r="D97" s="167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67"/>
      <c r="C98" s="167"/>
      <c r="D98" s="167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67"/>
      <c r="C99" s="167"/>
      <c r="D99" s="167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67"/>
      <c r="C100" s="167"/>
      <c r="D100" s="167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67"/>
      <c r="C101" s="167"/>
      <c r="D101" s="167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67"/>
      <c r="C102" s="167"/>
      <c r="D102" s="167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67"/>
      <c r="C103" s="167"/>
      <c r="D103" s="167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67"/>
      <c r="C104" s="167"/>
      <c r="D104" s="167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67"/>
      <c r="C105" s="167"/>
      <c r="D105" s="167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67"/>
      <c r="C106" s="167"/>
      <c r="D106" s="167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67"/>
      <c r="C107" s="167"/>
      <c r="D107" s="167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67"/>
      <c r="C108" s="167"/>
      <c r="D108" s="167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67"/>
      <c r="C109" s="167"/>
      <c r="D109" s="167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67"/>
      <c r="C110" s="167"/>
      <c r="D110" s="167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67"/>
      <c r="C111" s="167"/>
      <c r="D111" s="167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67"/>
      <c r="C112" s="167"/>
      <c r="D112" s="167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67"/>
      <c r="C113" s="167"/>
      <c r="D113" s="167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67"/>
      <c r="C114" s="167"/>
      <c r="D114" s="167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67"/>
      <c r="C115" s="167"/>
      <c r="D115" s="167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67"/>
      <c r="C116" s="167"/>
      <c r="D116" s="167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67"/>
      <c r="C117" s="167"/>
      <c r="D117" s="167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67"/>
      <c r="C118" s="167"/>
      <c r="D118" s="167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67"/>
      <c r="C119" s="167"/>
      <c r="D119" s="167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67"/>
      <c r="C120" s="167"/>
      <c r="D120" s="167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67"/>
      <c r="C121" s="167"/>
      <c r="D121" s="167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67"/>
      <c r="C122" s="167"/>
      <c r="D122" s="167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67"/>
      <c r="C123" s="167"/>
      <c r="D123" s="167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67"/>
      <c r="C124" s="167"/>
      <c r="D124" s="167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67"/>
      <c r="C125" s="167"/>
      <c r="D125" s="167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67"/>
      <c r="C126" s="167"/>
      <c r="D126" s="167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67"/>
      <c r="C127" s="167"/>
      <c r="D127" s="167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67"/>
      <c r="C128" s="167"/>
      <c r="D128" s="167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67"/>
      <c r="C129" s="167"/>
      <c r="D129" s="167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67"/>
      <c r="C130" s="167"/>
      <c r="D130" s="167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67"/>
      <c r="C131" s="167"/>
      <c r="D131" s="167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67"/>
      <c r="C132" s="167"/>
      <c r="D132" s="167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67"/>
      <c r="C133" s="167"/>
      <c r="D133" s="167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67"/>
      <c r="C134" s="167"/>
      <c r="D134" s="167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67"/>
      <c r="C135" s="167"/>
      <c r="D135" s="167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67"/>
      <c r="C136" s="167"/>
      <c r="D136" s="167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67"/>
      <c r="C137" s="167"/>
      <c r="D137" s="167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67"/>
      <c r="C138" s="167"/>
      <c r="D138" s="167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67"/>
      <c r="C139" s="167"/>
      <c r="D139" s="167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67"/>
      <c r="C140" s="167"/>
      <c r="D140" s="167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67"/>
      <c r="C141" s="167"/>
      <c r="D141" s="167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67"/>
      <c r="C142" s="167"/>
      <c r="D142" s="167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67"/>
      <c r="C143" s="167"/>
      <c r="D143" s="167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67"/>
      <c r="C144" s="167"/>
      <c r="D144" s="167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67"/>
      <c r="C145" s="167"/>
      <c r="D145" s="167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67"/>
      <c r="C146" s="167"/>
      <c r="D146" s="167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67"/>
      <c r="C147" s="167"/>
      <c r="D147" s="167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67"/>
      <c r="C148" s="167"/>
      <c r="D148" s="167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67"/>
      <c r="C149" s="167"/>
      <c r="D149" s="167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67"/>
      <c r="C150" s="167"/>
      <c r="D150" s="167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67"/>
      <c r="C151" s="167"/>
      <c r="D151" s="167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67"/>
      <c r="C152" s="167"/>
      <c r="D152" s="167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67"/>
      <c r="C153" s="167"/>
      <c r="D153" s="167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67"/>
      <c r="C154" s="167"/>
      <c r="D154" s="167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67"/>
      <c r="C155" s="167"/>
      <c r="D155" s="167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67"/>
      <c r="C156" s="167"/>
      <c r="D156" s="167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67"/>
      <c r="C157" s="167"/>
      <c r="D157" s="167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67"/>
      <c r="C158" s="167"/>
      <c r="D158" s="167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67"/>
      <c r="C159" s="167"/>
      <c r="D159" s="167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67"/>
      <c r="C160" s="167"/>
      <c r="D160" s="167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67"/>
      <c r="C161" s="167"/>
      <c r="D161" s="167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67"/>
      <c r="C162" s="167"/>
      <c r="D162" s="167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67"/>
      <c r="C163" s="167"/>
      <c r="D163" s="167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67"/>
      <c r="C164" s="167"/>
      <c r="D164" s="167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67"/>
      <c r="C165" s="167"/>
      <c r="D165" s="167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67"/>
      <c r="C166" s="167"/>
      <c r="D166" s="167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67"/>
      <c r="C167" s="167"/>
      <c r="D167" s="167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67"/>
      <c r="C168" s="167"/>
      <c r="D168" s="167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67"/>
      <c r="C169" s="167"/>
      <c r="D169" s="167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67"/>
      <c r="C170" s="167"/>
      <c r="D170" s="167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67"/>
      <c r="C171" s="167"/>
      <c r="D171" s="167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67"/>
      <c r="C172" s="167"/>
      <c r="D172" s="167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67"/>
      <c r="C173" s="167"/>
      <c r="D173" s="167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67"/>
      <c r="C174" s="167"/>
      <c r="D174" s="167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67"/>
      <c r="C175" s="167"/>
      <c r="D175" s="167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67"/>
      <c r="C176" s="167"/>
      <c r="D176" s="167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67"/>
      <c r="C177" s="167"/>
      <c r="D177" s="167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67"/>
      <c r="C178" s="167"/>
      <c r="D178" s="167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67"/>
      <c r="C179" s="167"/>
      <c r="D179" s="167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67"/>
      <c r="C180" s="167"/>
      <c r="D180" s="167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67"/>
      <c r="C181" s="167"/>
      <c r="D181" s="167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67"/>
      <c r="C182" s="167"/>
      <c r="D182" s="167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67"/>
      <c r="C183" s="167"/>
      <c r="D183" s="167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67"/>
      <c r="C184" s="167"/>
      <c r="D184" s="167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67"/>
      <c r="C185" s="167"/>
      <c r="D185" s="167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67"/>
      <c r="C186" s="167"/>
      <c r="D186" s="167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67"/>
      <c r="C187" s="167"/>
      <c r="D187" s="167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67"/>
      <c r="C188" s="167"/>
      <c r="D188" s="167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67"/>
      <c r="C189" s="167"/>
      <c r="D189" s="167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67"/>
      <c r="C190" s="167"/>
      <c r="D190" s="167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67"/>
      <c r="C191" s="167"/>
      <c r="D191" s="167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67"/>
      <c r="C192" s="167"/>
      <c r="D192" s="167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67"/>
      <c r="C193" s="167"/>
      <c r="D193" s="167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67"/>
      <c r="C194" s="167"/>
      <c r="D194" s="167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67"/>
      <c r="C195" s="167"/>
      <c r="D195" s="167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67"/>
      <c r="C196" s="167"/>
      <c r="D196" s="167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67"/>
      <c r="C197" s="167"/>
      <c r="D197" s="167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67"/>
      <c r="C198" s="167"/>
      <c r="D198" s="167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67"/>
      <c r="C199" s="167"/>
      <c r="D199" s="167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67"/>
      <c r="C200" s="167"/>
      <c r="D200" s="167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67"/>
      <c r="C201" s="167"/>
      <c r="D201" s="167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67"/>
      <c r="C202" s="167"/>
      <c r="D202" s="167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67"/>
      <c r="C203" s="167"/>
      <c r="D203" s="167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67"/>
      <c r="C204" s="167"/>
      <c r="D204" s="167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67"/>
      <c r="C205" s="167"/>
      <c r="D205" s="167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67"/>
      <c r="C206" s="167"/>
      <c r="D206" s="167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67"/>
      <c r="C207" s="167"/>
      <c r="D207" s="167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67"/>
      <c r="C208" s="167"/>
      <c r="D208" s="167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67"/>
      <c r="C209" s="167"/>
      <c r="D209" s="167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67"/>
      <c r="C210" s="167"/>
      <c r="D210" s="167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67"/>
      <c r="C211" s="167"/>
      <c r="D211" s="167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67"/>
      <c r="C212" s="167"/>
      <c r="D212" s="167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67"/>
      <c r="C213" s="167"/>
      <c r="D213" s="167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67"/>
      <c r="C214" s="167"/>
      <c r="D214" s="167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67"/>
      <c r="C215" s="167"/>
      <c r="D215" s="167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67"/>
      <c r="C216" s="167"/>
      <c r="D216" s="167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67"/>
      <c r="C217" s="167"/>
      <c r="D217" s="167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67"/>
      <c r="C218" s="167"/>
      <c r="D218" s="167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67"/>
      <c r="C219" s="167"/>
      <c r="D219" s="167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67"/>
      <c r="C220" s="167"/>
      <c r="D220" s="167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67"/>
      <c r="C221" s="167"/>
      <c r="D221" s="167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67"/>
      <c r="C222" s="167"/>
      <c r="D222" s="167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67"/>
      <c r="C223" s="167"/>
      <c r="D223" s="167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67"/>
      <c r="C224" s="167"/>
      <c r="D224" s="167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67"/>
      <c r="C225" s="167"/>
      <c r="D225" s="167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67"/>
      <c r="C226" s="167"/>
      <c r="D226" s="167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67"/>
      <c r="C227" s="167"/>
      <c r="D227" s="167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67"/>
      <c r="C228" s="167"/>
      <c r="D228" s="167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67"/>
      <c r="C229" s="167"/>
      <c r="D229" s="167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67"/>
      <c r="C230" s="167"/>
      <c r="D230" s="167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67"/>
      <c r="C231" s="167"/>
      <c r="D231" s="167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67"/>
      <c r="C232" s="167"/>
      <c r="D232" s="167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67"/>
      <c r="C233" s="167"/>
      <c r="D233" s="167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67"/>
      <c r="C234" s="167"/>
      <c r="D234" s="167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67"/>
      <c r="C235" s="167"/>
      <c r="D235" s="167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67"/>
      <c r="C236" s="167"/>
      <c r="D236" s="167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67"/>
      <c r="C237" s="167"/>
      <c r="D237" s="167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67"/>
      <c r="C238" s="167"/>
      <c r="D238" s="167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67"/>
      <c r="C239" s="167"/>
      <c r="D239" s="167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67"/>
      <c r="C240" s="167"/>
      <c r="D240" s="167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67"/>
      <c r="C241" s="167"/>
      <c r="D241" s="167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67"/>
      <c r="C242" s="167"/>
      <c r="D242" s="167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67"/>
      <c r="C243" s="167"/>
      <c r="D243" s="167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67"/>
      <c r="C244" s="167"/>
      <c r="D244" s="167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67"/>
      <c r="C245" s="167"/>
      <c r="D245" s="167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67"/>
      <c r="C246" s="167"/>
      <c r="D246" s="167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67"/>
      <c r="C247" s="167"/>
      <c r="D247" s="167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67"/>
      <c r="C248" s="167"/>
      <c r="D248" s="167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67"/>
      <c r="C249" s="167"/>
      <c r="D249" s="167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67"/>
      <c r="C250" s="167"/>
      <c r="D250" s="167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67"/>
      <c r="C251" s="167"/>
      <c r="D251" s="167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67"/>
      <c r="C252" s="167"/>
      <c r="D252" s="167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67"/>
      <c r="C253" s="167"/>
      <c r="D253" s="167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67"/>
      <c r="C254" s="167"/>
      <c r="D254" s="167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67"/>
      <c r="C255" s="167"/>
      <c r="D255" s="167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67"/>
      <c r="C256" s="167"/>
      <c r="D256" s="167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67"/>
      <c r="C257" s="167"/>
      <c r="D257" s="167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67"/>
      <c r="C258" s="167"/>
      <c r="D258" s="167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67"/>
      <c r="C259" s="167"/>
      <c r="D259" s="167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67"/>
      <c r="C260" s="167"/>
      <c r="D260" s="167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67"/>
      <c r="C261" s="167"/>
      <c r="D261" s="167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67"/>
      <c r="C262" s="167"/>
      <c r="D262" s="167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67"/>
      <c r="C263" s="167"/>
      <c r="D263" s="167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67"/>
      <c r="C264" s="167"/>
      <c r="D264" s="167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67"/>
      <c r="C265" s="167"/>
      <c r="D265" s="167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67"/>
      <c r="C266" s="167"/>
      <c r="D266" s="167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67"/>
      <c r="C267" s="167"/>
      <c r="D267" s="167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67"/>
      <c r="C268" s="167"/>
      <c r="D268" s="167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67"/>
      <c r="C269" s="167"/>
      <c r="D269" s="167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67"/>
      <c r="C270" s="167"/>
      <c r="D270" s="167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67"/>
      <c r="C271" s="167"/>
      <c r="D271" s="167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67"/>
      <c r="C272" s="167"/>
      <c r="D272" s="167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67"/>
      <c r="C273" s="167"/>
      <c r="D273" s="167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67"/>
      <c r="C274" s="167"/>
      <c r="D274" s="167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67"/>
      <c r="C275" s="167"/>
      <c r="D275" s="167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67"/>
      <c r="C276" s="167"/>
      <c r="D276" s="167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67"/>
      <c r="C277" s="167"/>
      <c r="D277" s="167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67"/>
      <c r="C278" s="167"/>
      <c r="D278" s="167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67"/>
      <c r="C279" s="167"/>
      <c r="D279" s="167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67"/>
      <c r="C280" s="167"/>
      <c r="D280" s="167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67"/>
      <c r="C281" s="167"/>
      <c r="D281" s="167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67"/>
      <c r="C282" s="167"/>
      <c r="D282" s="167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67"/>
      <c r="C283" s="167"/>
      <c r="D283" s="167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B32:B35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  <mergeCell ref="D31:E31"/>
    <mergeCell ref="F31:G31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topLeftCell="A7" workbookViewId="0">
      <selection activeCell="H33" sqref="H33:P33"/>
    </sheetView>
  </sheetViews>
  <sheetFormatPr defaultRowHeight="13.5" x14ac:dyDescent="0.3"/>
  <cols>
    <col min="1" max="1" width="1.625" style="167" customWidth="1"/>
    <col min="2" max="2" width="4.625" style="167" bestFit="1" customWidth="1"/>
    <col min="3" max="3" width="7.625" style="167" bestFit="1" customWidth="1"/>
    <col min="4" max="4" width="8" style="167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67" customWidth="1"/>
    <col min="26" max="26" width="8.375" style="167" customWidth="1"/>
    <col min="27" max="27" width="7.25" style="167" customWidth="1"/>
    <col min="28" max="28" width="3.875" style="167" customWidth="1"/>
    <col min="29" max="29" width="0.5" style="167" customWidth="1"/>
    <col min="30" max="257" width="9" style="167"/>
    <col min="258" max="258" width="4.625" style="167" bestFit="1" customWidth="1"/>
    <col min="259" max="259" width="7.5" style="167" bestFit="1" customWidth="1"/>
    <col min="260" max="260" width="6.25" style="167" customWidth="1"/>
    <col min="261" max="261" width="11" style="167" bestFit="1" customWidth="1"/>
    <col min="262" max="263" width="9.625" style="167" bestFit="1" customWidth="1"/>
    <col min="264" max="264" width="8.25" style="167" bestFit="1" customWidth="1"/>
    <col min="265" max="266" width="9.625" style="167" bestFit="1" customWidth="1"/>
    <col min="267" max="267" width="8.25" style="167" bestFit="1" customWidth="1"/>
    <col min="268" max="269" width="9.625" style="167" bestFit="1" customWidth="1"/>
    <col min="270" max="271" width="8.25" style="167" bestFit="1" customWidth="1"/>
    <col min="272" max="272" width="11" style="167" bestFit="1" customWidth="1"/>
    <col min="273" max="273" width="8" style="167" bestFit="1" customWidth="1"/>
    <col min="274" max="274" width="7.75" style="167" bestFit="1" customWidth="1"/>
    <col min="275" max="276" width="9.625" style="167" bestFit="1" customWidth="1"/>
    <col min="277" max="278" width="9.625" style="167" customWidth="1"/>
    <col min="279" max="279" width="9.25" style="167" bestFit="1" customWidth="1"/>
    <col min="280" max="280" width="11" style="167" bestFit="1" customWidth="1"/>
    <col min="281" max="513" width="9" style="167"/>
    <col min="514" max="514" width="4.625" style="167" bestFit="1" customWidth="1"/>
    <col min="515" max="515" width="7.5" style="167" bestFit="1" customWidth="1"/>
    <col min="516" max="516" width="6.25" style="167" customWidth="1"/>
    <col min="517" max="517" width="11" style="167" bestFit="1" customWidth="1"/>
    <col min="518" max="519" width="9.625" style="167" bestFit="1" customWidth="1"/>
    <col min="520" max="520" width="8.25" style="167" bestFit="1" customWidth="1"/>
    <col min="521" max="522" width="9.625" style="167" bestFit="1" customWidth="1"/>
    <col min="523" max="523" width="8.25" style="167" bestFit="1" customWidth="1"/>
    <col min="524" max="525" width="9.625" style="167" bestFit="1" customWidth="1"/>
    <col min="526" max="527" width="8.25" style="167" bestFit="1" customWidth="1"/>
    <col min="528" max="528" width="11" style="167" bestFit="1" customWidth="1"/>
    <col min="529" max="529" width="8" style="167" bestFit="1" customWidth="1"/>
    <col min="530" max="530" width="7.75" style="167" bestFit="1" customWidth="1"/>
    <col min="531" max="532" width="9.625" style="167" bestFit="1" customWidth="1"/>
    <col min="533" max="534" width="9.625" style="167" customWidth="1"/>
    <col min="535" max="535" width="9.25" style="167" bestFit="1" customWidth="1"/>
    <col min="536" max="536" width="11" style="167" bestFit="1" customWidth="1"/>
    <col min="537" max="769" width="9" style="167"/>
    <col min="770" max="770" width="4.625" style="167" bestFit="1" customWidth="1"/>
    <col min="771" max="771" width="7.5" style="167" bestFit="1" customWidth="1"/>
    <col min="772" max="772" width="6.25" style="167" customWidth="1"/>
    <col min="773" max="773" width="11" style="167" bestFit="1" customWidth="1"/>
    <col min="774" max="775" width="9.625" style="167" bestFit="1" customWidth="1"/>
    <col min="776" max="776" width="8.25" style="167" bestFit="1" customWidth="1"/>
    <col min="777" max="778" width="9.625" style="167" bestFit="1" customWidth="1"/>
    <col min="779" max="779" width="8.25" style="167" bestFit="1" customWidth="1"/>
    <col min="780" max="781" width="9.625" style="167" bestFit="1" customWidth="1"/>
    <col min="782" max="783" width="8.25" style="167" bestFit="1" customWidth="1"/>
    <col min="784" max="784" width="11" style="167" bestFit="1" customWidth="1"/>
    <col min="785" max="785" width="8" style="167" bestFit="1" customWidth="1"/>
    <col min="786" max="786" width="7.75" style="167" bestFit="1" customWidth="1"/>
    <col min="787" max="788" width="9.625" style="167" bestFit="1" customWidth="1"/>
    <col min="789" max="790" width="9.625" style="167" customWidth="1"/>
    <col min="791" max="791" width="9.25" style="167" bestFit="1" customWidth="1"/>
    <col min="792" max="792" width="11" style="167" bestFit="1" customWidth="1"/>
    <col min="793" max="1025" width="9" style="167"/>
    <col min="1026" max="1026" width="4.625" style="167" bestFit="1" customWidth="1"/>
    <col min="1027" max="1027" width="7.5" style="167" bestFit="1" customWidth="1"/>
    <col min="1028" max="1028" width="6.25" style="167" customWidth="1"/>
    <col min="1029" max="1029" width="11" style="167" bestFit="1" customWidth="1"/>
    <col min="1030" max="1031" width="9.625" style="167" bestFit="1" customWidth="1"/>
    <col min="1032" max="1032" width="8.25" style="167" bestFit="1" customWidth="1"/>
    <col min="1033" max="1034" width="9.625" style="167" bestFit="1" customWidth="1"/>
    <col min="1035" max="1035" width="8.25" style="167" bestFit="1" customWidth="1"/>
    <col min="1036" max="1037" width="9.625" style="167" bestFit="1" customWidth="1"/>
    <col min="1038" max="1039" width="8.25" style="167" bestFit="1" customWidth="1"/>
    <col min="1040" max="1040" width="11" style="167" bestFit="1" customWidth="1"/>
    <col min="1041" max="1041" width="8" style="167" bestFit="1" customWidth="1"/>
    <col min="1042" max="1042" width="7.75" style="167" bestFit="1" customWidth="1"/>
    <col min="1043" max="1044" width="9.625" style="167" bestFit="1" customWidth="1"/>
    <col min="1045" max="1046" width="9.625" style="167" customWidth="1"/>
    <col min="1047" max="1047" width="9.25" style="167" bestFit="1" customWidth="1"/>
    <col min="1048" max="1048" width="11" style="167" bestFit="1" customWidth="1"/>
    <col min="1049" max="1281" width="9" style="167"/>
    <col min="1282" max="1282" width="4.625" style="167" bestFit="1" customWidth="1"/>
    <col min="1283" max="1283" width="7.5" style="167" bestFit="1" customWidth="1"/>
    <col min="1284" max="1284" width="6.25" style="167" customWidth="1"/>
    <col min="1285" max="1285" width="11" style="167" bestFit="1" customWidth="1"/>
    <col min="1286" max="1287" width="9.625" style="167" bestFit="1" customWidth="1"/>
    <col min="1288" max="1288" width="8.25" style="167" bestFit="1" customWidth="1"/>
    <col min="1289" max="1290" width="9.625" style="167" bestFit="1" customWidth="1"/>
    <col min="1291" max="1291" width="8.25" style="167" bestFit="1" customWidth="1"/>
    <col min="1292" max="1293" width="9.625" style="167" bestFit="1" customWidth="1"/>
    <col min="1294" max="1295" width="8.25" style="167" bestFit="1" customWidth="1"/>
    <col min="1296" max="1296" width="11" style="167" bestFit="1" customWidth="1"/>
    <col min="1297" max="1297" width="8" style="167" bestFit="1" customWidth="1"/>
    <col min="1298" max="1298" width="7.75" style="167" bestFit="1" customWidth="1"/>
    <col min="1299" max="1300" width="9.625" style="167" bestFit="1" customWidth="1"/>
    <col min="1301" max="1302" width="9.625" style="167" customWidth="1"/>
    <col min="1303" max="1303" width="9.25" style="167" bestFit="1" customWidth="1"/>
    <col min="1304" max="1304" width="11" style="167" bestFit="1" customWidth="1"/>
    <col min="1305" max="1537" width="9" style="167"/>
    <col min="1538" max="1538" width="4.625" style="167" bestFit="1" customWidth="1"/>
    <col min="1539" max="1539" width="7.5" style="167" bestFit="1" customWidth="1"/>
    <col min="1540" max="1540" width="6.25" style="167" customWidth="1"/>
    <col min="1541" max="1541" width="11" style="167" bestFit="1" customWidth="1"/>
    <col min="1542" max="1543" width="9.625" style="167" bestFit="1" customWidth="1"/>
    <col min="1544" max="1544" width="8.25" style="167" bestFit="1" customWidth="1"/>
    <col min="1545" max="1546" width="9.625" style="167" bestFit="1" customWidth="1"/>
    <col min="1547" max="1547" width="8.25" style="167" bestFit="1" customWidth="1"/>
    <col min="1548" max="1549" width="9.625" style="167" bestFit="1" customWidth="1"/>
    <col min="1550" max="1551" width="8.25" style="167" bestFit="1" customWidth="1"/>
    <col min="1552" max="1552" width="11" style="167" bestFit="1" customWidth="1"/>
    <col min="1553" max="1553" width="8" style="167" bestFit="1" customWidth="1"/>
    <col min="1554" max="1554" width="7.75" style="167" bestFit="1" customWidth="1"/>
    <col min="1555" max="1556" width="9.625" style="167" bestFit="1" customWidth="1"/>
    <col min="1557" max="1558" width="9.625" style="167" customWidth="1"/>
    <col min="1559" max="1559" width="9.25" style="167" bestFit="1" customWidth="1"/>
    <col min="1560" max="1560" width="11" style="167" bestFit="1" customWidth="1"/>
    <col min="1561" max="1793" width="9" style="167"/>
    <col min="1794" max="1794" width="4.625" style="167" bestFit="1" customWidth="1"/>
    <col min="1795" max="1795" width="7.5" style="167" bestFit="1" customWidth="1"/>
    <col min="1796" max="1796" width="6.25" style="167" customWidth="1"/>
    <col min="1797" max="1797" width="11" style="167" bestFit="1" customWidth="1"/>
    <col min="1798" max="1799" width="9.625" style="167" bestFit="1" customWidth="1"/>
    <col min="1800" max="1800" width="8.25" style="167" bestFit="1" customWidth="1"/>
    <col min="1801" max="1802" width="9.625" style="167" bestFit="1" customWidth="1"/>
    <col min="1803" max="1803" width="8.25" style="167" bestFit="1" customWidth="1"/>
    <col min="1804" max="1805" width="9.625" style="167" bestFit="1" customWidth="1"/>
    <col min="1806" max="1807" width="8.25" style="167" bestFit="1" customWidth="1"/>
    <col min="1808" max="1808" width="11" style="167" bestFit="1" customWidth="1"/>
    <col min="1809" max="1809" width="8" style="167" bestFit="1" customWidth="1"/>
    <col min="1810" max="1810" width="7.75" style="167" bestFit="1" customWidth="1"/>
    <col min="1811" max="1812" width="9.625" style="167" bestFit="1" customWidth="1"/>
    <col min="1813" max="1814" width="9.625" style="167" customWidth="1"/>
    <col min="1815" max="1815" width="9.25" style="167" bestFit="1" customWidth="1"/>
    <col min="1816" max="1816" width="11" style="167" bestFit="1" customWidth="1"/>
    <col min="1817" max="2049" width="9" style="167"/>
    <col min="2050" max="2050" width="4.625" style="167" bestFit="1" customWidth="1"/>
    <col min="2051" max="2051" width="7.5" style="167" bestFit="1" customWidth="1"/>
    <col min="2052" max="2052" width="6.25" style="167" customWidth="1"/>
    <col min="2053" max="2053" width="11" style="167" bestFit="1" customWidth="1"/>
    <col min="2054" max="2055" width="9.625" style="167" bestFit="1" customWidth="1"/>
    <col min="2056" max="2056" width="8.25" style="167" bestFit="1" customWidth="1"/>
    <col min="2057" max="2058" width="9.625" style="167" bestFit="1" customWidth="1"/>
    <col min="2059" max="2059" width="8.25" style="167" bestFit="1" customWidth="1"/>
    <col min="2060" max="2061" width="9.625" style="167" bestFit="1" customWidth="1"/>
    <col min="2062" max="2063" width="8.25" style="167" bestFit="1" customWidth="1"/>
    <col min="2064" max="2064" width="11" style="167" bestFit="1" customWidth="1"/>
    <col min="2065" max="2065" width="8" style="167" bestFit="1" customWidth="1"/>
    <col min="2066" max="2066" width="7.75" style="167" bestFit="1" customWidth="1"/>
    <col min="2067" max="2068" width="9.625" style="167" bestFit="1" customWidth="1"/>
    <col min="2069" max="2070" width="9.625" style="167" customWidth="1"/>
    <col min="2071" max="2071" width="9.25" style="167" bestFit="1" customWidth="1"/>
    <col min="2072" max="2072" width="11" style="167" bestFit="1" customWidth="1"/>
    <col min="2073" max="2305" width="9" style="167"/>
    <col min="2306" max="2306" width="4.625" style="167" bestFit="1" customWidth="1"/>
    <col min="2307" max="2307" width="7.5" style="167" bestFit="1" customWidth="1"/>
    <col min="2308" max="2308" width="6.25" style="167" customWidth="1"/>
    <col min="2309" max="2309" width="11" style="167" bestFit="1" customWidth="1"/>
    <col min="2310" max="2311" width="9.625" style="167" bestFit="1" customWidth="1"/>
    <col min="2312" max="2312" width="8.25" style="167" bestFit="1" customWidth="1"/>
    <col min="2313" max="2314" width="9.625" style="167" bestFit="1" customWidth="1"/>
    <col min="2315" max="2315" width="8.25" style="167" bestFit="1" customWidth="1"/>
    <col min="2316" max="2317" width="9.625" style="167" bestFit="1" customWidth="1"/>
    <col min="2318" max="2319" width="8.25" style="167" bestFit="1" customWidth="1"/>
    <col min="2320" max="2320" width="11" style="167" bestFit="1" customWidth="1"/>
    <col min="2321" max="2321" width="8" style="167" bestFit="1" customWidth="1"/>
    <col min="2322" max="2322" width="7.75" style="167" bestFit="1" customWidth="1"/>
    <col min="2323" max="2324" width="9.625" style="167" bestFit="1" customWidth="1"/>
    <col min="2325" max="2326" width="9.625" style="167" customWidth="1"/>
    <col min="2327" max="2327" width="9.25" style="167" bestFit="1" customWidth="1"/>
    <col min="2328" max="2328" width="11" style="167" bestFit="1" customWidth="1"/>
    <col min="2329" max="2561" width="9" style="167"/>
    <col min="2562" max="2562" width="4.625" style="167" bestFit="1" customWidth="1"/>
    <col min="2563" max="2563" width="7.5" style="167" bestFit="1" customWidth="1"/>
    <col min="2564" max="2564" width="6.25" style="167" customWidth="1"/>
    <col min="2565" max="2565" width="11" style="167" bestFit="1" customWidth="1"/>
    <col min="2566" max="2567" width="9.625" style="167" bestFit="1" customWidth="1"/>
    <col min="2568" max="2568" width="8.25" style="167" bestFit="1" customWidth="1"/>
    <col min="2569" max="2570" width="9.625" style="167" bestFit="1" customWidth="1"/>
    <col min="2571" max="2571" width="8.25" style="167" bestFit="1" customWidth="1"/>
    <col min="2572" max="2573" width="9.625" style="167" bestFit="1" customWidth="1"/>
    <col min="2574" max="2575" width="8.25" style="167" bestFit="1" customWidth="1"/>
    <col min="2576" max="2576" width="11" style="167" bestFit="1" customWidth="1"/>
    <col min="2577" max="2577" width="8" style="167" bestFit="1" customWidth="1"/>
    <col min="2578" max="2578" width="7.75" style="167" bestFit="1" customWidth="1"/>
    <col min="2579" max="2580" width="9.625" style="167" bestFit="1" customWidth="1"/>
    <col min="2581" max="2582" width="9.625" style="167" customWidth="1"/>
    <col min="2583" max="2583" width="9.25" style="167" bestFit="1" customWidth="1"/>
    <col min="2584" max="2584" width="11" style="167" bestFit="1" customWidth="1"/>
    <col min="2585" max="2817" width="9" style="167"/>
    <col min="2818" max="2818" width="4.625" style="167" bestFit="1" customWidth="1"/>
    <col min="2819" max="2819" width="7.5" style="167" bestFit="1" customWidth="1"/>
    <col min="2820" max="2820" width="6.25" style="167" customWidth="1"/>
    <col min="2821" max="2821" width="11" style="167" bestFit="1" customWidth="1"/>
    <col min="2822" max="2823" width="9.625" style="167" bestFit="1" customWidth="1"/>
    <col min="2824" max="2824" width="8.25" style="167" bestFit="1" customWidth="1"/>
    <col min="2825" max="2826" width="9.625" style="167" bestFit="1" customWidth="1"/>
    <col min="2827" max="2827" width="8.25" style="167" bestFit="1" customWidth="1"/>
    <col min="2828" max="2829" width="9.625" style="167" bestFit="1" customWidth="1"/>
    <col min="2830" max="2831" width="8.25" style="167" bestFit="1" customWidth="1"/>
    <col min="2832" max="2832" width="11" style="167" bestFit="1" customWidth="1"/>
    <col min="2833" max="2833" width="8" style="167" bestFit="1" customWidth="1"/>
    <col min="2834" max="2834" width="7.75" style="167" bestFit="1" customWidth="1"/>
    <col min="2835" max="2836" width="9.625" style="167" bestFit="1" customWidth="1"/>
    <col min="2837" max="2838" width="9.625" style="167" customWidth="1"/>
    <col min="2839" max="2839" width="9.25" style="167" bestFit="1" customWidth="1"/>
    <col min="2840" max="2840" width="11" style="167" bestFit="1" customWidth="1"/>
    <col min="2841" max="3073" width="9" style="167"/>
    <col min="3074" max="3074" width="4.625" style="167" bestFit="1" customWidth="1"/>
    <col min="3075" max="3075" width="7.5" style="167" bestFit="1" customWidth="1"/>
    <col min="3076" max="3076" width="6.25" style="167" customWidth="1"/>
    <col min="3077" max="3077" width="11" style="167" bestFit="1" customWidth="1"/>
    <col min="3078" max="3079" width="9.625" style="167" bestFit="1" customWidth="1"/>
    <col min="3080" max="3080" width="8.25" style="167" bestFit="1" customWidth="1"/>
    <col min="3081" max="3082" width="9.625" style="167" bestFit="1" customWidth="1"/>
    <col min="3083" max="3083" width="8.25" style="167" bestFit="1" customWidth="1"/>
    <col min="3084" max="3085" width="9.625" style="167" bestFit="1" customWidth="1"/>
    <col min="3086" max="3087" width="8.25" style="167" bestFit="1" customWidth="1"/>
    <col min="3088" max="3088" width="11" style="167" bestFit="1" customWidth="1"/>
    <col min="3089" max="3089" width="8" style="167" bestFit="1" customWidth="1"/>
    <col min="3090" max="3090" width="7.75" style="167" bestFit="1" customWidth="1"/>
    <col min="3091" max="3092" width="9.625" style="167" bestFit="1" customWidth="1"/>
    <col min="3093" max="3094" width="9.625" style="167" customWidth="1"/>
    <col min="3095" max="3095" width="9.25" style="167" bestFit="1" customWidth="1"/>
    <col min="3096" max="3096" width="11" style="167" bestFit="1" customWidth="1"/>
    <col min="3097" max="3329" width="9" style="167"/>
    <col min="3330" max="3330" width="4.625" style="167" bestFit="1" customWidth="1"/>
    <col min="3331" max="3331" width="7.5" style="167" bestFit="1" customWidth="1"/>
    <col min="3332" max="3332" width="6.25" style="167" customWidth="1"/>
    <col min="3333" max="3333" width="11" style="167" bestFit="1" customWidth="1"/>
    <col min="3334" max="3335" width="9.625" style="167" bestFit="1" customWidth="1"/>
    <col min="3336" max="3336" width="8.25" style="167" bestFit="1" customWidth="1"/>
    <col min="3337" max="3338" width="9.625" style="167" bestFit="1" customWidth="1"/>
    <col min="3339" max="3339" width="8.25" style="167" bestFit="1" customWidth="1"/>
    <col min="3340" max="3341" width="9.625" style="167" bestFit="1" customWidth="1"/>
    <col min="3342" max="3343" width="8.25" style="167" bestFit="1" customWidth="1"/>
    <col min="3344" max="3344" width="11" style="167" bestFit="1" customWidth="1"/>
    <col min="3345" max="3345" width="8" style="167" bestFit="1" customWidth="1"/>
    <col min="3346" max="3346" width="7.75" style="167" bestFit="1" customWidth="1"/>
    <col min="3347" max="3348" width="9.625" style="167" bestFit="1" customWidth="1"/>
    <col min="3349" max="3350" width="9.625" style="167" customWidth="1"/>
    <col min="3351" max="3351" width="9.25" style="167" bestFit="1" customWidth="1"/>
    <col min="3352" max="3352" width="11" style="167" bestFit="1" customWidth="1"/>
    <col min="3353" max="3585" width="9" style="167"/>
    <col min="3586" max="3586" width="4.625" style="167" bestFit="1" customWidth="1"/>
    <col min="3587" max="3587" width="7.5" style="167" bestFit="1" customWidth="1"/>
    <col min="3588" max="3588" width="6.25" style="167" customWidth="1"/>
    <col min="3589" max="3589" width="11" style="167" bestFit="1" customWidth="1"/>
    <col min="3590" max="3591" width="9.625" style="167" bestFit="1" customWidth="1"/>
    <col min="3592" max="3592" width="8.25" style="167" bestFit="1" customWidth="1"/>
    <col min="3593" max="3594" width="9.625" style="167" bestFit="1" customWidth="1"/>
    <col min="3595" max="3595" width="8.25" style="167" bestFit="1" customWidth="1"/>
    <col min="3596" max="3597" width="9.625" style="167" bestFit="1" customWidth="1"/>
    <col min="3598" max="3599" width="8.25" style="167" bestFit="1" customWidth="1"/>
    <col min="3600" max="3600" width="11" style="167" bestFit="1" customWidth="1"/>
    <col min="3601" max="3601" width="8" style="167" bestFit="1" customWidth="1"/>
    <col min="3602" max="3602" width="7.75" style="167" bestFit="1" customWidth="1"/>
    <col min="3603" max="3604" width="9.625" style="167" bestFit="1" customWidth="1"/>
    <col min="3605" max="3606" width="9.625" style="167" customWidth="1"/>
    <col min="3607" max="3607" width="9.25" style="167" bestFit="1" customWidth="1"/>
    <col min="3608" max="3608" width="11" style="167" bestFit="1" customWidth="1"/>
    <col min="3609" max="3841" width="9" style="167"/>
    <col min="3842" max="3842" width="4.625" style="167" bestFit="1" customWidth="1"/>
    <col min="3843" max="3843" width="7.5" style="167" bestFit="1" customWidth="1"/>
    <col min="3844" max="3844" width="6.25" style="167" customWidth="1"/>
    <col min="3845" max="3845" width="11" style="167" bestFit="1" customWidth="1"/>
    <col min="3846" max="3847" width="9.625" style="167" bestFit="1" customWidth="1"/>
    <col min="3848" max="3848" width="8.25" style="167" bestFit="1" customWidth="1"/>
    <col min="3849" max="3850" width="9.625" style="167" bestFit="1" customWidth="1"/>
    <col min="3851" max="3851" width="8.25" style="167" bestFit="1" customWidth="1"/>
    <col min="3852" max="3853" width="9.625" style="167" bestFit="1" customWidth="1"/>
    <col min="3854" max="3855" width="8.25" style="167" bestFit="1" customWidth="1"/>
    <col min="3856" max="3856" width="11" style="167" bestFit="1" customWidth="1"/>
    <col min="3857" max="3857" width="8" style="167" bestFit="1" customWidth="1"/>
    <col min="3858" max="3858" width="7.75" style="167" bestFit="1" customWidth="1"/>
    <col min="3859" max="3860" width="9.625" style="167" bestFit="1" customWidth="1"/>
    <col min="3861" max="3862" width="9.625" style="167" customWidth="1"/>
    <col min="3863" max="3863" width="9.25" style="167" bestFit="1" customWidth="1"/>
    <col min="3864" max="3864" width="11" style="167" bestFit="1" customWidth="1"/>
    <col min="3865" max="4097" width="9" style="167"/>
    <col min="4098" max="4098" width="4.625" style="167" bestFit="1" customWidth="1"/>
    <col min="4099" max="4099" width="7.5" style="167" bestFit="1" customWidth="1"/>
    <col min="4100" max="4100" width="6.25" style="167" customWidth="1"/>
    <col min="4101" max="4101" width="11" style="167" bestFit="1" customWidth="1"/>
    <col min="4102" max="4103" width="9.625" style="167" bestFit="1" customWidth="1"/>
    <col min="4104" max="4104" width="8.25" style="167" bestFit="1" customWidth="1"/>
    <col min="4105" max="4106" width="9.625" style="167" bestFit="1" customWidth="1"/>
    <col min="4107" max="4107" width="8.25" style="167" bestFit="1" customWidth="1"/>
    <col min="4108" max="4109" width="9.625" style="167" bestFit="1" customWidth="1"/>
    <col min="4110" max="4111" width="8.25" style="167" bestFit="1" customWidth="1"/>
    <col min="4112" max="4112" width="11" style="167" bestFit="1" customWidth="1"/>
    <col min="4113" max="4113" width="8" style="167" bestFit="1" customWidth="1"/>
    <col min="4114" max="4114" width="7.75" style="167" bestFit="1" customWidth="1"/>
    <col min="4115" max="4116" width="9.625" style="167" bestFit="1" customWidth="1"/>
    <col min="4117" max="4118" width="9.625" style="167" customWidth="1"/>
    <col min="4119" max="4119" width="9.25" style="167" bestFit="1" customWidth="1"/>
    <col min="4120" max="4120" width="11" style="167" bestFit="1" customWidth="1"/>
    <col min="4121" max="4353" width="9" style="167"/>
    <col min="4354" max="4354" width="4.625" style="167" bestFit="1" customWidth="1"/>
    <col min="4355" max="4355" width="7.5" style="167" bestFit="1" customWidth="1"/>
    <col min="4356" max="4356" width="6.25" style="167" customWidth="1"/>
    <col min="4357" max="4357" width="11" style="167" bestFit="1" customWidth="1"/>
    <col min="4358" max="4359" width="9.625" style="167" bestFit="1" customWidth="1"/>
    <col min="4360" max="4360" width="8.25" style="167" bestFit="1" customWidth="1"/>
    <col min="4361" max="4362" width="9.625" style="167" bestFit="1" customWidth="1"/>
    <col min="4363" max="4363" width="8.25" style="167" bestFit="1" customWidth="1"/>
    <col min="4364" max="4365" width="9.625" style="167" bestFit="1" customWidth="1"/>
    <col min="4366" max="4367" width="8.25" style="167" bestFit="1" customWidth="1"/>
    <col min="4368" max="4368" width="11" style="167" bestFit="1" customWidth="1"/>
    <col min="4369" max="4369" width="8" style="167" bestFit="1" customWidth="1"/>
    <col min="4370" max="4370" width="7.75" style="167" bestFit="1" customWidth="1"/>
    <col min="4371" max="4372" width="9.625" style="167" bestFit="1" customWidth="1"/>
    <col min="4373" max="4374" width="9.625" style="167" customWidth="1"/>
    <col min="4375" max="4375" width="9.25" style="167" bestFit="1" customWidth="1"/>
    <col min="4376" max="4376" width="11" style="167" bestFit="1" customWidth="1"/>
    <col min="4377" max="4609" width="9" style="167"/>
    <col min="4610" max="4610" width="4.625" style="167" bestFit="1" customWidth="1"/>
    <col min="4611" max="4611" width="7.5" style="167" bestFit="1" customWidth="1"/>
    <col min="4612" max="4612" width="6.25" style="167" customWidth="1"/>
    <col min="4613" max="4613" width="11" style="167" bestFit="1" customWidth="1"/>
    <col min="4614" max="4615" width="9.625" style="167" bestFit="1" customWidth="1"/>
    <col min="4616" max="4616" width="8.25" style="167" bestFit="1" customWidth="1"/>
    <col min="4617" max="4618" width="9.625" style="167" bestFit="1" customWidth="1"/>
    <col min="4619" max="4619" width="8.25" style="167" bestFit="1" customWidth="1"/>
    <col min="4620" max="4621" width="9.625" style="167" bestFit="1" customWidth="1"/>
    <col min="4622" max="4623" width="8.25" style="167" bestFit="1" customWidth="1"/>
    <col min="4624" max="4624" width="11" style="167" bestFit="1" customWidth="1"/>
    <col min="4625" max="4625" width="8" style="167" bestFit="1" customWidth="1"/>
    <col min="4626" max="4626" width="7.75" style="167" bestFit="1" customWidth="1"/>
    <col min="4627" max="4628" width="9.625" style="167" bestFit="1" customWidth="1"/>
    <col min="4629" max="4630" width="9.625" style="167" customWidth="1"/>
    <col min="4631" max="4631" width="9.25" style="167" bestFit="1" customWidth="1"/>
    <col min="4632" max="4632" width="11" style="167" bestFit="1" customWidth="1"/>
    <col min="4633" max="4865" width="9" style="167"/>
    <col min="4866" max="4866" width="4.625" style="167" bestFit="1" customWidth="1"/>
    <col min="4867" max="4867" width="7.5" style="167" bestFit="1" customWidth="1"/>
    <col min="4868" max="4868" width="6.25" style="167" customWidth="1"/>
    <col min="4869" max="4869" width="11" style="167" bestFit="1" customWidth="1"/>
    <col min="4870" max="4871" width="9.625" style="167" bestFit="1" customWidth="1"/>
    <col min="4872" max="4872" width="8.25" style="167" bestFit="1" customWidth="1"/>
    <col min="4873" max="4874" width="9.625" style="167" bestFit="1" customWidth="1"/>
    <col min="4875" max="4875" width="8.25" style="167" bestFit="1" customWidth="1"/>
    <col min="4876" max="4877" width="9.625" style="167" bestFit="1" customWidth="1"/>
    <col min="4878" max="4879" width="8.25" style="167" bestFit="1" customWidth="1"/>
    <col min="4880" max="4880" width="11" style="167" bestFit="1" customWidth="1"/>
    <col min="4881" max="4881" width="8" style="167" bestFit="1" customWidth="1"/>
    <col min="4882" max="4882" width="7.75" style="167" bestFit="1" customWidth="1"/>
    <col min="4883" max="4884" width="9.625" style="167" bestFit="1" customWidth="1"/>
    <col min="4885" max="4886" width="9.625" style="167" customWidth="1"/>
    <col min="4887" max="4887" width="9.25" style="167" bestFit="1" customWidth="1"/>
    <col min="4888" max="4888" width="11" style="167" bestFit="1" customWidth="1"/>
    <col min="4889" max="5121" width="9" style="167"/>
    <col min="5122" max="5122" width="4.625" style="167" bestFit="1" customWidth="1"/>
    <col min="5123" max="5123" width="7.5" style="167" bestFit="1" customWidth="1"/>
    <col min="5124" max="5124" width="6.25" style="167" customWidth="1"/>
    <col min="5125" max="5125" width="11" style="167" bestFit="1" customWidth="1"/>
    <col min="5126" max="5127" width="9.625" style="167" bestFit="1" customWidth="1"/>
    <col min="5128" max="5128" width="8.25" style="167" bestFit="1" customWidth="1"/>
    <col min="5129" max="5130" width="9.625" style="167" bestFit="1" customWidth="1"/>
    <col min="5131" max="5131" width="8.25" style="167" bestFit="1" customWidth="1"/>
    <col min="5132" max="5133" width="9.625" style="167" bestFit="1" customWidth="1"/>
    <col min="5134" max="5135" width="8.25" style="167" bestFit="1" customWidth="1"/>
    <col min="5136" max="5136" width="11" style="167" bestFit="1" customWidth="1"/>
    <col min="5137" max="5137" width="8" style="167" bestFit="1" customWidth="1"/>
    <col min="5138" max="5138" width="7.75" style="167" bestFit="1" customWidth="1"/>
    <col min="5139" max="5140" width="9.625" style="167" bestFit="1" customWidth="1"/>
    <col min="5141" max="5142" width="9.625" style="167" customWidth="1"/>
    <col min="5143" max="5143" width="9.25" style="167" bestFit="1" customWidth="1"/>
    <col min="5144" max="5144" width="11" style="167" bestFit="1" customWidth="1"/>
    <col min="5145" max="5377" width="9" style="167"/>
    <col min="5378" max="5378" width="4.625" style="167" bestFit="1" customWidth="1"/>
    <col min="5379" max="5379" width="7.5" style="167" bestFit="1" customWidth="1"/>
    <col min="5380" max="5380" width="6.25" style="167" customWidth="1"/>
    <col min="5381" max="5381" width="11" style="167" bestFit="1" customWidth="1"/>
    <col min="5382" max="5383" width="9.625" style="167" bestFit="1" customWidth="1"/>
    <col min="5384" max="5384" width="8.25" style="167" bestFit="1" customWidth="1"/>
    <col min="5385" max="5386" width="9.625" style="167" bestFit="1" customWidth="1"/>
    <col min="5387" max="5387" width="8.25" style="167" bestFit="1" customWidth="1"/>
    <col min="5388" max="5389" width="9.625" style="167" bestFit="1" customWidth="1"/>
    <col min="5390" max="5391" width="8.25" style="167" bestFit="1" customWidth="1"/>
    <col min="5392" max="5392" width="11" style="167" bestFit="1" customWidth="1"/>
    <col min="5393" max="5393" width="8" style="167" bestFit="1" customWidth="1"/>
    <col min="5394" max="5394" width="7.75" style="167" bestFit="1" customWidth="1"/>
    <col min="5395" max="5396" width="9.625" style="167" bestFit="1" customWidth="1"/>
    <col min="5397" max="5398" width="9.625" style="167" customWidth="1"/>
    <col min="5399" max="5399" width="9.25" style="167" bestFit="1" customWidth="1"/>
    <col min="5400" max="5400" width="11" style="167" bestFit="1" customWidth="1"/>
    <col min="5401" max="5633" width="9" style="167"/>
    <col min="5634" max="5634" width="4.625" style="167" bestFit="1" customWidth="1"/>
    <col min="5635" max="5635" width="7.5" style="167" bestFit="1" customWidth="1"/>
    <col min="5636" max="5636" width="6.25" style="167" customWidth="1"/>
    <col min="5637" max="5637" width="11" style="167" bestFit="1" customWidth="1"/>
    <col min="5638" max="5639" width="9.625" style="167" bestFit="1" customWidth="1"/>
    <col min="5640" max="5640" width="8.25" style="167" bestFit="1" customWidth="1"/>
    <col min="5641" max="5642" width="9.625" style="167" bestFit="1" customWidth="1"/>
    <col min="5643" max="5643" width="8.25" style="167" bestFit="1" customWidth="1"/>
    <col min="5644" max="5645" width="9.625" style="167" bestFit="1" customWidth="1"/>
    <col min="5646" max="5647" width="8.25" style="167" bestFit="1" customWidth="1"/>
    <col min="5648" max="5648" width="11" style="167" bestFit="1" customWidth="1"/>
    <col min="5649" max="5649" width="8" style="167" bestFit="1" customWidth="1"/>
    <col min="5650" max="5650" width="7.75" style="167" bestFit="1" customWidth="1"/>
    <col min="5651" max="5652" width="9.625" style="167" bestFit="1" customWidth="1"/>
    <col min="5653" max="5654" width="9.625" style="167" customWidth="1"/>
    <col min="5655" max="5655" width="9.25" style="167" bestFit="1" customWidth="1"/>
    <col min="5656" max="5656" width="11" style="167" bestFit="1" customWidth="1"/>
    <col min="5657" max="5889" width="9" style="167"/>
    <col min="5890" max="5890" width="4.625" style="167" bestFit="1" customWidth="1"/>
    <col min="5891" max="5891" width="7.5" style="167" bestFit="1" customWidth="1"/>
    <col min="5892" max="5892" width="6.25" style="167" customWidth="1"/>
    <col min="5893" max="5893" width="11" style="167" bestFit="1" customWidth="1"/>
    <col min="5894" max="5895" width="9.625" style="167" bestFit="1" customWidth="1"/>
    <col min="5896" max="5896" width="8.25" style="167" bestFit="1" customWidth="1"/>
    <col min="5897" max="5898" width="9.625" style="167" bestFit="1" customWidth="1"/>
    <col min="5899" max="5899" width="8.25" style="167" bestFit="1" customWidth="1"/>
    <col min="5900" max="5901" width="9.625" style="167" bestFit="1" customWidth="1"/>
    <col min="5902" max="5903" width="8.25" style="167" bestFit="1" customWidth="1"/>
    <col min="5904" max="5904" width="11" style="167" bestFit="1" customWidth="1"/>
    <col min="5905" max="5905" width="8" style="167" bestFit="1" customWidth="1"/>
    <col min="5906" max="5906" width="7.75" style="167" bestFit="1" customWidth="1"/>
    <col min="5907" max="5908" width="9.625" style="167" bestFit="1" customWidth="1"/>
    <col min="5909" max="5910" width="9.625" style="167" customWidth="1"/>
    <col min="5911" max="5911" width="9.25" style="167" bestFit="1" customWidth="1"/>
    <col min="5912" max="5912" width="11" style="167" bestFit="1" customWidth="1"/>
    <col min="5913" max="6145" width="9" style="167"/>
    <col min="6146" max="6146" width="4.625" style="167" bestFit="1" customWidth="1"/>
    <col min="6147" max="6147" width="7.5" style="167" bestFit="1" customWidth="1"/>
    <col min="6148" max="6148" width="6.25" style="167" customWidth="1"/>
    <col min="6149" max="6149" width="11" style="167" bestFit="1" customWidth="1"/>
    <col min="6150" max="6151" width="9.625" style="167" bestFit="1" customWidth="1"/>
    <col min="6152" max="6152" width="8.25" style="167" bestFit="1" customWidth="1"/>
    <col min="6153" max="6154" width="9.625" style="167" bestFit="1" customWidth="1"/>
    <col min="6155" max="6155" width="8.25" style="167" bestFit="1" customWidth="1"/>
    <col min="6156" max="6157" width="9.625" style="167" bestFit="1" customWidth="1"/>
    <col min="6158" max="6159" width="8.25" style="167" bestFit="1" customWidth="1"/>
    <col min="6160" max="6160" width="11" style="167" bestFit="1" customWidth="1"/>
    <col min="6161" max="6161" width="8" style="167" bestFit="1" customWidth="1"/>
    <col min="6162" max="6162" width="7.75" style="167" bestFit="1" customWidth="1"/>
    <col min="6163" max="6164" width="9.625" style="167" bestFit="1" customWidth="1"/>
    <col min="6165" max="6166" width="9.625" style="167" customWidth="1"/>
    <col min="6167" max="6167" width="9.25" style="167" bestFit="1" customWidth="1"/>
    <col min="6168" max="6168" width="11" style="167" bestFit="1" customWidth="1"/>
    <col min="6169" max="6401" width="9" style="167"/>
    <col min="6402" max="6402" width="4.625" style="167" bestFit="1" customWidth="1"/>
    <col min="6403" max="6403" width="7.5" style="167" bestFit="1" customWidth="1"/>
    <col min="6404" max="6404" width="6.25" style="167" customWidth="1"/>
    <col min="6405" max="6405" width="11" style="167" bestFit="1" customWidth="1"/>
    <col min="6406" max="6407" width="9.625" style="167" bestFit="1" customWidth="1"/>
    <col min="6408" max="6408" width="8.25" style="167" bestFit="1" customWidth="1"/>
    <col min="6409" max="6410" width="9.625" style="167" bestFit="1" customWidth="1"/>
    <col min="6411" max="6411" width="8.25" style="167" bestFit="1" customWidth="1"/>
    <col min="6412" max="6413" width="9.625" style="167" bestFit="1" customWidth="1"/>
    <col min="6414" max="6415" width="8.25" style="167" bestFit="1" customWidth="1"/>
    <col min="6416" max="6416" width="11" style="167" bestFit="1" customWidth="1"/>
    <col min="6417" max="6417" width="8" style="167" bestFit="1" customWidth="1"/>
    <col min="6418" max="6418" width="7.75" style="167" bestFit="1" customWidth="1"/>
    <col min="6419" max="6420" width="9.625" style="167" bestFit="1" customWidth="1"/>
    <col min="6421" max="6422" width="9.625" style="167" customWidth="1"/>
    <col min="6423" max="6423" width="9.25" style="167" bestFit="1" customWidth="1"/>
    <col min="6424" max="6424" width="11" style="167" bestFit="1" customWidth="1"/>
    <col min="6425" max="6657" width="9" style="167"/>
    <col min="6658" max="6658" width="4.625" style="167" bestFit="1" customWidth="1"/>
    <col min="6659" max="6659" width="7.5" style="167" bestFit="1" customWidth="1"/>
    <col min="6660" max="6660" width="6.25" style="167" customWidth="1"/>
    <col min="6661" max="6661" width="11" style="167" bestFit="1" customWidth="1"/>
    <col min="6662" max="6663" width="9.625" style="167" bestFit="1" customWidth="1"/>
    <col min="6664" max="6664" width="8.25" style="167" bestFit="1" customWidth="1"/>
    <col min="6665" max="6666" width="9.625" style="167" bestFit="1" customWidth="1"/>
    <col min="6667" max="6667" width="8.25" style="167" bestFit="1" customWidth="1"/>
    <col min="6668" max="6669" width="9.625" style="167" bestFit="1" customWidth="1"/>
    <col min="6670" max="6671" width="8.25" style="167" bestFit="1" customWidth="1"/>
    <col min="6672" max="6672" width="11" style="167" bestFit="1" customWidth="1"/>
    <col min="6673" max="6673" width="8" style="167" bestFit="1" customWidth="1"/>
    <col min="6674" max="6674" width="7.75" style="167" bestFit="1" customWidth="1"/>
    <col min="6675" max="6676" width="9.625" style="167" bestFit="1" customWidth="1"/>
    <col min="6677" max="6678" width="9.625" style="167" customWidth="1"/>
    <col min="6679" max="6679" width="9.25" style="167" bestFit="1" customWidth="1"/>
    <col min="6680" max="6680" width="11" style="167" bestFit="1" customWidth="1"/>
    <col min="6681" max="6913" width="9" style="167"/>
    <col min="6914" max="6914" width="4.625" style="167" bestFit="1" customWidth="1"/>
    <col min="6915" max="6915" width="7.5" style="167" bestFit="1" customWidth="1"/>
    <col min="6916" max="6916" width="6.25" style="167" customWidth="1"/>
    <col min="6917" max="6917" width="11" style="167" bestFit="1" customWidth="1"/>
    <col min="6918" max="6919" width="9.625" style="167" bestFit="1" customWidth="1"/>
    <col min="6920" max="6920" width="8.25" style="167" bestFit="1" customWidth="1"/>
    <col min="6921" max="6922" width="9.625" style="167" bestFit="1" customWidth="1"/>
    <col min="6923" max="6923" width="8.25" style="167" bestFit="1" customWidth="1"/>
    <col min="6924" max="6925" width="9.625" style="167" bestFit="1" customWidth="1"/>
    <col min="6926" max="6927" width="8.25" style="167" bestFit="1" customWidth="1"/>
    <col min="6928" max="6928" width="11" style="167" bestFit="1" customWidth="1"/>
    <col min="6929" max="6929" width="8" style="167" bestFit="1" customWidth="1"/>
    <col min="6930" max="6930" width="7.75" style="167" bestFit="1" customWidth="1"/>
    <col min="6931" max="6932" width="9.625" style="167" bestFit="1" customWidth="1"/>
    <col min="6933" max="6934" width="9.625" style="167" customWidth="1"/>
    <col min="6935" max="6935" width="9.25" style="167" bestFit="1" customWidth="1"/>
    <col min="6936" max="6936" width="11" style="167" bestFit="1" customWidth="1"/>
    <col min="6937" max="7169" width="9" style="167"/>
    <col min="7170" max="7170" width="4.625" style="167" bestFit="1" customWidth="1"/>
    <col min="7171" max="7171" width="7.5" style="167" bestFit="1" customWidth="1"/>
    <col min="7172" max="7172" width="6.25" style="167" customWidth="1"/>
    <col min="7173" max="7173" width="11" style="167" bestFit="1" customWidth="1"/>
    <col min="7174" max="7175" width="9.625" style="167" bestFit="1" customWidth="1"/>
    <col min="7176" max="7176" width="8.25" style="167" bestFit="1" customWidth="1"/>
    <col min="7177" max="7178" width="9.625" style="167" bestFit="1" customWidth="1"/>
    <col min="7179" max="7179" width="8.25" style="167" bestFit="1" customWidth="1"/>
    <col min="7180" max="7181" width="9.625" style="167" bestFit="1" customWidth="1"/>
    <col min="7182" max="7183" width="8.25" style="167" bestFit="1" customWidth="1"/>
    <col min="7184" max="7184" width="11" style="167" bestFit="1" customWidth="1"/>
    <col min="7185" max="7185" width="8" style="167" bestFit="1" customWidth="1"/>
    <col min="7186" max="7186" width="7.75" style="167" bestFit="1" customWidth="1"/>
    <col min="7187" max="7188" width="9.625" style="167" bestFit="1" customWidth="1"/>
    <col min="7189" max="7190" width="9.625" style="167" customWidth="1"/>
    <col min="7191" max="7191" width="9.25" style="167" bestFit="1" customWidth="1"/>
    <col min="7192" max="7192" width="11" style="167" bestFit="1" customWidth="1"/>
    <col min="7193" max="7425" width="9" style="167"/>
    <col min="7426" max="7426" width="4.625" style="167" bestFit="1" customWidth="1"/>
    <col min="7427" max="7427" width="7.5" style="167" bestFit="1" customWidth="1"/>
    <col min="7428" max="7428" width="6.25" style="167" customWidth="1"/>
    <col min="7429" max="7429" width="11" style="167" bestFit="1" customWidth="1"/>
    <col min="7430" max="7431" width="9.625" style="167" bestFit="1" customWidth="1"/>
    <col min="7432" max="7432" width="8.25" style="167" bestFit="1" customWidth="1"/>
    <col min="7433" max="7434" width="9.625" style="167" bestFit="1" customWidth="1"/>
    <col min="7435" max="7435" width="8.25" style="167" bestFit="1" customWidth="1"/>
    <col min="7436" max="7437" width="9.625" style="167" bestFit="1" customWidth="1"/>
    <col min="7438" max="7439" width="8.25" style="167" bestFit="1" customWidth="1"/>
    <col min="7440" max="7440" width="11" style="167" bestFit="1" customWidth="1"/>
    <col min="7441" max="7441" width="8" style="167" bestFit="1" customWidth="1"/>
    <col min="7442" max="7442" width="7.75" style="167" bestFit="1" customWidth="1"/>
    <col min="7443" max="7444" width="9.625" style="167" bestFit="1" customWidth="1"/>
    <col min="7445" max="7446" width="9.625" style="167" customWidth="1"/>
    <col min="7447" max="7447" width="9.25" style="167" bestFit="1" customWidth="1"/>
    <col min="7448" max="7448" width="11" style="167" bestFit="1" customWidth="1"/>
    <col min="7449" max="7681" width="9" style="167"/>
    <col min="7682" max="7682" width="4.625" style="167" bestFit="1" customWidth="1"/>
    <col min="7683" max="7683" width="7.5" style="167" bestFit="1" customWidth="1"/>
    <col min="7684" max="7684" width="6.25" style="167" customWidth="1"/>
    <col min="7685" max="7685" width="11" style="167" bestFit="1" customWidth="1"/>
    <col min="7686" max="7687" width="9.625" style="167" bestFit="1" customWidth="1"/>
    <col min="7688" max="7688" width="8.25" style="167" bestFit="1" customWidth="1"/>
    <col min="7689" max="7690" width="9.625" style="167" bestFit="1" customWidth="1"/>
    <col min="7691" max="7691" width="8.25" style="167" bestFit="1" customWidth="1"/>
    <col min="7692" max="7693" width="9.625" style="167" bestFit="1" customWidth="1"/>
    <col min="7694" max="7695" width="8.25" style="167" bestFit="1" customWidth="1"/>
    <col min="7696" max="7696" width="11" style="167" bestFit="1" customWidth="1"/>
    <col min="7697" max="7697" width="8" style="167" bestFit="1" customWidth="1"/>
    <col min="7698" max="7698" width="7.75" style="167" bestFit="1" customWidth="1"/>
    <col min="7699" max="7700" width="9.625" style="167" bestFit="1" customWidth="1"/>
    <col min="7701" max="7702" width="9.625" style="167" customWidth="1"/>
    <col min="7703" max="7703" width="9.25" style="167" bestFit="1" customWidth="1"/>
    <col min="7704" max="7704" width="11" style="167" bestFit="1" customWidth="1"/>
    <col min="7705" max="7937" width="9" style="167"/>
    <col min="7938" max="7938" width="4.625" style="167" bestFit="1" customWidth="1"/>
    <col min="7939" max="7939" width="7.5" style="167" bestFit="1" customWidth="1"/>
    <col min="7940" max="7940" width="6.25" style="167" customWidth="1"/>
    <col min="7941" max="7941" width="11" style="167" bestFit="1" customWidth="1"/>
    <col min="7942" max="7943" width="9.625" style="167" bestFit="1" customWidth="1"/>
    <col min="7944" max="7944" width="8.25" style="167" bestFit="1" customWidth="1"/>
    <col min="7945" max="7946" width="9.625" style="167" bestFit="1" customWidth="1"/>
    <col min="7947" max="7947" width="8.25" style="167" bestFit="1" customWidth="1"/>
    <col min="7948" max="7949" width="9.625" style="167" bestFit="1" customWidth="1"/>
    <col min="7950" max="7951" width="8.25" style="167" bestFit="1" customWidth="1"/>
    <col min="7952" max="7952" width="11" style="167" bestFit="1" customWidth="1"/>
    <col min="7953" max="7953" width="8" style="167" bestFit="1" customWidth="1"/>
    <col min="7954" max="7954" width="7.75" style="167" bestFit="1" customWidth="1"/>
    <col min="7955" max="7956" width="9.625" style="167" bestFit="1" customWidth="1"/>
    <col min="7957" max="7958" width="9.625" style="167" customWidth="1"/>
    <col min="7959" max="7959" width="9.25" style="167" bestFit="1" customWidth="1"/>
    <col min="7960" max="7960" width="11" style="167" bestFit="1" customWidth="1"/>
    <col min="7961" max="8193" width="9" style="167"/>
    <col min="8194" max="8194" width="4.625" style="167" bestFit="1" customWidth="1"/>
    <col min="8195" max="8195" width="7.5" style="167" bestFit="1" customWidth="1"/>
    <col min="8196" max="8196" width="6.25" style="167" customWidth="1"/>
    <col min="8197" max="8197" width="11" style="167" bestFit="1" customWidth="1"/>
    <col min="8198" max="8199" width="9.625" style="167" bestFit="1" customWidth="1"/>
    <col min="8200" max="8200" width="8.25" style="167" bestFit="1" customWidth="1"/>
    <col min="8201" max="8202" width="9.625" style="167" bestFit="1" customWidth="1"/>
    <col min="8203" max="8203" width="8.25" style="167" bestFit="1" customWidth="1"/>
    <col min="8204" max="8205" width="9.625" style="167" bestFit="1" customWidth="1"/>
    <col min="8206" max="8207" width="8.25" style="167" bestFit="1" customWidth="1"/>
    <col min="8208" max="8208" width="11" style="167" bestFit="1" customWidth="1"/>
    <col min="8209" max="8209" width="8" style="167" bestFit="1" customWidth="1"/>
    <col min="8210" max="8210" width="7.75" style="167" bestFit="1" customWidth="1"/>
    <col min="8211" max="8212" width="9.625" style="167" bestFit="1" customWidth="1"/>
    <col min="8213" max="8214" width="9.625" style="167" customWidth="1"/>
    <col min="8215" max="8215" width="9.25" style="167" bestFit="1" customWidth="1"/>
    <col min="8216" max="8216" width="11" style="167" bestFit="1" customWidth="1"/>
    <col min="8217" max="8449" width="9" style="167"/>
    <col min="8450" max="8450" width="4.625" style="167" bestFit="1" customWidth="1"/>
    <col min="8451" max="8451" width="7.5" style="167" bestFit="1" customWidth="1"/>
    <col min="8452" max="8452" width="6.25" style="167" customWidth="1"/>
    <col min="8453" max="8453" width="11" style="167" bestFit="1" customWidth="1"/>
    <col min="8454" max="8455" width="9.625" style="167" bestFit="1" customWidth="1"/>
    <col min="8456" max="8456" width="8.25" style="167" bestFit="1" customWidth="1"/>
    <col min="8457" max="8458" width="9.625" style="167" bestFit="1" customWidth="1"/>
    <col min="8459" max="8459" width="8.25" style="167" bestFit="1" customWidth="1"/>
    <col min="8460" max="8461" width="9.625" style="167" bestFit="1" customWidth="1"/>
    <col min="8462" max="8463" width="8.25" style="167" bestFit="1" customWidth="1"/>
    <col min="8464" max="8464" width="11" style="167" bestFit="1" customWidth="1"/>
    <col min="8465" max="8465" width="8" style="167" bestFit="1" customWidth="1"/>
    <col min="8466" max="8466" width="7.75" style="167" bestFit="1" customWidth="1"/>
    <col min="8467" max="8468" width="9.625" style="167" bestFit="1" customWidth="1"/>
    <col min="8469" max="8470" width="9.625" style="167" customWidth="1"/>
    <col min="8471" max="8471" width="9.25" style="167" bestFit="1" customWidth="1"/>
    <col min="8472" max="8472" width="11" style="167" bestFit="1" customWidth="1"/>
    <col min="8473" max="8705" width="9" style="167"/>
    <col min="8706" max="8706" width="4.625" style="167" bestFit="1" customWidth="1"/>
    <col min="8707" max="8707" width="7.5" style="167" bestFit="1" customWidth="1"/>
    <col min="8708" max="8708" width="6.25" style="167" customWidth="1"/>
    <col min="8709" max="8709" width="11" style="167" bestFit="1" customWidth="1"/>
    <col min="8710" max="8711" width="9.625" style="167" bestFit="1" customWidth="1"/>
    <col min="8712" max="8712" width="8.25" style="167" bestFit="1" customWidth="1"/>
    <col min="8713" max="8714" width="9.625" style="167" bestFit="1" customWidth="1"/>
    <col min="8715" max="8715" width="8.25" style="167" bestFit="1" customWidth="1"/>
    <col min="8716" max="8717" width="9.625" style="167" bestFit="1" customWidth="1"/>
    <col min="8718" max="8719" width="8.25" style="167" bestFit="1" customWidth="1"/>
    <col min="8720" max="8720" width="11" style="167" bestFit="1" customWidth="1"/>
    <col min="8721" max="8721" width="8" style="167" bestFit="1" customWidth="1"/>
    <col min="8722" max="8722" width="7.75" style="167" bestFit="1" customWidth="1"/>
    <col min="8723" max="8724" width="9.625" style="167" bestFit="1" customWidth="1"/>
    <col min="8725" max="8726" width="9.625" style="167" customWidth="1"/>
    <col min="8727" max="8727" width="9.25" style="167" bestFit="1" customWidth="1"/>
    <col min="8728" max="8728" width="11" style="167" bestFit="1" customWidth="1"/>
    <col min="8729" max="8961" width="9" style="167"/>
    <col min="8962" max="8962" width="4.625" style="167" bestFit="1" customWidth="1"/>
    <col min="8963" max="8963" width="7.5" style="167" bestFit="1" customWidth="1"/>
    <col min="8964" max="8964" width="6.25" style="167" customWidth="1"/>
    <col min="8965" max="8965" width="11" style="167" bestFit="1" customWidth="1"/>
    <col min="8966" max="8967" width="9.625" style="167" bestFit="1" customWidth="1"/>
    <col min="8968" max="8968" width="8.25" style="167" bestFit="1" customWidth="1"/>
    <col min="8969" max="8970" width="9.625" style="167" bestFit="1" customWidth="1"/>
    <col min="8971" max="8971" width="8.25" style="167" bestFit="1" customWidth="1"/>
    <col min="8972" max="8973" width="9.625" style="167" bestFit="1" customWidth="1"/>
    <col min="8974" max="8975" width="8.25" style="167" bestFit="1" customWidth="1"/>
    <col min="8976" max="8976" width="11" style="167" bestFit="1" customWidth="1"/>
    <col min="8977" max="8977" width="8" style="167" bestFit="1" customWidth="1"/>
    <col min="8978" max="8978" width="7.75" style="167" bestFit="1" customWidth="1"/>
    <col min="8979" max="8980" width="9.625" style="167" bestFit="1" customWidth="1"/>
    <col min="8981" max="8982" width="9.625" style="167" customWidth="1"/>
    <col min="8983" max="8983" width="9.25" style="167" bestFit="1" customWidth="1"/>
    <col min="8984" max="8984" width="11" style="167" bestFit="1" customWidth="1"/>
    <col min="8985" max="9217" width="9" style="167"/>
    <col min="9218" max="9218" width="4.625" style="167" bestFit="1" customWidth="1"/>
    <col min="9219" max="9219" width="7.5" style="167" bestFit="1" customWidth="1"/>
    <col min="9220" max="9220" width="6.25" style="167" customWidth="1"/>
    <col min="9221" max="9221" width="11" style="167" bestFit="1" customWidth="1"/>
    <col min="9222" max="9223" width="9.625" style="167" bestFit="1" customWidth="1"/>
    <col min="9224" max="9224" width="8.25" style="167" bestFit="1" customWidth="1"/>
    <col min="9225" max="9226" width="9.625" style="167" bestFit="1" customWidth="1"/>
    <col min="9227" max="9227" width="8.25" style="167" bestFit="1" customWidth="1"/>
    <col min="9228" max="9229" width="9.625" style="167" bestFit="1" customWidth="1"/>
    <col min="9230" max="9231" width="8.25" style="167" bestFit="1" customWidth="1"/>
    <col min="9232" max="9232" width="11" style="167" bestFit="1" customWidth="1"/>
    <col min="9233" max="9233" width="8" style="167" bestFit="1" customWidth="1"/>
    <col min="9234" max="9234" width="7.75" style="167" bestFit="1" customWidth="1"/>
    <col min="9235" max="9236" width="9.625" style="167" bestFit="1" customWidth="1"/>
    <col min="9237" max="9238" width="9.625" style="167" customWidth="1"/>
    <col min="9239" max="9239" width="9.25" style="167" bestFit="1" customWidth="1"/>
    <col min="9240" max="9240" width="11" style="167" bestFit="1" customWidth="1"/>
    <col min="9241" max="9473" width="9" style="167"/>
    <col min="9474" max="9474" width="4.625" style="167" bestFit="1" customWidth="1"/>
    <col min="9475" max="9475" width="7.5" style="167" bestFit="1" customWidth="1"/>
    <col min="9476" max="9476" width="6.25" style="167" customWidth="1"/>
    <col min="9477" max="9477" width="11" style="167" bestFit="1" customWidth="1"/>
    <col min="9478" max="9479" width="9.625" style="167" bestFit="1" customWidth="1"/>
    <col min="9480" max="9480" width="8.25" style="167" bestFit="1" customWidth="1"/>
    <col min="9481" max="9482" width="9.625" style="167" bestFit="1" customWidth="1"/>
    <col min="9483" max="9483" width="8.25" style="167" bestFit="1" customWidth="1"/>
    <col min="9484" max="9485" width="9.625" style="167" bestFit="1" customWidth="1"/>
    <col min="9486" max="9487" width="8.25" style="167" bestFit="1" customWidth="1"/>
    <col min="9488" max="9488" width="11" style="167" bestFit="1" customWidth="1"/>
    <col min="9489" max="9489" width="8" style="167" bestFit="1" customWidth="1"/>
    <col min="9490" max="9490" width="7.75" style="167" bestFit="1" customWidth="1"/>
    <col min="9491" max="9492" width="9.625" style="167" bestFit="1" customWidth="1"/>
    <col min="9493" max="9494" width="9.625" style="167" customWidth="1"/>
    <col min="9495" max="9495" width="9.25" style="167" bestFit="1" customWidth="1"/>
    <col min="9496" max="9496" width="11" style="167" bestFit="1" customWidth="1"/>
    <col min="9497" max="9729" width="9" style="167"/>
    <col min="9730" max="9730" width="4.625" style="167" bestFit="1" customWidth="1"/>
    <col min="9731" max="9731" width="7.5" style="167" bestFit="1" customWidth="1"/>
    <col min="9732" max="9732" width="6.25" style="167" customWidth="1"/>
    <col min="9733" max="9733" width="11" style="167" bestFit="1" customWidth="1"/>
    <col min="9734" max="9735" width="9.625" style="167" bestFit="1" customWidth="1"/>
    <col min="9736" max="9736" width="8.25" style="167" bestFit="1" customWidth="1"/>
    <col min="9737" max="9738" width="9.625" style="167" bestFit="1" customWidth="1"/>
    <col min="9739" max="9739" width="8.25" style="167" bestFit="1" customWidth="1"/>
    <col min="9740" max="9741" width="9.625" style="167" bestFit="1" customWidth="1"/>
    <col min="9742" max="9743" width="8.25" style="167" bestFit="1" customWidth="1"/>
    <col min="9744" max="9744" width="11" style="167" bestFit="1" customWidth="1"/>
    <col min="9745" max="9745" width="8" style="167" bestFit="1" customWidth="1"/>
    <col min="9746" max="9746" width="7.75" style="167" bestFit="1" customWidth="1"/>
    <col min="9747" max="9748" width="9.625" style="167" bestFit="1" customWidth="1"/>
    <col min="9749" max="9750" width="9.625" style="167" customWidth="1"/>
    <col min="9751" max="9751" width="9.25" style="167" bestFit="1" customWidth="1"/>
    <col min="9752" max="9752" width="11" style="167" bestFit="1" customWidth="1"/>
    <col min="9753" max="9985" width="9" style="167"/>
    <col min="9986" max="9986" width="4.625" style="167" bestFit="1" customWidth="1"/>
    <col min="9987" max="9987" width="7.5" style="167" bestFit="1" customWidth="1"/>
    <col min="9988" max="9988" width="6.25" style="167" customWidth="1"/>
    <col min="9989" max="9989" width="11" style="167" bestFit="1" customWidth="1"/>
    <col min="9990" max="9991" width="9.625" style="167" bestFit="1" customWidth="1"/>
    <col min="9992" max="9992" width="8.25" style="167" bestFit="1" customWidth="1"/>
    <col min="9993" max="9994" width="9.625" style="167" bestFit="1" customWidth="1"/>
    <col min="9995" max="9995" width="8.25" style="167" bestFit="1" customWidth="1"/>
    <col min="9996" max="9997" width="9.625" style="167" bestFit="1" customWidth="1"/>
    <col min="9998" max="9999" width="8.25" style="167" bestFit="1" customWidth="1"/>
    <col min="10000" max="10000" width="11" style="167" bestFit="1" customWidth="1"/>
    <col min="10001" max="10001" width="8" style="167" bestFit="1" customWidth="1"/>
    <col min="10002" max="10002" width="7.75" style="167" bestFit="1" customWidth="1"/>
    <col min="10003" max="10004" width="9.625" style="167" bestFit="1" customWidth="1"/>
    <col min="10005" max="10006" width="9.625" style="167" customWidth="1"/>
    <col min="10007" max="10007" width="9.25" style="167" bestFit="1" customWidth="1"/>
    <col min="10008" max="10008" width="11" style="167" bestFit="1" customWidth="1"/>
    <col min="10009" max="10241" width="9" style="167"/>
    <col min="10242" max="10242" width="4.625" style="167" bestFit="1" customWidth="1"/>
    <col min="10243" max="10243" width="7.5" style="167" bestFit="1" customWidth="1"/>
    <col min="10244" max="10244" width="6.25" style="167" customWidth="1"/>
    <col min="10245" max="10245" width="11" style="167" bestFit="1" customWidth="1"/>
    <col min="10246" max="10247" width="9.625" style="167" bestFit="1" customWidth="1"/>
    <col min="10248" max="10248" width="8.25" style="167" bestFit="1" customWidth="1"/>
    <col min="10249" max="10250" width="9.625" style="167" bestFit="1" customWidth="1"/>
    <col min="10251" max="10251" width="8.25" style="167" bestFit="1" customWidth="1"/>
    <col min="10252" max="10253" width="9.625" style="167" bestFit="1" customWidth="1"/>
    <col min="10254" max="10255" width="8.25" style="167" bestFit="1" customWidth="1"/>
    <col min="10256" max="10256" width="11" style="167" bestFit="1" customWidth="1"/>
    <col min="10257" max="10257" width="8" style="167" bestFit="1" customWidth="1"/>
    <col min="10258" max="10258" width="7.75" style="167" bestFit="1" customWidth="1"/>
    <col min="10259" max="10260" width="9.625" style="167" bestFit="1" customWidth="1"/>
    <col min="10261" max="10262" width="9.625" style="167" customWidth="1"/>
    <col min="10263" max="10263" width="9.25" style="167" bestFit="1" customWidth="1"/>
    <col min="10264" max="10264" width="11" style="167" bestFit="1" customWidth="1"/>
    <col min="10265" max="10497" width="9" style="167"/>
    <col min="10498" max="10498" width="4.625" style="167" bestFit="1" customWidth="1"/>
    <col min="10499" max="10499" width="7.5" style="167" bestFit="1" customWidth="1"/>
    <col min="10500" max="10500" width="6.25" style="167" customWidth="1"/>
    <col min="10501" max="10501" width="11" style="167" bestFit="1" customWidth="1"/>
    <col min="10502" max="10503" width="9.625" style="167" bestFit="1" customWidth="1"/>
    <col min="10504" max="10504" width="8.25" style="167" bestFit="1" customWidth="1"/>
    <col min="10505" max="10506" width="9.625" style="167" bestFit="1" customWidth="1"/>
    <col min="10507" max="10507" width="8.25" style="167" bestFit="1" customWidth="1"/>
    <col min="10508" max="10509" width="9.625" style="167" bestFit="1" customWidth="1"/>
    <col min="10510" max="10511" width="8.25" style="167" bestFit="1" customWidth="1"/>
    <col min="10512" max="10512" width="11" style="167" bestFit="1" customWidth="1"/>
    <col min="10513" max="10513" width="8" style="167" bestFit="1" customWidth="1"/>
    <col min="10514" max="10514" width="7.75" style="167" bestFit="1" customWidth="1"/>
    <col min="10515" max="10516" width="9.625" style="167" bestFit="1" customWidth="1"/>
    <col min="10517" max="10518" width="9.625" style="167" customWidth="1"/>
    <col min="10519" max="10519" width="9.25" style="167" bestFit="1" customWidth="1"/>
    <col min="10520" max="10520" width="11" style="167" bestFit="1" customWidth="1"/>
    <col min="10521" max="10753" width="9" style="167"/>
    <col min="10754" max="10754" width="4.625" style="167" bestFit="1" customWidth="1"/>
    <col min="10755" max="10755" width="7.5" style="167" bestFit="1" customWidth="1"/>
    <col min="10756" max="10756" width="6.25" style="167" customWidth="1"/>
    <col min="10757" max="10757" width="11" style="167" bestFit="1" customWidth="1"/>
    <col min="10758" max="10759" width="9.625" style="167" bestFit="1" customWidth="1"/>
    <col min="10760" max="10760" width="8.25" style="167" bestFit="1" customWidth="1"/>
    <col min="10761" max="10762" width="9.625" style="167" bestFit="1" customWidth="1"/>
    <col min="10763" max="10763" width="8.25" style="167" bestFit="1" customWidth="1"/>
    <col min="10764" max="10765" width="9.625" style="167" bestFit="1" customWidth="1"/>
    <col min="10766" max="10767" width="8.25" style="167" bestFit="1" customWidth="1"/>
    <col min="10768" max="10768" width="11" style="167" bestFit="1" customWidth="1"/>
    <col min="10769" max="10769" width="8" style="167" bestFit="1" customWidth="1"/>
    <col min="10770" max="10770" width="7.75" style="167" bestFit="1" customWidth="1"/>
    <col min="10771" max="10772" width="9.625" style="167" bestFit="1" customWidth="1"/>
    <col min="10773" max="10774" width="9.625" style="167" customWidth="1"/>
    <col min="10775" max="10775" width="9.25" style="167" bestFit="1" customWidth="1"/>
    <col min="10776" max="10776" width="11" style="167" bestFit="1" customWidth="1"/>
    <col min="10777" max="11009" width="9" style="167"/>
    <col min="11010" max="11010" width="4.625" style="167" bestFit="1" customWidth="1"/>
    <col min="11011" max="11011" width="7.5" style="167" bestFit="1" customWidth="1"/>
    <col min="11012" max="11012" width="6.25" style="167" customWidth="1"/>
    <col min="11013" max="11013" width="11" style="167" bestFit="1" customWidth="1"/>
    <col min="11014" max="11015" width="9.625" style="167" bestFit="1" customWidth="1"/>
    <col min="11016" max="11016" width="8.25" style="167" bestFit="1" customWidth="1"/>
    <col min="11017" max="11018" width="9.625" style="167" bestFit="1" customWidth="1"/>
    <col min="11019" max="11019" width="8.25" style="167" bestFit="1" customWidth="1"/>
    <col min="11020" max="11021" width="9.625" style="167" bestFit="1" customWidth="1"/>
    <col min="11022" max="11023" width="8.25" style="167" bestFit="1" customWidth="1"/>
    <col min="11024" max="11024" width="11" style="167" bestFit="1" customWidth="1"/>
    <col min="11025" max="11025" width="8" style="167" bestFit="1" customWidth="1"/>
    <col min="11026" max="11026" width="7.75" style="167" bestFit="1" customWidth="1"/>
    <col min="11027" max="11028" width="9.625" style="167" bestFit="1" customWidth="1"/>
    <col min="11029" max="11030" width="9.625" style="167" customWidth="1"/>
    <col min="11031" max="11031" width="9.25" style="167" bestFit="1" customWidth="1"/>
    <col min="11032" max="11032" width="11" style="167" bestFit="1" customWidth="1"/>
    <col min="11033" max="11265" width="9" style="167"/>
    <col min="11266" max="11266" width="4.625" style="167" bestFit="1" customWidth="1"/>
    <col min="11267" max="11267" width="7.5" style="167" bestFit="1" customWidth="1"/>
    <col min="11268" max="11268" width="6.25" style="167" customWidth="1"/>
    <col min="11269" max="11269" width="11" style="167" bestFit="1" customWidth="1"/>
    <col min="11270" max="11271" width="9.625" style="167" bestFit="1" customWidth="1"/>
    <col min="11272" max="11272" width="8.25" style="167" bestFit="1" customWidth="1"/>
    <col min="11273" max="11274" width="9.625" style="167" bestFit="1" customWidth="1"/>
    <col min="11275" max="11275" width="8.25" style="167" bestFit="1" customWidth="1"/>
    <col min="11276" max="11277" width="9.625" style="167" bestFit="1" customWidth="1"/>
    <col min="11278" max="11279" width="8.25" style="167" bestFit="1" customWidth="1"/>
    <col min="11280" max="11280" width="11" style="167" bestFit="1" customWidth="1"/>
    <col min="11281" max="11281" width="8" style="167" bestFit="1" customWidth="1"/>
    <col min="11282" max="11282" width="7.75" style="167" bestFit="1" customWidth="1"/>
    <col min="11283" max="11284" width="9.625" style="167" bestFit="1" customWidth="1"/>
    <col min="11285" max="11286" width="9.625" style="167" customWidth="1"/>
    <col min="11287" max="11287" width="9.25" style="167" bestFit="1" customWidth="1"/>
    <col min="11288" max="11288" width="11" style="167" bestFit="1" customWidth="1"/>
    <col min="11289" max="11521" width="9" style="167"/>
    <col min="11522" max="11522" width="4.625" style="167" bestFit="1" customWidth="1"/>
    <col min="11523" max="11523" width="7.5" style="167" bestFit="1" customWidth="1"/>
    <col min="11524" max="11524" width="6.25" style="167" customWidth="1"/>
    <col min="11525" max="11525" width="11" style="167" bestFit="1" customWidth="1"/>
    <col min="11526" max="11527" width="9.625" style="167" bestFit="1" customWidth="1"/>
    <col min="11528" max="11528" width="8.25" style="167" bestFit="1" customWidth="1"/>
    <col min="11529" max="11530" width="9.625" style="167" bestFit="1" customWidth="1"/>
    <col min="11531" max="11531" width="8.25" style="167" bestFit="1" customWidth="1"/>
    <col min="11532" max="11533" width="9.625" style="167" bestFit="1" customWidth="1"/>
    <col min="11534" max="11535" width="8.25" style="167" bestFit="1" customWidth="1"/>
    <col min="11536" max="11536" width="11" style="167" bestFit="1" customWidth="1"/>
    <col min="11537" max="11537" width="8" style="167" bestFit="1" customWidth="1"/>
    <col min="11538" max="11538" width="7.75" style="167" bestFit="1" customWidth="1"/>
    <col min="11539" max="11540" width="9.625" style="167" bestFit="1" customWidth="1"/>
    <col min="11541" max="11542" width="9.625" style="167" customWidth="1"/>
    <col min="11543" max="11543" width="9.25" style="167" bestFit="1" customWidth="1"/>
    <col min="11544" max="11544" width="11" style="167" bestFit="1" customWidth="1"/>
    <col min="11545" max="11777" width="9" style="167"/>
    <col min="11778" max="11778" width="4.625" style="167" bestFit="1" customWidth="1"/>
    <col min="11779" max="11779" width="7.5" style="167" bestFit="1" customWidth="1"/>
    <col min="11780" max="11780" width="6.25" style="167" customWidth="1"/>
    <col min="11781" max="11781" width="11" style="167" bestFit="1" customWidth="1"/>
    <col min="11782" max="11783" width="9.625" style="167" bestFit="1" customWidth="1"/>
    <col min="11784" max="11784" width="8.25" style="167" bestFit="1" customWidth="1"/>
    <col min="11785" max="11786" width="9.625" style="167" bestFit="1" customWidth="1"/>
    <col min="11787" max="11787" width="8.25" style="167" bestFit="1" customWidth="1"/>
    <col min="11788" max="11789" width="9.625" style="167" bestFit="1" customWidth="1"/>
    <col min="11790" max="11791" width="8.25" style="167" bestFit="1" customWidth="1"/>
    <col min="11792" max="11792" width="11" style="167" bestFit="1" customWidth="1"/>
    <col min="11793" max="11793" width="8" style="167" bestFit="1" customWidth="1"/>
    <col min="11794" max="11794" width="7.75" style="167" bestFit="1" customWidth="1"/>
    <col min="11795" max="11796" width="9.625" style="167" bestFit="1" customWidth="1"/>
    <col min="11797" max="11798" width="9.625" style="167" customWidth="1"/>
    <col min="11799" max="11799" width="9.25" style="167" bestFit="1" customWidth="1"/>
    <col min="11800" max="11800" width="11" style="167" bestFit="1" customWidth="1"/>
    <col min="11801" max="12033" width="9" style="167"/>
    <col min="12034" max="12034" width="4.625" style="167" bestFit="1" customWidth="1"/>
    <col min="12035" max="12035" width="7.5" style="167" bestFit="1" customWidth="1"/>
    <col min="12036" max="12036" width="6.25" style="167" customWidth="1"/>
    <col min="12037" max="12037" width="11" style="167" bestFit="1" customWidth="1"/>
    <col min="12038" max="12039" width="9.625" style="167" bestFit="1" customWidth="1"/>
    <col min="12040" max="12040" width="8.25" style="167" bestFit="1" customWidth="1"/>
    <col min="12041" max="12042" width="9.625" style="167" bestFit="1" customWidth="1"/>
    <col min="12043" max="12043" width="8.25" style="167" bestFit="1" customWidth="1"/>
    <col min="12044" max="12045" width="9.625" style="167" bestFit="1" customWidth="1"/>
    <col min="12046" max="12047" width="8.25" style="167" bestFit="1" customWidth="1"/>
    <col min="12048" max="12048" width="11" style="167" bestFit="1" customWidth="1"/>
    <col min="12049" max="12049" width="8" style="167" bestFit="1" customWidth="1"/>
    <col min="12050" max="12050" width="7.75" style="167" bestFit="1" customWidth="1"/>
    <col min="12051" max="12052" width="9.625" style="167" bestFit="1" customWidth="1"/>
    <col min="12053" max="12054" width="9.625" style="167" customWidth="1"/>
    <col min="12055" max="12055" width="9.25" style="167" bestFit="1" customWidth="1"/>
    <col min="12056" max="12056" width="11" style="167" bestFit="1" customWidth="1"/>
    <col min="12057" max="12289" width="9" style="167"/>
    <col min="12290" max="12290" width="4.625" style="167" bestFit="1" customWidth="1"/>
    <col min="12291" max="12291" width="7.5" style="167" bestFit="1" customWidth="1"/>
    <col min="12292" max="12292" width="6.25" style="167" customWidth="1"/>
    <col min="12293" max="12293" width="11" style="167" bestFit="1" customWidth="1"/>
    <col min="12294" max="12295" width="9.625" style="167" bestFit="1" customWidth="1"/>
    <col min="12296" max="12296" width="8.25" style="167" bestFit="1" customWidth="1"/>
    <col min="12297" max="12298" width="9.625" style="167" bestFit="1" customWidth="1"/>
    <col min="12299" max="12299" width="8.25" style="167" bestFit="1" customWidth="1"/>
    <col min="12300" max="12301" width="9.625" style="167" bestFit="1" customWidth="1"/>
    <col min="12302" max="12303" width="8.25" style="167" bestFit="1" customWidth="1"/>
    <col min="12304" max="12304" width="11" style="167" bestFit="1" customWidth="1"/>
    <col min="12305" max="12305" width="8" style="167" bestFit="1" customWidth="1"/>
    <col min="12306" max="12306" width="7.75" style="167" bestFit="1" customWidth="1"/>
    <col min="12307" max="12308" width="9.625" style="167" bestFit="1" customWidth="1"/>
    <col min="12309" max="12310" width="9.625" style="167" customWidth="1"/>
    <col min="12311" max="12311" width="9.25" style="167" bestFit="1" customWidth="1"/>
    <col min="12312" max="12312" width="11" style="167" bestFit="1" customWidth="1"/>
    <col min="12313" max="12545" width="9" style="167"/>
    <col min="12546" max="12546" width="4.625" style="167" bestFit="1" customWidth="1"/>
    <col min="12547" max="12547" width="7.5" style="167" bestFit="1" customWidth="1"/>
    <col min="12548" max="12548" width="6.25" style="167" customWidth="1"/>
    <col min="12549" max="12549" width="11" style="167" bestFit="1" customWidth="1"/>
    <col min="12550" max="12551" width="9.625" style="167" bestFit="1" customWidth="1"/>
    <col min="12552" max="12552" width="8.25" style="167" bestFit="1" customWidth="1"/>
    <col min="12553" max="12554" width="9.625" style="167" bestFit="1" customWidth="1"/>
    <col min="12555" max="12555" width="8.25" style="167" bestFit="1" customWidth="1"/>
    <col min="12556" max="12557" width="9.625" style="167" bestFit="1" customWidth="1"/>
    <col min="12558" max="12559" width="8.25" style="167" bestFit="1" customWidth="1"/>
    <col min="12560" max="12560" width="11" style="167" bestFit="1" customWidth="1"/>
    <col min="12561" max="12561" width="8" style="167" bestFit="1" customWidth="1"/>
    <col min="12562" max="12562" width="7.75" style="167" bestFit="1" customWidth="1"/>
    <col min="12563" max="12564" width="9.625" style="167" bestFit="1" customWidth="1"/>
    <col min="12565" max="12566" width="9.625" style="167" customWidth="1"/>
    <col min="12567" max="12567" width="9.25" style="167" bestFit="1" customWidth="1"/>
    <col min="12568" max="12568" width="11" style="167" bestFit="1" customWidth="1"/>
    <col min="12569" max="12801" width="9" style="167"/>
    <col min="12802" max="12802" width="4.625" style="167" bestFit="1" customWidth="1"/>
    <col min="12803" max="12803" width="7.5" style="167" bestFit="1" customWidth="1"/>
    <col min="12804" max="12804" width="6.25" style="167" customWidth="1"/>
    <col min="12805" max="12805" width="11" style="167" bestFit="1" customWidth="1"/>
    <col min="12806" max="12807" width="9.625" style="167" bestFit="1" customWidth="1"/>
    <col min="12808" max="12808" width="8.25" style="167" bestFit="1" customWidth="1"/>
    <col min="12809" max="12810" width="9.625" style="167" bestFit="1" customWidth="1"/>
    <col min="12811" max="12811" width="8.25" style="167" bestFit="1" customWidth="1"/>
    <col min="12812" max="12813" width="9.625" style="167" bestFit="1" customWidth="1"/>
    <col min="12814" max="12815" width="8.25" style="167" bestFit="1" customWidth="1"/>
    <col min="12816" max="12816" width="11" style="167" bestFit="1" customWidth="1"/>
    <col min="12817" max="12817" width="8" style="167" bestFit="1" customWidth="1"/>
    <col min="12818" max="12818" width="7.75" style="167" bestFit="1" customWidth="1"/>
    <col min="12819" max="12820" width="9.625" style="167" bestFit="1" customWidth="1"/>
    <col min="12821" max="12822" width="9.625" style="167" customWidth="1"/>
    <col min="12823" max="12823" width="9.25" style="167" bestFit="1" customWidth="1"/>
    <col min="12824" max="12824" width="11" style="167" bestFit="1" customWidth="1"/>
    <col min="12825" max="13057" width="9" style="167"/>
    <col min="13058" max="13058" width="4.625" style="167" bestFit="1" customWidth="1"/>
    <col min="13059" max="13059" width="7.5" style="167" bestFit="1" customWidth="1"/>
    <col min="13060" max="13060" width="6.25" style="167" customWidth="1"/>
    <col min="13061" max="13061" width="11" style="167" bestFit="1" customWidth="1"/>
    <col min="13062" max="13063" width="9.625" style="167" bestFit="1" customWidth="1"/>
    <col min="13064" max="13064" width="8.25" style="167" bestFit="1" customWidth="1"/>
    <col min="13065" max="13066" width="9.625" style="167" bestFit="1" customWidth="1"/>
    <col min="13067" max="13067" width="8.25" style="167" bestFit="1" customWidth="1"/>
    <col min="13068" max="13069" width="9.625" style="167" bestFit="1" customWidth="1"/>
    <col min="13070" max="13071" width="8.25" style="167" bestFit="1" customWidth="1"/>
    <col min="13072" max="13072" width="11" style="167" bestFit="1" customWidth="1"/>
    <col min="13073" max="13073" width="8" style="167" bestFit="1" customWidth="1"/>
    <col min="13074" max="13074" width="7.75" style="167" bestFit="1" customWidth="1"/>
    <col min="13075" max="13076" width="9.625" style="167" bestFit="1" customWidth="1"/>
    <col min="13077" max="13078" width="9.625" style="167" customWidth="1"/>
    <col min="13079" max="13079" width="9.25" style="167" bestFit="1" customWidth="1"/>
    <col min="13080" max="13080" width="11" style="167" bestFit="1" customWidth="1"/>
    <col min="13081" max="13313" width="9" style="167"/>
    <col min="13314" max="13314" width="4.625" style="167" bestFit="1" customWidth="1"/>
    <col min="13315" max="13315" width="7.5" style="167" bestFit="1" customWidth="1"/>
    <col min="13316" max="13316" width="6.25" style="167" customWidth="1"/>
    <col min="13317" max="13317" width="11" style="167" bestFit="1" customWidth="1"/>
    <col min="13318" max="13319" width="9.625" style="167" bestFit="1" customWidth="1"/>
    <col min="13320" max="13320" width="8.25" style="167" bestFit="1" customWidth="1"/>
    <col min="13321" max="13322" width="9.625" style="167" bestFit="1" customWidth="1"/>
    <col min="13323" max="13323" width="8.25" style="167" bestFit="1" customWidth="1"/>
    <col min="13324" max="13325" width="9.625" style="167" bestFit="1" customWidth="1"/>
    <col min="13326" max="13327" width="8.25" style="167" bestFit="1" customWidth="1"/>
    <col min="13328" max="13328" width="11" style="167" bestFit="1" customWidth="1"/>
    <col min="13329" max="13329" width="8" style="167" bestFit="1" customWidth="1"/>
    <col min="13330" max="13330" width="7.75" style="167" bestFit="1" customWidth="1"/>
    <col min="13331" max="13332" width="9.625" style="167" bestFit="1" customWidth="1"/>
    <col min="13333" max="13334" width="9.625" style="167" customWidth="1"/>
    <col min="13335" max="13335" width="9.25" style="167" bestFit="1" customWidth="1"/>
    <col min="13336" max="13336" width="11" style="167" bestFit="1" customWidth="1"/>
    <col min="13337" max="13569" width="9" style="167"/>
    <col min="13570" max="13570" width="4.625" style="167" bestFit="1" customWidth="1"/>
    <col min="13571" max="13571" width="7.5" style="167" bestFit="1" customWidth="1"/>
    <col min="13572" max="13572" width="6.25" style="167" customWidth="1"/>
    <col min="13573" max="13573" width="11" style="167" bestFit="1" customWidth="1"/>
    <col min="13574" max="13575" width="9.625" style="167" bestFit="1" customWidth="1"/>
    <col min="13576" max="13576" width="8.25" style="167" bestFit="1" customWidth="1"/>
    <col min="13577" max="13578" width="9.625" style="167" bestFit="1" customWidth="1"/>
    <col min="13579" max="13579" width="8.25" style="167" bestFit="1" customWidth="1"/>
    <col min="13580" max="13581" width="9.625" style="167" bestFit="1" customWidth="1"/>
    <col min="13582" max="13583" width="8.25" style="167" bestFit="1" customWidth="1"/>
    <col min="13584" max="13584" width="11" style="167" bestFit="1" customWidth="1"/>
    <col min="13585" max="13585" width="8" style="167" bestFit="1" customWidth="1"/>
    <col min="13586" max="13586" width="7.75" style="167" bestFit="1" customWidth="1"/>
    <col min="13587" max="13588" width="9.625" style="167" bestFit="1" customWidth="1"/>
    <col min="13589" max="13590" width="9.625" style="167" customWidth="1"/>
    <col min="13591" max="13591" width="9.25" style="167" bestFit="1" customWidth="1"/>
    <col min="13592" max="13592" width="11" style="167" bestFit="1" customWidth="1"/>
    <col min="13593" max="13825" width="9" style="167"/>
    <col min="13826" max="13826" width="4.625" style="167" bestFit="1" customWidth="1"/>
    <col min="13827" max="13827" width="7.5" style="167" bestFit="1" customWidth="1"/>
    <col min="13828" max="13828" width="6.25" style="167" customWidth="1"/>
    <col min="13829" max="13829" width="11" style="167" bestFit="1" customWidth="1"/>
    <col min="13830" max="13831" width="9.625" style="167" bestFit="1" customWidth="1"/>
    <col min="13832" max="13832" width="8.25" style="167" bestFit="1" customWidth="1"/>
    <col min="13833" max="13834" width="9.625" style="167" bestFit="1" customWidth="1"/>
    <col min="13835" max="13835" width="8.25" style="167" bestFit="1" customWidth="1"/>
    <col min="13836" max="13837" width="9.625" style="167" bestFit="1" customWidth="1"/>
    <col min="13838" max="13839" width="8.25" style="167" bestFit="1" customWidth="1"/>
    <col min="13840" max="13840" width="11" style="167" bestFit="1" customWidth="1"/>
    <col min="13841" max="13841" width="8" style="167" bestFit="1" customWidth="1"/>
    <col min="13842" max="13842" width="7.75" style="167" bestFit="1" customWidth="1"/>
    <col min="13843" max="13844" width="9.625" style="167" bestFit="1" customWidth="1"/>
    <col min="13845" max="13846" width="9.625" style="167" customWidth="1"/>
    <col min="13847" max="13847" width="9.25" style="167" bestFit="1" customWidth="1"/>
    <col min="13848" max="13848" width="11" style="167" bestFit="1" customWidth="1"/>
    <col min="13849" max="14081" width="9" style="167"/>
    <col min="14082" max="14082" width="4.625" style="167" bestFit="1" customWidth="1"/>
    <col min="14083" max="14083" width="7.5" style="167" bestFit="1" customWidth="1"/>
    <col min="14084" max="14084" width="6.25" style="167" customWidth="1"/>
    <col min="14085" max="14085" width="11" style="167" bestFit="1" customWidth="1"/>
    <col min="14086" max="14087" width="9.625" style="167" bestFit="1" customWidth="1"/>
    <col min="14088" max="14088" width="8.25" style="167" bestFit="1" customWidth="1"/>
    <col min="14089" max="14090" width="9.625" style="167" bestFit="1" customWidth="1"/>
    <col min="14091" max="14091" width="8.25" style="167" bestFit="1" customWidth="1"/>
    <col min="14092" max="14093" width="9.625" style="167" bestFit="1" customWidth="1"/>
    <col min="14094" max="14095" width="8.25" style="167" bestFit="1" customWidth="1"/>
    <col min="14096" max="14096" width="11" style="167" bestFit="1" customWidth="1"/>
    <col min="14097" max="14097" width="8" style="167" bestFit="1" customWidth="1"/>
    <col min="14098" max="14098" width="7.75" style="167" bestFit="1" customWidth="1"/>
    <col min="14099" max="14100" width="9.625" style="167" bestFit="1" customWidth="1"/>
    <col min="14101" max="14102" width="9.625" style="167" customWidth="1"/>
    <col min="14103" max="14103" width="9.25" style="167" bestFit="1" customWidth="1"/>
    <col min="14104" max="14104" width="11" style="167" bestFit="1" customWidth="1"/>
    <col min="14105" max="14337" width="9" style="167"/>
    <col min="14338" max="14338" width="4.625" style="167" bestFit="1" customWidth="1"/>
    <col min="14339" max="14339" width="7.5" style="167" bestFit="1" customWidth="1"/>
    <col min="14340" max="14340" width="6.25" style="167" customWidth="1"/>
    <col min="14341" max="14341" width="11" style="167" bestFit="1" customWidth="1"/>
    <col min="14342" max="14343" width="9.625" style="167" bestFit="1" customWidth="1"/>
    <col min="14344" max="14344" width="8.25" style="167" bestFit="1" customWidth="1"/>
    <col min="14345" max="14346" width="9.625" style="167" bestFit="1" customWidth="1"/>
    <col min="14347" max="14347" width="8.25" style="167" bestFit="1" customWidth="1"/>
    <col min="14348" max="14349" width="9.625" style="167" bestFit="1" customWidth="1"/>
    <col min="14350" max="14351" width="8.25" style="167" bestFit="1" customWidth="1"/>
    <col min="14352" max="14352" width="11" style="167" bestFit="1" customWidth="1"/>
    <col min="14353" max="14353" width="8" style="167" bestFit="1" customWidth="1"/>
    <col min="14354" max="14354" width="7.75" style="167" bestFit="1" customWidth="1"/>
    <col min="14355" max="14356" width="9.625" style="167" bestFit="1" customWidth="1"/>
    <col min="14357" max="14358" width="9.625" style="167" customWidth="1"/>
    <col min="14359" max="14359" width="9.25" style="167" bestFit="1" customWidth="1"/>
    <col min="14360" max="14360" width="11" style="167" bestFit="1" customWidth="1"/>
    <col min="14361" max="14593" width="9" style="167"/>
    <col min="14594" max="14594" width="4.625" style="167" bestFit="1" customWidth="1"/>
    <col min="14595" max="14595" width="7.5" style="167" bestFit="1" customWidth="1"/>
    <col min="14596" max="14596" width="6.25" style="167" customWidth="1"/>
    <col min="14597" max="14597" width="11" style="167" bestFit="1" customWidth="1"/>
    <col min="14598" max="14599" width="9.625" style="167" bestFit="1" customWidth="1"/>
    <col min="14600" max="14600" width="8.25" style="167" bestFit="1" customWidth="1"/>
    <col min="14601" max="14602" width="9.625" style="167" bestFit="1" customWidth="1"/>
    <col min="14603" max="14603" width="8.25" style="167" bestFit="1" customWidth="1"/>
    <col min="14604" max="14605" width="9.625" style="167" bestFit="1" customWidth="1"/>
    <col min="14606" max="14607" width="8.25" style="167" bestFit="1" customWidth="1"/>
    <col min="14608" max="14608" width="11" style="167" bestFit="1" customWidth="1"/>
    <col min="14609" max="14609" width="8" style="167" bestFit="1" customWidth="1"/>
    <col min="14610" max="14610" width="7.75" style="167" bestFit="1" customWidth="1"/>
    <col min="14611" max="14612" width="9.625" style="167" bestFit="1" customWidth="1"/>
    <col min="14613" max="14614" width="9.625" style="167" customWidth="1"/>
    <col min="14615" max="14615" width="9.25" style="167" bestFit="1" customWidth="1"/>
    <col min="14616" max="14616" width="11" style="167" bestFit="1" customWidth="1"/>
    <col min="14617" max="14849" width="9" style="167"/>
    <col min="14850" max="14850" width="4.625" style="167" bestFit="1" customWidth="1"/>
    <col min="14851" max="14851" width="7.5" style="167" bestFit="1" customWidth="1"/>
    <col min="14852" max="14852" width="6.25" style="167" customWidth="1"/>
    <col min="14853" max="14853" width="11" style="167" bestFit="1" customWidth="1"/>
    <col min="14854" max="14855" width="9.625" style="167" bestFit="1" customWidth="1"/>
    <col min="14856" max="14856" width="8.25" style="167" bestFit="1" customWidth="1"/>
    <col min="14857" max="14858" width="9.625" style="167" bestFit="1" customWidth="1"/>
    <col min="14859" max="14859" width="8.25" style="167" bestFit="1" customWidth="1"/>
    <col min="14860" max="14861" width="9.625" style="167" bestFit="1" customWidth="1"/>
    <col min="14862" max="14863" width="8.25" style="167" bestFit="1" customWidth="1"/>
    <col min="14864" max="14864" width="11" style="167" bestFit="1" customWidth="1"/>
    <col min="14865" max="14865" width="8" style="167" bestFit="1" customWidth="1"/>
    <col min="14866" max="14866" width="7.75" style="167" bestFit="1" customWidth="1"/>
    <col min="14867" max="14868" width="9.625" style="167" bestFit="1" customWidth="1"/>
    <col min="14869" max="14870" width="9.625" style="167" customWidth="1"/>
    <col min="14871" max="14871" width="9.25" style="167" bestFit="1" customWidth="1"/>
    <col min="14872" max="14872" width="11" style="167" bestFit="1" customWidth="1"/>
    <col min="14873" max="15105" width="9" style="167"/>
    <col min="15106" max="15106" width="4.625" style="167" bestFit="1" customWidth="1"/>
    <col min="15107" max="15107" width="7.5" style="167" bestFit="1" customWidth="1"/>
    <col min="15108" max="15108" width="6.25" style="167" customWidth="1"/>
    <col min="15109" max="15109" width="11" style="167" bestFit="1" customWidth="1"/>
    <col min="15110" max="15111" width="9.625" style="167" bestFit="1" customWidth="1"/>
    <col min="15112" max="15112" width="8.25" style="167" bestFit="1" customWidth="1"/>
    <col min="15113" max="15114" width="9.625" style="167" bestFit="1" customWidth="1"/>
    <col min="15115" max="15115" width="8.25" style="167" bestFit="1" customWidth="1"/>
    <col min="15116" max="15117" width="9.625" style="167" bestFit="1" customWidth="1"/>
    <col min="15118" max="15119" width="8.25" style="167" bestFit="1" customWidth="1"/>
    <col min="15120" max="15120" width="11" style="167" bestFit="1" customWidth="1"/>
    <col min="15121" max="15121" width="8" style="167" bestFit="1" customWidth="1"/>
    <col min="15122" max="15122" width="7.75" style="167" bestFit="1" customWidth="1"/>
    <col min="15123" max="15124" width="9.625" style="167" bestFit="1" customWidth="1"/>
    <col min="15125" max="15126" width="9.625" style="167" customWidth="1"/>
    <col min="15127" max="15127" width="9.25" style="167" bestFit="1" customWidth="1"/>
    <col min="15128" max="15128" width="11" style="167" bestFit="1" customWidth="1"/>
    <col min="15129" max="15361" width="9" style="167"/>
    <col min="15362" max="15362" width="4.625" style="167" bestFit="1" customWidth="1"/>
    <col min="15363" max="15363" width="7.5" style="167" bestFit="1" customWidth="1"/>
    <col min="15364" max="15364" width="6.25" style="167" customWidth="1"/>
    <col min="15365" max="15365" width="11" style="167" bestFit="1" customWidth="1"/>
    <col min="15366" max="15367" width="9.625" style="167" bestFit="1" customWidth="1"/>
    <col min="15368" max="15368" width="8.25" style="167" bestFit="1" customWidth="1"/>
    <col min="15369" max="15370" width="9.625" style="167" bestFit="1" customWidth="1"/>
    <col min="15371" max="15371" width="8.25" style="167" bestFit="1" customWidth="1"/>
    <col min="15372" max="15373" width="9.625" style="167" bestFit="1" customWidth="1"/>
    <col min="15374" max="15375" width="8.25" style="167" bestFit="1" customWidth="1"/>
    <col min="15376" max="15376" width="11" style="167" bestFit="1" customWidth="1"/>
    <col min="15377" max="15377" width="8" style="167" bestFit="1" customWidth="1"/>
    <col min="15378" max="15378" width="7.75" style="167" bestFit="1" customWidth="1"/>
    <col min="15379" max="15380" width="9.625" style="167" bestFit="1" customWidth="1"/>
    <col min="15381" max="15382" width="9.625" style="167" customWidth="1"/>
    <col min="15383" max="15383" width="9.25" style="167" bestFit="1" customWidth="1"/>
    <col min="15384" max="15384" width="11" style="167" bestFit="1" customWidth="1"/>
    <col min="15385" max="15617" width="9" style="167"/>
    <col min="15618" max="15618" width="4.625" style="167" bestFit="1" customWidth="1"/>
    <col min="15619" max="15619" width="7.5" style="167" bestFit="1" customWidth="1"/>
    <col min="15620" max="15620" width="6.25" style="167" customWidth="1"/>
    <col min="15621" max="15621" width="11" style="167" bestFit="1" customWidth="1"/>
    <col min="15622" max="15623" width="9.625" style="167" bestFit="1" customWidth="1"/>
    <col min="15624" max="15624" width="8.25" style="167" bestFit="1" customWidth="1"/>
    <col min="15625" max="15626" width="9.625" style="167" bestFit="1" customWidth="1"/>
    <col min="15627" max="15627" width="8.25" style="167" bestFit="1" customWidth="1"/>
    <col min="15628" max="15629" width="9.625" style="167" bestFit="1" customWidth="1"/>
    <col min="15630" max="15631" width="8.25" style="167" bestFit="1" customWidth="1"/>
    <col min="15632" max="15632" width="11" style="167" bestFit="1" customWidth="1"/>
    <col min="15633" max="15633" width="8" style="167" bestFit="1" customWidth="1"/>
    <col min="15634" max="15634" width="7.75" style="167" bestFit="1" customWidth="1"/>
    <col min="15635" max="15636" width="9.625" style="167" bestFit="1" customWidth="1"/>
    <col min="15637" max="15638" width="9.625" style="167" customWidth="1"/>
    <col min="15639" max="15639" width="9.25" style="167" bestFit="1" customWidth="1"/>
    <col min="15640" max="15640" width="11" style="167" bestFit="1" customWidth="1"/>
    <col min="15641" max="15873" width="9" style="167"/>
    <col min="15874" max="15874" width="4.625" style="167" bestFit="1" customWidth="1"/>
    <col min="15875" max="15875" width="7.5" style="167" bestFit="1" customWidth="1"/>
    <col min="15876" max="15876" width="6.25" style="167" customWidth="1"/>
    <col min="15877" max="15877" width="11" style="167" bestFit="1" customWidth="1"/>
    <col min="15878" max="15879" width="9.625" style="167" bestFit="1" customWidth="1"/>
    <col min="15880" max="15880" width="8.25" style="167" bestFit="1" customWidth="1"/>
    <col min="15881" max="15882" width="9.625" style="167" bestFit="1" customWidth="1"/>
    <col min="15883" max="15883" width="8.25" style="167" bestFit="1" customWidth="1"/>
    <col min="15884" max="15885" width="9.625" style="167" bestFit="1" customWidth="1"/>
    <col min="15886" max="15887" width="8.25" style="167" bestFit="1" customWidth="1"/>
    <col min="15888" max="15888" width="11" style="167" bestFit="1" customWidth="1"/>
    <col min="15889" max="15889" width="8" style="167" bestFit="1" customWidth="1"/>
    <col min="15890" max="15890" width="7.75" style="167" bestFit="1" customWidth="1"/>
    <col min="15891" max="15892" width="9.625" style="167" bestFit="1" customWidth="1"/>
    <col min="15893" max="15894" width="9.625" style="167" customWidth="1"/>
    <col min="15895" max="15895" width="9.25" style="167" bestFit="1" customWidth="1"/>
    <col min="15896" max="15896" width="11" style="167" bestFit="1" customWidth="1"/>
    <col min="15897" max="16129" width="9" style="167"/>
    <col min="16130" max="16130" width="4.625" style="167" bestFit="1" customWidth="1"/>
    <col min="16131" max="16131" width="7.5" style="167" bestFit="1" customWidth="1"/>
    <col min="16132" max="16132" width="6.25" style="167" customWidth="1"/>
    <col min="16133" max="16133" width="11" style="167" bestFit="1" customWidth="1"/>
    <col min="16134" max="16135" width="9.625" style="167" bestFit="1" customWidth="1"/>
    <col min="16136" max="16136" width="8.25" style="167" bestFit="1" customWidth="1"/>
    <col min="16137" max="16138" width="9.625" style="167" bestFit="1" customWidth="1"/>
    <col min="16139" max="16139" width="8.25" style="167" bestFit="1" customWidth="1"/>
    <col min="16140" max="16141" width="9.625" style="167" bestFit="1" customWidth="1"/>
    <col min="16142" max="16143" width="8.25" style="167" bestFit="1" customWidth="1"/>
    <col min="16144" max="16144" width="11" style="167" bestFit="1" customWidth="1"/>
    <col min="16145" max="16145" width="8" style="167" bestFit="1" customWidth="1"/>
    <col min="16146" max="16146" width="7.75" style="167" bestFit="1" customWidth="1"/>
    <col min="16147" max="16148" width="9.625" style="167" bestFit="1" customWidth="1"/>
    <col min="16149" max="16150" width="9.625" style="167" customWidth="1"/>
    <col min="16151" max="16151" width="9.25" style="167" bestFit="1" customWidth="1"/>
    <col min="16152" max="16152" width="11" style="167" bestFit="1" customWidth="1"/>
    <col min="16153" max="16384" width="9" style="167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293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65"/>
      <c r="V4" s="252"/>
      <c r="W4" s="252"/>
      <c r="X4" s="252"/>
    </row>
    <row r="5" spans="2:29" ht="20.25" customHeight="1" x14ac:dyDescent="0.3">
      <c r="B5" s="253" t="s">
        <v>294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66"/>
      <c r="Q5" s="69"/>
      <c r="R5" s="69"/>
      <c r="S5" s="69"/>
      <c r="T5" s="252"/>
      <c r="U5" s="165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4" si="0">SUM(E9:O9)</f>
        <v>2500000</v>
      </c>
      <c r="Q9" s="94">
        <f t="shared" ref="Q9:Q19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2" si="2">ROUNDDOWN(Q9*10%,-1)</f>
        <v>2590</v>
      </c>
      <c r="S9" s="95"/>
      <c r="T9" s="95">
        <f t="shared" ref="T9:T19" si="3">IFERROR(ROUNDDOWN((P9-AC9)*3.43%,-1),)</f>
        <v>75460</v>
      </c>
      <c r="U9" s="96">
        <f t="shared" ref="U9:U22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130290</v>
      </c>
      <c r="X9" s="97">
        <f t="shared" ref="X9:X22" si="7">P9-W9</f>
        <v>2369710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/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130290</v>
      </c>
      <c r="X10" s="128">
        <f t="shared" si="7"/>
        <v>2369710</v>
      </c>
      <c r="Z10" s="98">
        <v>1</v>
      </c>
      <c r="AA10" s="99"/>
      <c r="AC10" s="100">
        <f t="shared" ref="AC10:AC13" si="8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8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8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8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" si="9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0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:V18" si="11">IFERROR(IF(D15&lt;&gt;"대표이사",ROUNDDOWN((P15-AC15)*고용보험율,-1),0),)</f>
        <v>17600</v>
      </c>
      <c r="W15" s="124">
        <f t="shared" ref="W15:W18" si="12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19" si="13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251</v>
      </c>
      <c r="D16" s="88" t="s">
        <v>50</v>
      </c>
      <c r="E16" s="89">
        <v>2100000</v>
      </c>
      <c r="F16" s="106"/>
      <c r="G16" s="106"/>
      <c r="H16" s="106"/>
      <c r="I16" s="106"/>
      <c r="J16" s="107"/>
      <c r="K16" s="107"/>
      <c r="L16" s="107"/>
      <c r="M16" s="107"/>
      <c r="N16" s="89">
        <v>200000</v>
      </c>
      <c r="O16" s="130">
        <v>200000</v>
      </c>
      <c r="P16" s="124">
        <f t="shared" ref="P16:P20" si="14">SUM(E16:O16)</f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 t="shared" si="11"/>
        <v>17600</v>
      </c>
      <c r="W16" s="124">
        <f t="shared" si="12"/>
        <v>130290</v>
      </c>
      <c r="X16" s="128">
        <f t="shared" si="7"/>
        <v>2369710</v>
      </c>
      <c r="Z16" s="98">
        <v>1</v>
      </c>
      <c r="AA16" s="99"/>
      <c r="AC16" s="100">
        <f t="shared" si="13"/>
        <v>300000</v>
      </c>
    </row>
    <row r="17" spans="2:29" s="168" customFormat="1" ht="20.100000000000001" customHeight="1" x14ac:dyDescent="0.3">
      <c r="B17" s="101">
        <v>9</v>
      </c>
      <c r="C17" s="169" t="s">
        <v>247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" si="15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" si="16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si="11"/>
        <v>17600</v>
      </c>
      <c r="W17" s="124">
        <f t="shared" si="12"/>
        <v>229290</v>
      </c>
      <c r="X17" s="128">
        <f t="shared" si="7"/>
        <v>2270710</v>
      </c>
      <c r="Z17" s="98">
        <v>1</v>
      </c>
      <c r="AA17" s="99"/>
      <c r="AC17" s="100">
        <f t="shared" si="13"/>
        <v>300000</v>
      </c>
    </row>
    <row r="18" spans="2:29" ht="20.100000000000001" customHeight="1" x14ac:dyDescent="0.3">
      <c r="B18" s="101">
        <v>10</v>
      </c>
      <c r="C18" s="170" t="s">
        <v>289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14"/>
        <v>2500000</v>
      </c>
      <c r="Q18" s="125">
        <f t="shared" si="1"/>
        <v>25950</v>
      </c>
      <c r="R18" s="126">
        <f t="shared" si="2"/>
        <v>2590</v>
      </c>
      <c r="S18" s="126"/>
      <c r="T18" s="95">
        <f t="shared" si="3"/>
        <v>75460</v>
      </c>
      <c r="U18" s="96">
        <f t="shared" si="4"/>
        <v>8690</v>
      </c>
      <c r="V18" s="127">
        <f t="shared" si="11"/>
        <v>17600</v>
      </c>
      <c r="W18" s="124">
        <f t="shared" si="12"/>
        <v>130290</v>
      </c>
      <c r="X18" s="128">
        <f t="shared" si="7"/>
        <v>2369710</v>
      </c>
      <c r="Z18" s="98">
        <v>1</v>
      </c>
      <c r="AA18" s="99"/>
      <c r="AC18" s="100">
        <f t="shared" si="13"/>
        <v>300000</v>
      </c>
    </row>
    <row r="19" spans="2:29" ht="20.100000000000001" customHeight="1" x14ac:dyDescent="0.3">
      <c r="B19" s="101">
        <v>11</v>
      </c>
      <c r="C19" s="170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14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3"/>
        <v>300000</v>
      </c>
    </row>
    <row r="20" spans="2:29" ht="20.100000000000001" customHeight="1" x14ac:dyDescent="0.3">
      <c r="B20" s="101">
        <v>12</v>
      </c>
      <c r="C20" s="169" t="s">
        <v>288</v>
      </c>
      <c r="D20" s="88" t="s">
        <v>50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04">
        <v>200000</v>
      </c>
      <c r="P20" s="93">
        <f t="shared" si="14"/>
        <v>2500000</v>
      </c>
      <c r="Q20" s="94">
        <v>25950</v>
      </c>
      <c r="R20" s="126">
        <f t="shared" si="2"/>
        <v>2590</v>
      </c>
      <c r="S20" s="126">
        <v>99000</v>
      </c>
      <c r="T20" s="95">
        <v>75460</v>
      </c>
      <c r="U20" s="96">
        <f t="shared" si="4"/>
        <v>8690</v>
      </c>
      <c r="V20" s="127">
        <v>17600</v>
      </c>
      <c r="W20" s="124">
        <f>SUM(Q20:V20)</f>
        <v>229290</v>
      </c>
      <c r="X20" s="97">
        <f t="shared" si="7"/>
        <v>2270710</v>
      </c>
      <c r="Z20" s="98">
        <v>1</v>
      </c>
      <c r="AA20" s="99"/>
      <c r="AC20" s="100"/>
    </row>
    <row r="21" spans="2:29" s="168" customFormat="1" ht="20.100000000000001" customHeight="1" x14ac:dyDescent="0.3">
      <c r="B21" s="101">
        <v>13</v>
      </c>
      <c r="C21" s="87" t="s">
        <v>297</v>
      </c>
      <c r="D21" s="88" t="s">
        <v>50</v>
      </c>
      <c r="E21" s="89">
        <v>2100000</v>
      </c>
      <c r="F21" s="102"/>
      <c r="G21" s="102"/>
      <c r="H21" s="102"/>
      <c r="I21" s="102"/>
      <c r="J21" s="103"/>
      <c r="K21" s="103"/>
      <c r="L21" s="103"/>
      <c r="M21" s="103"/>
      <c r="N21" s="89">
        <v>200000</v>
      </c>
      <c r="O21" s="123">
        <v>200000</v>
      </c>
      <c r="P21" s="124">
        <f t="shared" ref="P21" si="17">SUM(E21:O21)</f>
        <v>2500000</v>
      </c>
      <c r="Q21" s="125">
        <f t="shared" ref="Q21" si="18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>
        <f t="shared" ref="S21" si="19">IFERROR(IF(AND(P21-AC21&gt;=월액최저,P21-AC21&lt;=월액최고),ROUNDDOWN((P21-AC21)*국민연금,-1),IF(P21-AC21&gt;=월액최고,최고연금,IF(AND(P21-AC21&lt;=월액최저,P21-AC21&gt;=1),최저연금,))),)</f>
        <v>99000</v>
      </c>
      <c r="T21" s="95">
        <f t="shared" ref="T21" si="20">IFERROR(ROUNDDOWN((P21-AC21)*3.43%,-1),)</f>
        <v>75460</v>
      </c>
      <c r="U21" s="96">
        <f t="shared" si="4"/>
        <v>8690</v>
      </c>
      <c r="V21" s="127">
        <f t="shared" ref="V21" si="21">IFERROR(IF(D21&lt;&gt;"대표이사",ROUNDDOWN((P21-AC21)*고용보험율,-1),0),)</f>
        <v>17600</v>
      </c>
      <c r="W21" s="124">
        <f t="shared" ref="W21" si="22">SUM(Q21:V21)</f>
        <v>229290</v>
      </c>
      <c r="X21" s="128">
        <f t="shared" si="7"/>
        <v>2270710</v>
      </c>
      <c r="Z21" s="98">
        <v>1</v>
      </c>
      <c r="AA21" s="99"/>
      <c r="AC21" s="100">
        <f t="shared" ref="AC21" si="23">IF(N21&gt;=100000,100000,N21)+IF(O21&gt;=200000,200000,O21)</f>
        <v>300000</v>
      </c>
    </row>
    <row r="22" spans="2:29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24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s="173" customFormat="1" ht="20.100000000000001" customHeight="1" x14ac:dyDescent="0.3">
      <c r="B23" s="101">
        <v>16</v>
      </c>
      <c r="C23" s="169" t="s">
        <v>302</v>
      </c>
      <c r="D23" s="88" t="s">
        <v>303</v>
      </c>
      <c r="E23" s="89">
        <v>1050000</v>
      </c>
      <c r="F23" s="106"/>
      <c r="G23" s="106"/>
      <c r="H23" s="106"/>
      <c r="I23" s="106"/>
      <c r="J23" s="107"/>
      <c r="K23" s="107"/>
      <c r="L23" s="107"/>
      <c r="M23" s="107"/>
      <c r="N23" s="89">
        <v>100000</v>
      </c>
      <c r="O23" s="130">
        <v>100000</v>
      </c>
      <c r="P23" s="124">
        <f t="shared" ref="P23" si="25">SUM(E23:O23)</f>
        <v>1250000</v>
      </c>
      <c r="Q23" s="125">
        <f t="shared" ref="Q23" si="26">IFERROR(IF(P23-AC23&lt;=10000000,VLOOKUP((P23-AC23)/1000,간이세액표,IF(11&lt;Z23+AA23,13,2+Z23+AA23),TRUE),IF(P23-AC23&gt;14000000,VLOOKUP((P23-AC23)/1000,간이세액표,IF(11&lt;Z23+AA23,13,2+Z23+AA23),TRUE)+1372000+ROUNDDOWN(((P23-AC23-14000000)*98%)*38%,-1),VLOOKUP((P23-AC23)/1000,간이세액표,IF(11&lt;Z23+AA23,13,2+Z23+AA23),TRUE)+ROUNDDOWN(((P23-AC23-10000000)*98%)*35%,-1))),)</f>
        <v>0</v>
      </c>
      <c r="R23" s="126">
        <f t="shared" ref="R23" si="27">ROUNDDOWN(Q23*10%,-1)</f>
        <v>0</v>
      </c>
      <c r="S23" s="126">
        <f t="shared" ref="S23" si="28">IFERROR(IF(AND(P23-AC23&gt;=월액최저,P23-AC23&lt;=월액최고),ROUNDDOWN((P23-AC23)*국민연금,-1),IF(P23-AC23&gt;=월액최고,최고연금,IF(AND(P23-AC23&lt;=월액최저,P23-AC23&gt;=1),최저연금,))),)</f>
        <v>47250</v>
      </c>
      <c r="T23" s="95">
        <f t="shared" ref="T23" si="29">IFERROR(ROUNDDOWN((P23-AC23)*3.43%,-1),)</f>
        <v>36010</v>
      </c>
      <c r="U23" s="96">
        <f t="shared" ref="U23" si="30">ROUNDDOWN(T23*11.52%,-1)</f>
        <v>4140</v>
      </c>
      <c r="V23" s="127">
        <f t="shared" ref="V23" si="31">IFERROR(IF(D23&lt;&gt;"대표이사",ROUNDDOWN((P23-AC23)*고용보험율,-1),0),)</f>
        <v>8400</v>
      </c>
      <c r="W23" s="124">
        <f t="shared" ref="W23" si="32">SUM(Q23:V23)</f>
        <v>95800</v>
      </c>
      <c r="X23" s="128">
        <f t="shared" ref="X23" si="33">P23-W23</f>
        <v>1154200</v>
      </c>
      <c r="Z23" s="98">
        <v>1</v>
      </c>
      <c r="AA23" s="99"/>
      <c r="AC23" s="100">
        <f t="shared" ref="AC23" si="34">IF(N23&gt;=100000,100000,N23)+IF(O23&gt;=200000,200000,O23)</f>
        <v>200000</v>
      </c>
    </row>
    <row r="24" spans="2:29" ht="20.100000000000001" customHeight="1" x14ac:dyDescent="0.3">
      <c r="B24" s="101"/>
      <c r="C24" s="170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/>
      <c r="R24" s="126"/>
      <c r="S24" s="126"/>
      <c r="T24" s="95"/>
      <c r="U24" s="96"/>
      <c r="V24" s="127"/>
      <c r="W24" s="124"/>
      <c r="X24" s="128"/>
      <c r="Z24" s="98"/>
      <c r="AA24" s="99"/>
      <c r="AC24" s="100"/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35">SUM(E9:E24)</f>
        <v>30450000</v>
      </c>
      <c r="F25" s="132">
        <f t="shared" si="35"/>
        <v>0</v>
      </c>
      <c r="G25" s="132">
        <f t="shared" si="35"/>
        <v>0</v>
      </c>
      <c r="H25" s="132">
        <f t="shared" si="35"/>
        <v>0</v>
      </c>
      <c r="I25" s="132">
        <f t="shared" si="35"/>
        <v>0</v>
      </c>
      <c r="J25" s="132">
        <f t="shared" si="35"/>
        <v>0</v>
      </c>
      <c r="K25" s="132">
        <f t="shared" si="35"/>
        <v>0</v>
      </c>
      <c r="L25" s="132">
        <f t="shared" si="35"/>
        <v>0</v>
      </c>
      <c r="M25" s="133">
        <f t="shared" si="35"/>
        <v>0</v>
      </c>
      <c r="N25" s="131">
        <f t="shared" si="35"/>
        <v>2900000</v>
      </c>
      <c r="O25" s="134">
        <f t="shared" si="35"/>
        <v>2900000</v>
      </c>
      <c r="P25" s="135">
        <f t="shared" si="35"/>
        <v>36250000</v>
      </c>
      <c r="Q25" s="131">
        <f t="shared" si="35"/>
        <v>363300</v>
      </c>
      <c r="R25" s="132">
        <f t="shared" si="35"/>
        <v>36260</v>
      </c>
      <c r="S25" s="132">
        <f t="shared" si="35"/>
        <v>542250</v>
      </c>
      <c r="T25" s="132">
        <f t="shared" si="35"/>
        <v>1092450</v>
      </c>
      <c r="U25" s="133">
        <f t="shared" si="35"/>
        <v>125800</v>
      </c>
      <c r="V25" s="133">
        <f t="shared" si="35"/>
        <v>254800</v>
      </c>
      <c r="W25" s="135">
        <f t="shared" si="35"/>
        <v>2414860</v>
      </c>
      <c r="X25" s="136">
        <f t="shared" si="35"/>
        <v>33835140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301</v>
      </c>
      <c r="D28" s="197" t="s">
        <v>314</v>
      </c>
      <c r="E28" s="198"/>
      <c r="F28" s="204" t="s">
        <v>304</v>
      </c>
      <c r="G28" s="205"/>
      <c r="H28" s="206" t="s">
        <v>328</v>
      </c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/>
      <c r="D29" s="197"/>
      <c r="E29" s="198"/>
      <c r="F29" s="204"/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 t="s">
        <v>298</v>
      </c>
      <c r="D32" s="197" t="s">
        <v>299</v>
      </c>
      <c r="E32" s="198"/>
      <c r="F32" s="199" t="s">
        <v>300</v>
      </c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 t="s">
        <v>309</v>
      </c>
      <c r="D33" s="197" t="s">
        <v>260</v>
      </c>
      <c r="E33" s="198"/>
      <c r="F33" s="204" t="s">
        <v>310</v>
      </c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5"/>
      <c r="C34" s="147"/>
      <c r="D34" s="197"/>
      <c r="E34" s="198"/>
      <c r="F34" s="204"/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6"/>
      <c r="C35" s="122"/>
      <c r="D35" s="197"/>
      <c r="E35" s="198"/>
      <c r="F35" s="204"/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20.100000000000001" customHeight="1" x14ac:dyDescent="0.3">
      <c r="Q36" s="64"/>
      <c r="R36" s="64"/>
      <c r="S36" s="64"/>
      <c r="T36" s="64"/>
      <c r="U36" s="64"/>
      <c r="V36" s="64"/>
    </row>
    <row r="37" spans="2:22" s="64" customFormat="1" ht="20.100000000000001" customHeight="1" x14ac:dyDescent="0.3">
      <c r="B37" s="167"/>
      <c r="C37" s="167"/>
      <c r="D37" s="167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67"/>
      <c r="C38" s="167"/>
      <c r="D38" s="167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67"/>
      <c r="C39" s="167"/>
      <c r="D39" s="167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67"/>
      <c r="C40" s="167"/>
      <c r="D40" s="167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67"/>
      <c r="C41" s="167"/>
      <c r="D41" s="167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67"/>
      <c r="C42" s="167"/>
      <c r="D42" s="167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67"/>
      <c r="C43" s="167"/>
      <c r="D43" s="167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67"/>
      <c r="C44" s="167"/>
      <c r="D44" s="167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67"/>
      <c r="C45" s="167"/>
      <c r="D45" s="167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67"/>
      <c r="C46" s="167"/>
      <c r="D46" s="167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67"/>
      <c r="C47" s="167"/>
      <c r="D47" s="167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67"/>
      <c r="C48" s="167"/>
      <c r="D48" s="167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67"/>
      <c r="C49" s="167"/>
      <c r="D49" s="167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67"/>
      <c r="C50" s="167"/>
      <c r="D50" s="167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67"/>
      <c r="C51" s="167"/>
      <c r="D51" s="167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67"/>
      <c r="C52" s="167"/>
      <c r="D52" s="167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67"/>
      <c r="C53" s="167"/>
      <c r="D53" s="167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67"/>
      <c r="C54" s="167"/>
      <c r="D54" s="167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67"/>
      <c r="C55" s="167"/>
      <c r="D55" s="167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67"/>
      <c r="C56" s="167"/>
      <c r="D56" s="167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67"/>
      <c r="C57" s="167"/>
      <c r="D57" s="167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67"/>
      <c r="C58" s="167"/>
      <c r="D58" s="167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67"/>
      <c r="C59" s="167"/>
      <c r="D59" s="167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67"/>
      <c r="C60" s="167"/>
      <c r="D60" s="167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67"/>
      <c r="C61" s="167"/>
      <c r="D61" s="167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67"/>
      <c r="C62" s="167"/>
      <c r="D62" s="167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67"/>
      <c r="C63" s="167"/>
      <c r="D63" s="167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67"/>
      <c r="C64" s="167"/>
      <c r="D64" s="167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67"/>
      <c r="C65" s="167"/>
      <c r="D65" s="167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67"/>
      <c r="C66" s="167"/>
      <c r="D66" s="167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67"/>
      <c r="C67" s="167"/>
      <c r="D67" s="167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67"/>
      <c r="C68" s="167"/>
      <c r="D68" s="167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67"/>
      <c r="C69" s="167"/>
      <c r="D69" s="167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67"/>
      <c r="C70" s="167"/>
      <c r="D70" s="167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67"/>
      <c r="C71" s="167"/>
      <c r="D71" s="167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67"/>
      <c r="C72" s="167"/>
      <c r="D72" s="167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67"/>
      <c r="C73" s="167"/>
      <c r="D73" s="167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67"/>
      <c r="C74" s="167"/>
      <c r="D74" s="167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67"/>
      <c r="C75" s="167"/>
      <c r="D75" s="167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67"/>
      <c r="C76" s="167"/>
      <c r="D76" s="167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67"/>
      <c r="C77" s="167"/>
      <c r="D77" s="167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67"/>
      <c r="C78" s="167"/>
      <c r="D78" s="167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67"/>
      <c r="C79" s="167"/>
      <c r="D79" s="167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67"/>
      <c r="C80" s="167"/>
      <c r="D80" s="167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67"/>
      <c r="C81" s="167"/>
      <c r="D81" s="167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67"/>
      <c r="C82" s="167"/>
      <c r="D82" s="167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67"/>
      <c r="C83" s="167"/>
      <c r="D83" s="167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67"/>
      <c r="C84" s="167"/>
      <c r="D84" s="167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67"/>
      <c r="C85" s="167"/>
      <c r="D85" s="167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67"/>
      <c r="C86" s="167"/>
      <c r="D86" s="167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67"/>
      <c r="C87" s="167"/>
      <c r="D87" s="167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67"/>
      <c r="C88" s="167"/>
      <c r="D88" s="167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67"/>
      <c r="C89" s="167"/>
      <c r="D89" s="167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67"/>
      <c r="C90" s="167"/>
      <c r="D90" s="167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67"/>
      <c r="C91" s="167"/>
      <c r="D91" s="167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67"/>
      <c r="C92" s="167"/>
      <c r="D92" s="167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67"/>
      <c r="C93" s="167"/>
      <c r="D93" s="167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67"/>
      <c r="C94" s="167"/>
      <c r="D94" s="167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67"/>
      <c r="C95" s="167"/>
      <c r="D95" s="167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67"/>
      <c r="C96" s="167"/>
      <c r="D96" s="167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67"/>
      <c r="C97" s="167"/>
      <c r="D97" s="167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67"/>
      <c r="C98" s="167"/>
      <c r="D98" s="167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67"/>
      <c r="C99" s="167"/>
      <c r="D99" s="167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67"/>
      <c r="C100" s="167"/>
      <c r="D100" s="167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67"/>
      <c r="C101" s="167"/>
      <c r="D101" s="167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67"/>
      <c r="C102" s="167"/>
      <c r="D102" s="167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67"/>
      <c r="C103" s="167"/>
      <c r="D103" s="167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67"/>
      <c r="C104" s="167"/>
      <c r="D104" s="167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67"/>
      <c r="C105" s="167"/>
      <c r="D105" s="167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67"/>
      <c r="C106" s="167"/>
      <c r="D106" s="167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67"/>
      <c r="C107" s="167"/>
      <c r="D107" s="167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67"/>
      <c r="C108" s="167"/>
      <c r="D108" s="167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67"/>
      <c r="C109" s="167"/>
      <c r="D109" s="167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67"/>
      <c r="C110" s="167"/>
      <c r="D110" s="167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67"/>
      <c r="C111" s="167"/>
      <c r="D111" s="167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67"/>
      <c r="C112" s="167"/>
      <c r="D112" s="167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67"/>
      <c r="C113" s="167"/>
      <c r="D113" s="167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67"/>
      <c r="C114" s="167"/>
      <c r="D114" s="167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67"/>
      <c r="C115" s="167"/>
      <c r="D115" s="167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67"/>
      <c r="C116" s="167"/>
      <c r="D116" s="167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67"/>
      <c r="C117" s="167"/>
      <c r="D117" s="167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67"/>
      <c r="C118" s="167"/>
      <c r="D118" s="167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67"/>
      <c r="C119" s="167"/>
      <c r="D119" s="167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67"/>
      <c r="C120" s="167"/>
      <c r="D120" s="167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67"/>
      <c r="C121" s="167"/>
      <c r="D121" s="167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67"/>
      <c r="C122" s="167"/>
      <c r="D122" s="167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67"/>
      <c r="C123" s="167"/>
      <c r="D123" s="167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67"/>
      <c r="C124" s="167"/>
      <c r="D124" s="167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67"/>
      <c r="C125" s="167"/>
      <c r="D125" s="167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67"/>
      <c r="C126" s="167"/>
      <c r="D126" s="167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67"/>
      <c r="C127" s="167"/>
      <c r="D127" s="167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67"/>
      <c r="C128" s="167"/>
      <c r="D128" s="167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67"/>
      <c r="C129" s="167"/>
      <c r="D129" s="167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67"/>
      <c r="C130" s="167"/>
      <c r="D130" s="167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67"/>
      <c r="C131" s="167"/>
      <c r="D131" s="167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67"/>
      <c r="C132" s="167"/>
      <c r="D132" s="167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67"/>
      <c r="C133" s="167"/>
      <c r="D133" s="167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67"/>
      <c r="C134" s="167"/>
      <c r="D134" s="167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67"/>
      <c r="C135" s="167"/>
      <c r="D135" s="167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67"/>
      <c r="C136" s="167"/>
      <c r="D136" s="167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67"/>
      <c r="C137" s="167"/>
      <c r="D137" s="167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67"/>
      <c r="C138" s="167"/>
      <c r="D138" s="167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67"/>
      <c r="C139" s="167"/>
      <c r="D139" s="167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67"/>
      <c r="C140" s="167"/>
      <c r="D140" s="167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67"/>
      <c r="C141" s="167"/>
      <c r="D141" s="167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67"/>
      <c r="C142" s="167"/>
      <c r="D142" s="167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67"/>
      <c r="C143" s="167"/>
      <c r="D143" s="167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67"/>
      <c r="C144" s="167"/>
      <c r="D144" s="167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67"/>
      <c r="C145" s="167"/>
      <c r="D145" s="167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67"/>
      <c r="C146" s="167"/>
      <c r="D146" s="167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67"/>
      <c r="C147" s="167"/>
      <c r="D147" s="167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67"/>
      <c r="C148" s="167"/>
      <c r="D148" s="167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67"/>
      <c r="C149" s="167"/>
      <c r="D149" s="167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67"/>
      <c r="C150" s="167"/>
      <c r="D150" s="167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67"/>
      <c r="C151" s="167"/>
      <c r="D151" s="167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67"/>
      <c r="C152" s="167"/>
      <c r="D152" s="167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67"/>
      <c r="C153" s="167"/>
      <c r="D153" s="167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67"/>
      <c r="C154" s="167"/>
      <c r="D154" s="167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67"/>
      <c r="C155" s="167"/>
      <c r="D155" s="167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67"/>
      <c r="C156" s="167"/>
      <c r="D156" s="167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67"/>
      <c r="C157" s="167"/>
      <c r="D157" s="167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67"/>
      <c r="C158" s="167"/>
      <c r="D158" s="167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67"/>
      <c r="C159" s="167"/>
      <c r="D159" s="167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67"/>
      <c r="C160" s="167"/>
      <c r="D160" s="167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67"/>
      <c r="C161" s="167"/>
      <c r="D161" s="167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67"/>
      <c r="C162" s="167"/>
      <c r="D162" s="167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67"/>
      <c r="C163" s="167"/>
      <c r="D163" s="167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67"/>
      <c r="C164" s="167"/>
      <c r="D164" s="167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67"/>
      <c r="C165" s="167"/>
      <c r="D165" s="167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67"/>
      <c r="C166" s="167"/>
      <c r="D166" s="167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67"/>
      <c r="C167" s="167"/>
      <c r="D167" s="167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67"/>
      <c r="C168" s="167"/>
      <c r="D168" s="167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67"/>
      <c r="C169" s="167"/>
      <c r="D169" s="167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67"/>
      <c r="C170" s="167"/>
      <c r="D170" s="167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67"/>
      <c r="C171" s="167"/>
      <c r="D171" s="167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67"/>
      <c r="C172" s="167"/>
      <c r="D172" s="167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67"/>
      <c r="C173" s="167"/>
      <c r="D173" s="167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67"/>
      <c r="C174" s="167"/>
      <c r="D174" s="167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67"/>
      <c r="C175" s="167"/>
      <c r="D175" s="167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67"/>
      <c r="C176" s="167"/>
      <c r="D176" s="167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67"/>
      <c r="C177" s="167"/>
      <c r="D177" s="167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67"/>
      <c r="C178" s="167"/>
      <c r="D178" s="167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67"/>
      <c r="C179" s="167"/>
      <c r="D179" s="167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67"/>
      <c r="C180" s="167"/>
      <c r="D180" s="167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67"/>
      <c r="C181" s="167"/>
      <c r="D181" s="167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67"/>
      <c r="C182" s="167"/>
      <c r="D182" s="167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67"/>
      <c r="C183" s="167"/>
      <c r="D183" s="167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67"/>
      <c r="C184" s="167"/>
      <c r="D184" s="167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67"/>
      <c r="C185" s="167"/>
      <c r="D185" s="167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67"/>
      <c r="C186" s="167"/>
      <c r="D186" s="167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67"/>
      <c r="C187" s="167"/>
      <c r="D187" s="167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67"/>
      <c r="C188" s="167"/>
      <c r="D188" s="167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67"/>
      <c r="C189" s="167"/>
      <c r="D189" s="167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67"/>
      <c r="C190" s="167"/>
      <c r="D190" s="167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67"/>
      <c r="C191" s="167"/>
      <c r="D191" s="167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67"/>
      <c r="C192" s="167"/>
      <c r="D192" s="167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67"/>
      <c r="C193" s="167"/>
      <c r="D193" s="167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67"/>
      <c r="C194" s="167"/>
      <c r="D194" s="167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67"/>
      <c r="C195" s="167"/>
      <c r="D195" s="167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67"/>
      <c r="C196" s="167"/>
      <c r="D196" s="167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67"/>
      <c r="C197" s="167"/>
      <c r="D197" s="167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67"/>
      <c r="C198" s="167"/>
      <c r="D198" s="167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67"/>
      <c r="C199" s="167"/>
      <c r="D199" s="167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67"/>
      <c r="C200" s="167"/>
      <c r="D200" s="167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67"/>
      <c r="C201" s="167"/>
      <c r="D201" s="167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67"/>
      <c r="C202" s="167"/>
      <c r="D202" s="167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67"/>
      <c r="C203" s="167"/>
      <c r="D203" s="167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67"/>
      <c r="C204" s="167"/>
      <c r="D204" s="167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67"/>
      <c r="C205" s="167"/>
      <c r="D205" s="167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67"/>
      <c r="C206" s="167"/>
      <c r="D206" s="167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67"/>
      <c r="C207" s="167"/>
      <c r="D207" s="167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67"/>
      <c r="C208" s="167"/>
      <c r="D208" s="167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67"/>
      <c r="C209" s="167"/>
      <c r="D209" s="167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67"/>
      <c r="C210" s="167"/>
      <c r="D210" s="167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67"/>
      <c r="C211" s="167"/>
      <c r="D211" s="167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67"/>
      <c r="C212" s="167"/>
      <c r="D212" s="167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67"/>
      <c r="C213" s="167"/>
      <c r="D213" s="167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67"/>
      <c r="C214" s="167"/>
      <c r="D214" s="167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67"/>
      <c r="C215" s="167"/>
      <c r="D215" s="167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67"/>
      <c r="C216" s="167"/>
      <c r="D216" s="167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67"/>
      <c r="C217" s="167"/>
      <c r="D217" s="167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67"/>
      <c r="C218" s="167"/>
      <c r="D218" s="167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67"/>
      <c r="C219" s="167"/>
      <c r="D219" s="167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67"/>
      <c r="C220" s="167"/>
      <c r="D220" s="167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67"/>
      <c r="C221" s="167"/>
      <c r="D221" s="167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67"/>
      <c r="C222" s="167"/>
      <c r="D222" s="167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67"/>
      <c r="C223" s="167"/>
      <c r="D223" s="167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67"/>
      <c r="C224" s="167"/>
      <c r="D224" s="167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67"/>
      <c r="C225" s="167"/>
      <c r="D225" s="167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67"/>
      <c r="C226" s="167"/>
      <c r="D226" s="167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67"/>
      <c r="C227" s="167"/>
      <c r="D227" s="167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67"/>
      <c r="C228" s="167"/>
      <c r="D228" s="167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67"/>
      <c r="C229" s="167"/>
      <c r="D229" s="167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67"/>
      <c r="C230" s="167"/>
      <c r="D230" s="167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67"/>
      <c r="C231" s="167"/>
      <c r="D231" s="167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67"/>
      <c r="C232" s="167"/>
      <c r="D232" s="167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67"/>
      <c r="C233" s="167"/>
      <c r="D233" s="167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67"/>
      <c r="C234" s="167"/>
      <c r="D234" s="167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67"/>
      <c r="C235" s="167"/>
      <c r="D235" s="167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67"/>
      <c r="C236" s="167"/>
      <c r="D236" s="167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67"/>
      <c r="C237" s="167"/>
      <c r="D237" s="167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67"/>
      <c r="C238" s="167"/>
      <c r="D238" s="167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67"/>
      <c r="C239" s="167"/>
      <c r="D239" s="167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67"/>
      <c r="C240" s="167"/>
      <c r="D240" s="167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67"/>
      <c r="C241" s="167"/>
      <c r="D241" s="167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67"/>
      <c r="C242" s="167"/>
      <c r="D242" s="167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67"/>
      <c r="C243" s="167"/>
      <c r="D243" s="167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67"/>
      <c r="C244" s="167"/>
      <c r="D244" s="167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67"/>
      <c r="C245" s="167"/>
      <c r="D245" s="167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67"/>
      <c r="C246" s="167"/>
      <c r="D246" s="167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67"/>
      <c r="C247" s="167"/>
      <c r="D247" s="167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67"/>
      <c r="C248" s="167"/>
      <c r="D248" s="167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67"/>
      <c r="C249" s="167"/>
      <c r="D249" s="167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67"/>
      <c r="C250" s="167"/>
      <c r="D250" s="167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67"/>
      <c r="C251" s="167"/>
      <c r="D251" s="167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67"/>
      <c r="C252" s="167"/>
      <c r="D252" s="167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67"/>
      <c r="C253" s="167"/>
      <c r="D253" s="167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67"/>
      <c r="C254" s="167"/>
      <c r="D254" s="167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67"/>
      <c r="C255" s="167"/>
      <c r="D255" s="167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67"/>
      <c r="C256" s="167"/>
      <c r="D256" s="167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67"/>
      <c r="C257" s="167"/>
      <c r="D257" s="167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67"/>
      <c r="C258" s="167"/>
      <c r="D258" s="167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67"/>
      <c r="C259" s="167"/>
      <c r="D259" s="167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67"/>
      <c r="C260" s="167"/>
      <c r="D260" s="167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67"/>
      <c r="C261" s="167"/>
      <c r="D261" s="167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67"/>
      <c r="C262" s="167"/>
      <c r="D262" s="167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67"/>
      <c r="C263" s="167"/>
      <c r="D263" s="167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67"/>
      <c r="C264" s="167"/>
      <c r="D264" s="167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67"/>
      <c r="C265" s="167"/>
      <c r="D265" s="167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67"/>
      <c r="C266" s="167"/>
      <c r="D266" s="167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67"/>
      <c r="C267" s="167"/>
      <c r="D267" s="167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67"/>
      <c r="C268" s="167"/>
      <c r="D268" s="167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67"/>
      <c r="C269" s="167"/>
      <c r="D269" s="167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67"/>
      <c r="C270" s="167"/>
      <c r="D270" s="167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67"/>
      <c r="C271" s="167"/>
      <c r="D271" s="167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67"/>
      <c r="C272" s="167"/>
      <c r="D272" s="167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67"/>
      <c r="C273" s="167"/>
      <c r="D273" s="167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67"/>
      <c r="C274" s="167"/>
      <c r="D274" s="167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67"/>
      <c r="C275" s="167"/>
      <c r="D275" s="167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67"/>
      <c r="C276" s="167"/>
      <c r="D276" s="167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67"/>
      <c r="C277" s="167"/>
      <c r="D277" s="167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67"/>
      <c r="C278" s="167"/>
      <c r="D278" s="167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67"/>
      <c r="C279" s="167"/>
      <c r="D279" s="167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67"/>
      <c r="C280" s="167"/>
      <c r="D280" s="167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67"/>
      <c r="C281" s="167"/>
      <c r="D281" s="167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67"/>
      <c r="C282" s="167"/>
      <c r="D282" s="167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67"/>
      <c r="C283" s="167"/>
      <c r="D283" s="167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B32:B35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  <mergeCell ref="D31:E31"/>
    <mergeCell ref="F31:G31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3"/>
  <sheetViews>
    <sheetView topLeftCell="A7" workbookViewId="0">
      <selection activeCell="H22" sqref="H22"/>
    </sheetView>
  </sheetViews>
  <sheetFormatPr defaultRowHeight="13.5" x14ac:dyDescent="0.3"/>
  <cols>
    <col min="1" max="1" width="1.625" style="173" customWidth="1"/>
    <col min="2" max="2" width="4.625" style="173" bestFit="1" customWidth="1"/>
    <col min="3" max="3" width="7.625" style="173" bestFit="1" customWidth="1"/>
    <col min="4" max="4" width="8" style="173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73" customWidth="1"/>
    <col min="26" max="26" width="8.375" style="173" customWidth="1"/>
    <col min="27" max="27" width="7.25" style="173" customWidth="1"/>
    <col min="28" max="28" width="3.875" style="173" customWidth="1"/>
    <col min="29" max="29" width="0.5" style="173" customWidth="1"/>
    <col min="30" max="257" width="9" style="173"/>
    <col min="258" max="258" width="4.625" style="173" bestFit="1" customWidth="1"/>
    <col min="259" max="259" width="7.5" style="173" bestFit="1" customWidth="1"/>
    <col min="260" max="260" width="6.25" style="173" customWidth="1"/>
    <col min="261" max="261" width="11" style="173" bestFit="1" customWidth="1"/>
    <col min="262" max="263" width="9.625" style="173" bestFit="1" customWidth="1"/>
    <col min="264" max="264" width="8.25" style="173" bestFit="1" customWidth="1"/>
    <col min="265" max="266" width="9.625" style="173" bestFit="1" customWidth="1"/>
    <col min="267" max="267" width="8.25" style="173" bestFit="1" customWidth="1"/>
    <col min="268" max="269" width="9.625" style="173" bestFit="1" customWidth="1"/>
    <col min="270" max="271" width="8.25" style="173" bestFit="1" customWidth="1"/>
    <col min="272" max="272" width="11" style="173" bestFit="1" customWidth="1"/>
    <col min="273" max="273" width="8" style="173" bestFit="1" customWidth="1"/>
    <col min="274" max="274" width="7.75" style="173" bestFit="1" customWidth="1"/>
    <col min="275" max="276" width="9.625" style="173" bestFit="1" customWidth="1"/>
    <col min="277" max="278" width="9.625" style="173" customWidth="1"/>
    <col min="279" max="279" width="9.25" style="173" bestFit="1" customWidth="1"/>
    <col min="280" max="280" width="11" style="173" bestFit="1" customWidth="1"/>
    <col min="281" max="513" width="9" style="173"/>
    <col min="514" max="514" width="4.625" style="173" bestFit="1" customWidth="1"/>
    <col min="515" max="515" width="7.5" style="173" bestFit="1" customWidth="1"/>
    <col min="516" max="516" width="6.25" style="173" customWidth="1"/>
    <col min="517" max="517" width="11" style="173" bestFit="1" customWidth="1"/>
    <col min="518" max="519" width="9.625" style="173" bestFit="1" customWidth="1"/>
    <col min="520" max="520" width="8.25" style="173" bestFit="1" customWidth="1"/>
    <col min="521" max="522" width="9.625" style="173" bestFit="1" customWidth="1"/>
    <col min="523" max="523" width="8.25" style="173" bestFit="1" customWidth="1"/>
    <col min="524" max="525" width="9.625" style="173" bestFit="1" customWidth="1"/>
    <col min="526" max="527" width="8.25" style="173" bestFit="1" customWidth="1"/>
    <col min="528" max="528" width="11" style="173" bestFit="1" customWidth="1"/>
    <col min="529" max="529" width="8" style="173" bestFit="1" customWidth="1"/>
    <col min="530" max="530" width="7.75" style="173" bestFit="1" customWidth="1"/>
    <col min="531" max="532" width="9.625" style="173" bestFit="1" customWidth="1"/>
    <col min="533" max="534" width="9.625" style="173" customWidth="1"/>
    <col min="535" max="535" width="9.25" style="173" bestFit="1" customWidth="1"/>
    <col min="536" max="536" width="11" style="173" bestFit="1" customWidth="1"/>
    <col min="537" max="769" width="9" style="173"/>
    <col min="770" max="770" width="4.625" style="173" bestFit="1" customWidth="1"/>
    <col min="771" max="771" width="7.5" style="173" bestFit="1" customWidth="1"/>
    <col min="772" max="772" width="6.25" style="173" customWidth="1"/>
    <col min="773" max="773" width="11" style="173" bestFit="1" customWidth="1"/>
    <col min="774" max="775" width="9.625" style="173" bestFit="1" customWidth="1"/>
    <col min="776" max="776" width="8.25" style="173" bestFit="1" customWidth="1"/>
    <col min="777" max="778" width="9.625" style="173" bestFit="1" customWidth="1"/>
    <col min="779" max="779" width="8.25" style="173" bestFit="1" customWidth="1"/>
    <col min="780" max="781" width="9.625" style="173" bestFit="1" customWidth="1"/>
    <col min="782" max="783" width="8.25" style="173" bestFit="1" customWidth="1"/>
    <col min="784" max="784" width="11" style="173" bestFit="1" customWidth="1"/>
    <col min="785" max="785" width="8" style="173" bestFit="1" customWidth="1"/>
    <col min="786" max="786" width="7.75" style="173" bestFit="1" customWidth="1"/>
    <col min="787" max="788" width="9.625" style="173" bestFit="1" customWidth="1"/>
    <col min="789" max="790" width="9.625" style="173" customWidth="1"/>
    <col min="791" max="791" width="9.25" style="173" bestFit="1" customWidth="1"/>
    <col min="792" max="792" width="11" style="173" bestFit="1" customWidth="1"/>
    <col min="793" max="1025" width="9" style="173"/>
    <col min="1026" max="1026" width="4.625" style="173" bestFit="1" customWidth="1"/>
    <col min="1027" max="1027" width="7.5" style="173" bestFit="1" customWidth="1"/>
    <col min="1028" max="1028" width="6.25" style="173" customWidth="1"/>
    <col min="1029" max="1029" width="11" style="173" bestFit="1" customWidth="1"/>
    <col min="1030" max="1031" width="9.625" style="173" bestFit="1" customWidth="1"/>
    <col min="1032" max="1032" width="8.25" style="173" bestFit="1" customWidth="1"/>
    <col min="1033" max="1034" width="9.625" style="173" bestFit="1" customWidth="1"/>
    <col min="1035" max="1035" width="8.25" style="173" bestFit="1" customWidth="1"/>
    <col min="1036" max="1037" width="9.625" style="173" bestFit="1" customWidth="1"/>
    <col min="1038" max="1039" width="8.25" style="173" bestFit="1" customWidth="1"/>
    <col min="1040" max="1040" width="11" style="173" bestFit="1" customWidth="1"/>
    <col min="1041" max="1041" width="8" style="173" bestFit="1" customWidth="1"/>
    <col min="1042" max="1042" width="7.75" style="173" bestFit="1" customWidth="1"/>
    <col min="1043" max="1044" width="9.625" style="173" bestFit="1" customWidth="1"/>
    <col min="1045" max="1046" width="9.625" style="173" customWidth="1"/>
    <col min="1047" max="1047" width="9.25" style="173" bestFit="1" customWidth="1"/>
    <col min="1048" max="1048" width="11" style="173" bestFit="1" customWidth="1"/>
    <col min="1049" max="1281" width="9" style="173"/>
    <col min="1282" max="1282" width="4.625" style="173" bestFit="1" customWidth="1"/>
    <col min="1283" max="1283" width="7.5" style="173" bestFit="1" customWidth="1"/>
    <col min="1284" max="1284" width="6.25" style="173" customWidth="1"/>
    <col min="1285" max="1285" width="11" style="173" bestFit="1" customWidth="1"/>
    <col min="1286" max="1287" width="9.625" style="173" bestFit="1" customWidth="1"/>
    <col min="1288" max="1288" width="8.25" style="173" bestFit="1" customWidth="1"/>
    <col min="1289" max="1290" width="9.625" style="173" bestFit="1" customWidth="1"/>
    <col min="1291" max="1291" width="8.25" style="173" bestFit="1" customWidth="1"/>
    <col min="1292" max="1293" width="9.625" style="173" bestFit="1" customWidth="1"/>
    <col min="1294" max="1295" width="8.25" style="173" bestFit="1" customWidth="1"/>
    <col min="1296" max="1296" width="11" style="173" bestFit="1" customWidth="1"/>
    <col min="1297" max="1297" width="8" style="173" bestFit="1" customWidth="1"/>
    <col min="1298" max="1298" width="7.75" style="173" bestFit="1" customWidth="1"/>
    <col min="1299" max="1300" width="9.625" style="173" bestFit="1" customWidth="1"/>
    <col min="1301" max="1302" width="9.625" style="173" customWidth="1"/>
    <col min="1303" max="1303" width="9.25" style="173" bestFit="1" customWidth="1"/>
    <col min="1304" max="1304" width="11" style="173" bestFit="1" customWidth="1"/>
    <col min="1305" max="1537" width="9" style="173"/>
    <col min="1538" max="1538" width="4.625" style="173" bestFit="1" customWidth="1"/>
    <col min="1539" max="1539" width="7.5" style="173" bestFit="1" customWidth="1"/>
    <col min="1540" max="1540" width="6.25" style="173" customWidth="1"/>
    <col min="1541" max="1541" width="11" style="173" bestFit="1" customWidth="1"/>
    <col min="1542" max="1543" width="9.625" style="173" bestFit="1" customWidth="1"/>
    <col min="1544" max="1544" width="8.25" style="173" bestFit="1" customWidth="1"/>
    <col min="1545" max="1546" width="9.625" style="173" bestFit="1" customWidth="1"/>
    <col min="1547" max="1547" width="8.25" style="173" bestFit="1" customWidth="1"/>
    <col min="1548" max="1549" width="9.625" style="173" bestFit="1" customWidth="1"/>
    <col min="1550" max="1551" width="8.25" style="173" bestFit="1" customWidth="1"/>
    <col min="1552" max="1552" width="11" style="173" bestFit="1" customWidth="1"/>
    <col min="1553" max="1553" width="8" style="173" bestFit="1" customWidth="1"/>
    <col min="1554" max="1554" width="7.75" style="173" bestFit="1" customWidth="1"/>
    <col min="1555" max="1556" width="9.625" style="173" bestFit="1" customWidth="1"/>
    <col min="1557" max="1558" width="9.625" style="173" customWidth="1"/>
    <col min="1559" max="1559" width="9.25" style="173" bestFit="1" customWidth="1"/>
    <col min="1560" max="1560" width="11" style="173" bestFit="1" customWidth="1"/>
    <col min="1561" max="1793" width="9" style="173"/>
    <col min="1794" max="1794" width="4.625" style="173" bestFit="1" customWidth="1"/>
    <col min="1795" max="1795" width="7.5" style="173" bestFit="1" customWidth="1"/>
    <col min="1796" max="1796" width="6.25" style="173" customWidth="1"/>
    <col min="1797" max="1797" width="11" style="173" bestFit="1" customWidth="1"/>
    <col min="1798" max="1799" width="9.625" style="173" bestFit="1" customWidth="1"/>
    <col min="1800" max="1800" width="8.25" style="173" bestFit="1" customWidth="1"/>
    <col min="1801" max="1802" width="9.625" style="173" bestFit="1" customWidth="1"/>
    <col min="1803" max="1803" width="8.25" style="173" bestFit="1" customWidth="1"/>
    <col min="1804" max="1805" width="9.625" style="173" bestFit="1" customWidth="1"/>
    <col min="1806" max="1807" width="8.25" style="173" bestFit="1" customWidth="1"/>
    <col min="1808" max="1808" width="11" style="173" bestFit="1" customWidth="1"/>
    <col min="1809" max="1809" width="8" style="173" bestFit="1" customWidth="1"/>
    <col min="1810" max="1810" width="7.75" style="173" bestFit="1" customWidth="1"/>
    <col min="1811" max="1812" width="9.625" style="173" bestFit="1" customWidth="1"/>
    <col min="1813" max="1814" width="9.625" style="173" customWidth="1"/>
    <col min="1815" max="1815" width="9.25" style="173" bestFit="1" customWidth="1"/>
    <col min="1816" max="1816" width="11" style="173" bestFit="1" customWidth="1"/>
    <col min="1817" max="2049" width="9" style="173"/>
    <col min="2050" max="2050" width="4.625" style="173" bestFit="1" customWidth="1"/>
    <col min="2051" max="2051" width="7.5" style="173" bestFit="1" customWidth="1"/>
    <col min="2052" max="2052" width="6.25" style="173" customWidth="1"/>
    <col min="2053" max="2053" width="11" style="173" bestFit="1" customWidth="1"/>
    <col min="2054" max="2055" width="9.625" style="173" bestFit="1" customWidth="1"/>
    <col min="2056" max="2056" width="8.25" style="173" bestFit="1" customWidth="1"/>
    <col min="2057" max="2058" width="9.625" style="173" bestFit="1" customWidth="1"/>
    <col min="2059" max="2059" width="8.25" style="173" bestFit="1" customWidth="1"/>
    <col min="2060" max="2061" width="9.625" style="173" bestFit="1" customWidth="1"/>
    <col min="2062" max="2063" width="8.25" style="173" bestFit="1" customWidth="1"/>
    <col min="2064" max="2064" width="11" style="173" bestFit="1" customWidth="1"/>
    <col min="2065" max="2065" width="8" style="173" bestFit="1" customWidth="1"/>
    <col min="2066" max="2066" width="7.75" style="173" bestFit="1" customWidth="1"/>
    <col min="2067" max="2068" width="9.625" style="173" bestFit="1" customWidth="1"/>
    <col min="2069" max="2070" width="9.625" style="173" customWidth="1"/>
    <col min="2071" max="2071" width="9.25" style="173" bestFit="1" customWidth="1"/>
    <col min="2072" max="2072" width="11" style="173" bestFit="1" customWidth="1"/>
    <col min="2073" max="2305" width="9" style="173"/>
    <col min="2306" max="2306" width="4.625" style="173" bestFit="1" customWidth="1"/>
    <col min="2307" max="2307" width="7.5" style="173" bestFit="1" customWidth="1"/>
    <col min="2308" max="2308" width="6.25" style="173" customWidth="1"/>
    <col min="2309" max="2309" width="11" style="173" bestFit="1" customWidth="1"/>
    <col min="2310" max="2311" width="9.625" style="173" bestFit="1" customWidth="1"/>
    <col min="2312" max="2312" width="8.25" style="173" bestFit="1" customWidth="1"/>
    <col min="2313" max="2314" width="9.625" style="173" bestFit="1" customWidth="1"/>
    <col min="2315" max="2315" width="8.25" style="173" bestFit="1" customWidth="1"/>
    <col min="2316" max="2317" width="9.625" style="173" bestFit="1" customWidth="1"/>
    <col min="2318" max="2319" width="8.25" style="173" bestFit="1" customWidth="1"/>
    <col min="2320" max="2320" width="11" style="173" bestFit="1" customWidth="1"/>
    <col min="2321" max="2321" width="8" style="173" bestFit="1" customWidth="1"/>
    <col min="2322" max="2322" width="7.75" style="173" bestFit="1" customWidth="1"/>
    <col min="2323" max="2324" width="9.625" style="173" bestFit="1" customWidth="1"/>
    <col min="2325" max="2326" width="9.625" style="173" customWidth="1"/>
    <col min="2327" max="2327" width="9.25" style="173" bestFit="1" customWidth="1"/>
    <col min="2328" max="2328" width="11" style="173" bestFit="1" customWidth="1"/>
    <col min="2329" max="2561" width="9" style="173"/>
    <col min="2562" max="2562" width="4.625" style="173" bestFit="1" customWidth="1"/>
    <col min="2563" max="2563" width="7.5" style="173" bestFit="1" customWidth="1"/>
    <col min="2564" max="2564" width="6.25" style="173" customWidth="1"/>
    <col min="2565" max="2565" width="11" style="173" bestFit="1" customWidth="1"/>
    <col min="2566" max="2567" width="9.625" style="173" bestFit="1" customWidth="1"/>
    <col min="2568" max="2568" width="8.25" style="173" bestFit="1" customWidth="1"/>
    <col min="2569" max="2570" width="9.625" style="173" bestFit="1" customWidth="1"/>
    <col min="2571" max="2571" width="8.25" style="173" bestFit="1" customWidth="1"/>
    <col min="2572" max="2573" width="9.625" style="173" bestFit="1" customWidth="1"/>
    <col min="2574" max="2575" width="8.25" style="173" bestFit="1" customWidth="1"/>
    <col min="2576" max="2576" width="11" style="173" bestFit="1" customWidth="1"/>
    <col min="2577" max="2577" width="8" style="173" bestFit="1" customWidth="1"/>
    <col min="2578" max="2578" width="7.75" style="173" bestFit="1" customWidth="1"/>
    <col min="2579" max="2580" width="9.625" style="173" bestFit="1" customWidth="1"/>
    <col min="2581" max="2582" width="9.625" style="173" customWidth="1"/>
    <col min="2583" max="2583" width="9.25" style="173" bestFit="1" customWidth="1"/>
    <col min="2584" max="2584" width="11" style="173" bestFit="1" customWidth="1"/>
    <col min="2585" max="2817" width="9" style="173"/>
    <col min="2818" max="2818" width="4.625" style="173" bestFit="1" customWidth="1"/>
    <col min="2819" max="2819" width="7.5" style="173" bestFit="1" customWidth="1"/>
    <col min="2820" max="2820" width="6.25" style="173" customWidth="1"/>
    <col min="2821" max="2821" width="11" style="173" bestFit="1" customWidth="1"/>
    <col min="2822" max="2823" width="9.625" style="173" bestFit="1" customWidth="1"/>
    <col min="2824" max="2824" width="8.25" style="173" bestFit="1" customWidth="1"/>
    <col min="2825" max="2826" width="9.625" style="173" bestFit="1" customWidth="1"/>
    <col min="2827" max="2827" width="8.25" style="173" bestFit="1" customWidth="1"/>
    <col min="2828" max="2829" width="9.625" style="173" bestFit="1" customWidth="1"/>
    <col min="2830" max="2831" width="8.25" style="173" bestFit="1" customWidth="1"/>
    <col min="2832" max="2832" width="11" style="173" bestFit="1" customWidth="1"/>
    <col min="2833" max="2833" width="8" style="173" bestFit="1" customWidth="1"/>
    <col min="2834" max="2834" width="7.75" style="173" bestFit="1" customWidth="1"/>
    <col min="2835" max="2836" width="9.625" style="173" bestFit="1" customWidth="1"/>
    <col min="2837" max="2838" width="9.625" style="173" customWidth="1"/>
    <col min="2839" max="2839" width="9.25" style="173" bestFit="1" customWidth="1"/>
    <col min="2840" max="2840" width="11" style="173" bestFit="1" customWidth="1"/>
    <col min="2841" max="3073" width="9" style="173"/>
    <col min="3074" max="3074" width="4.625" style="173" bestFit="1" customWidth="1"/>
    <col min="3075" max="3075" width="7.5" style="173" bestFit="1" customWidth="1"/>
    <col min="3076" max="3076" width="6.25" style="173" customWidth="1"/>
    <col min="3077" max="3077" width="11" style="173" bestFit="1" customWidth="1"/>
    <col min="3078" max="3079" width="9.625" style="173" bestFit="1" customWidth="1"/>
    <col min="3080" max="3080" width="8.25" style="173" bestFit="1" customWidth="1"/>
    <col min="3081" max="3082" width="9.625" style="173" bestFit="1" customWidth="1"/>
    <col min="3083" max="3083" width="8.25" style="173" bestFit="1" customWidth="1"/>
    <col min="3084" max="3085" width="9.625" style="173" bestFit="1" customWidth="1"/>
    <col min="3086" max="3087" width="8.25" style="173" bestFit="1" customWidth="1"/>
    <col min="3088" max="3088" width="11" style="173" bestFit="1" customWidth="1"/>
    <col min="3089" max="3089" width="8" style="173" bestFit="1" customWidth="1"/>
    <col min="3090" max="3090" width="7.75" style="173" bestFit="1" customWidth="1"/>
    <col min="3091" max="3092" width="9.625" style="173" bestFit="1" customWidth="1"/>
    <col min="3093" max="3094" width="9.625" style="173" customWidth="1"/>
    <col min="3095" max="3095" width="9.25" style="173" bestFit="1" customWidth="1"/>
    <col min="3096" max="3096" width="11" style="173" bestFit="1" customWidth="1"/>
    <col min="3097" max="3329" width="9" style="173"/>
    <col min="3330" max="3330" width="4.625" style="173" bestFit="1" customWidth="1"/>
    <col min="3331" max="3331" width="7.5" style="173" bestFit="1" customWidth="1"/>
    <col min="3332" max="3332" width="6.25" style="173" customWidth="1"/>
    <col min="3333" max="3333" width="11" style="173" bestFit="1" customWidth="1"/>
    <col min="3334" max="3335" width="9.625" style="173" bestFit="1" customWidth="1"/>
    <col min="3336" max="3336" width="8.25" style="173" bestFit="1" customWidth="1"/>
    <col min="3337" max="3338" width="9.625" style="173" bestFit="1" customWidth="1"/>
    <col min="3339" max="3339" width="8.25" style="173" bestFit="1" customWidth="1"/>
    <col min="3340" max="3341" width="9.625" style="173" bestFit="1" customWidth="1"/>
    <col min="3342" max="3343" width="8.25" style="173" bestFit="1" customWidth="1"/>
    <col min="3344" max="3344" width="11" style="173" bestFit="1" customWidth="1"/>
    <col min="3345" max="3345" width="8" style="173" bestFit="1" customWidth="1"/>
    <col min="3346" max="3346" width="7.75" style="173" bestFit="1" customWidth="1"/>
    <col min="3347" max="3348" width="9.625" style="173" bestFit="1" customWidth="1"/>
    <col min="3349" max="3350" width="9.625" style="173" customWidth="1"/>
    <col min="3351" max="3351" width="9.25" style="173" bestFit="1" customWidth="1"/>
    <col min="3352" max="3352" width="11" style="173" bestFit="1" customWidth="1"/>
    <col min="3353" max="3585" width="9" style="173"/>
    <col min="3586" max="3586" width="4.625" style="173" bestFit="1" customWidth="1"/>
    <col min="3587" max="3587" width="7.5" style="173" bestFit="1" customWidth="1"/>
    <col min="3588" max="3588" width="6.25" style="173" customWidth="1"/>
    <col min="3589" max="3589" width="11" style="173" bestFit="1" customWidth="1"/>
    <col min="3590" max="3591" width="9.625" style="173" bestFit="1" customWidth="1"/>
    <col min="3592" max="3592" width="8.25" style="173" bestFit="1" customWidth="1"/>
    <col min="3593" max="3594" width="9.625" style="173" bestFit="1" customWidth="1"/>
    <col min="3595" max="3595" width="8.25" style="173" bestFit="1" customWidth="1"/>
    <col min="3596" max="3597" width="9.625" style="173" bestFit="1" customWidth="1"/>
    <col min="3598" max="3599" width="8.25" style="173" bestFit="1" customWidth="1"/>
    <col min="3600" max="3600" width="11" style="173" bestFit="1" customWidth="1"/>
    <col min="3601" max="3601" width="8" style="173" bestFit="1" customWidth="1"/>
    <col min="3602" max="3602" width="7.75" style="173" bestFit="1" customWidth="1"/>
    <col min="3603" max="3604" width="9.625" style="173" bestFit="1" customWidth="1"/>
    <col min="3605" max="3606" width="9.625" style="173" customWidth="1"/>
    <col min="3607" max="3607" width="9.25" style="173" bestFit="1" customWidth="1"/>
    <col min="3608" max="3608" width="11" style="173" bestFit="1" customWidth="1"/>
    <col min="3609" max="3841" width="9" style="173"/>
    <col min="3842" max="3842" width="4.625" style="173" bestFit="1" customWidth="1"/>
    <col min="3843" max="3843" width="7.5" style="173" bestFit="1" customWidth="1"/>
    <col min="3844" max="3844" width="6.25" style="173" customWidth="1"/>
    <col min="3845" max="3845" width="11" style="173" bestFit="1" customWidth="1"/>
    <col min="3846" max="3847" width="9.625" style="173" bestFit="1" customWidth="1"/>
    <col min="3848" max="3848" width="8.25" style="173" bestFit="1" customWidth="1"/>
    <col min="3849" max="3850" width="9.625" style="173" bestFit="1" customWidth="1"/>
    <col min="3851" max="3851" width="8.25" style="173" bestFit="1" customWidth="1"/>
    <col min="3852" max="3853" width="9.625" style="173" bestFit="1" customWidth="1"/>
    <col min="3854" max="3855" width="8.25" style="173" bestFit="1" customWidth="1"/>
    <col min="3856" max="3856" width="11" style="173" bestFit="1" customWidth="1"/>
    <col min="3857" max="3857" width="8" style="173" bestFit="1" customWidth="1"/>
    <col min="3858" max="3858" width="7.75" style="173" bestFit="1" customWidth="1"/>
    <col min="3859" max="3860" width="9.625" style="173" bestFit="1" customWidth="1"/>
    <col min="3861" max="3862" width="9.625" style="173" customWidth="1"/>
    <col min="3863" max="3863" width="9.25" style="173" bestFit="1" customWidth="1"/>
    <col min="3864" max="3864" width="11" style="173" bestFit="1" customWidth="1"/>
    <col min="3865" max="4097" width="9" style="173"/>
    <col min="4098" max="4098" width="4.625" style="173" bestFit="1" customWidth="1"/>
    <col min="4099" max="4099" width="7.5" style="173" bestFit="1" customWidth="1"/>
    <col min="4100" max="4100" width="6.25" style="173" customWidth="1"/>
    <col min="4101" max="4101" width="11" style="173" bestFit="1" customWidth="1"/>
    <col min="4102" max="4103" width="9.625" style="173" bestFit="1" customWidth="1"/>
    <col min="4104" max="4104" width="8.25" style="173" bestFit="1" customWidth="1"/>
    <col min="4105" max="4106" width="9.625" style="173" bestFit="1" customWidth="1"/>
    <col min="4107" max="4107" width="8.25" style="173" bestFit="1" customWidth="1"/>
    <col min="4108" max="4109" width="9.625" style="173" bestFit="1" customWidth="1"/>
    <col min="4110" max="4111" width="8.25" style="173" bestFit="1" customWidth="1"/>
    <col min="4112" max="4112" width="11" style="173" bestFit="1" customWidth="1"/>
    <col min="4113" max="4113" width="8" style="173" bestFit="1" customWidth="1"/>
    <col min="4114" max="4114" width="7.75" style="173" bestFit="1" customWidth="1"/>
    <col min="4115" max="4116" width="9.625" style="173" bestFit="1" customWidth="1"/>
    <col min="4117" max="4118" width="9.625" style="173" customWidth="1"/>
    <col min="4119" max="4119" width="9.25" style="173" bestFit="1" customWidth="1"/>
    <col min="4120" max="4120" width="11" style="173" bestFit="1" customWidth="1"/>
    <col min="4121" max="4353" width="9" style="173"/>
    <col min="4354" max="4354" width="4.625" style="173" bestFit="1" customWidth="1"/>
    <col min="4355" max="4355" width="7.5" style="173" bestFit="1" customWidth="1"/>
    <col min="4356" max="4356" width="6.25" style="173" customWidth="1"/>
    <col min="4357" max="4357" width="11" style="173" bestFit="1" customWidth="1"/>
    <col min="4358" max="4359" width="9.625" style="173" bestFit="1" customWidth="1"/>
    <col min="4360" max="4360" width="8.25" style="173" bestFit="1" customWidth="1"/>
    <col min="4361" max="4362" width="9.625" style="173" bestFit="1" customWidth="1"/>
    <col min="4363" max="4363" width="8.25" style="173" bestFit="1" customWidth="1"/>
    <col min="4364" max="4365" width="9.625" style="173" bestFit="1" customWidth="1"/>
    <col min="4366" max="4367" width="8.25" style="173" bestFit="1" customWidth="1"/>
    <col min="4368" max="4368" width="11" style="173" bestFit="1" customWidth="1"/>
    <col min="4369" max="4369" width="8" style="173" bestFit="1" customWidth="1"/>
    <col min="4370" max="4370" width="7.75" style="173" bestFit="1" customWidth="1"/>
    <col min="4371" max="4372" width="9.625" style="173" bestFit="1" customWidth="1"/>
    <col min="4373" max="4374" width="9.625" style="173" customWidth="1"/>
    <col min="4375" max="4375" width="9.25" style="173" bestFit="1" customWidth="1"/>
    <col min="4376" max="4376" width="11" style="173" bestFit="1" customWidth="1"/>
    <col min="4377" max="4609" width="9" style="173"/>
    <col min="4610" max="4610" width="4.625" style="173" bestFit="1" customWidth="1"/>
    <col min="4611" max="4611" width="7.5" style="173" bestFit="1" customWidth="1"/>
    <col min="4612" max="4612" width="6.25" style="173" customWidth="1"/>
    <col min="4613" max="4613" width="11" style="173" bestFit="1" customWidth="1"/>
    <col min="4614" max="4615" width="9.625" style="173" bestFit="1" customWidth="1"/>
    <col min="4616" max="4616" width="8.25" style="173" bestFit="1" customWidth="1"/>
    <col min="4617" max="4618" width="9.625" style="173" bestFit="1" customWidth="1"/>
    <col min="4619" max="4619" width="8.25" style="173" bestFit="1" customWidth="1"/>
    <col min="4620" max="4621" width="9.625" style="173" bestFit="1" customWidth="1"/>
    <col min="4622" max="4623" width="8.25" style="173" bestFit="1" customWidth="1"/>
    <col min="4624" max="4624" width="11" style="173" bestFit="1" customWidth="1"/>
    <col min="4625" max="4625" width="8" style="173" bestFit="1" customWidth="1"/>
    <col min="4626" max="4626" width="7.75" style="173" bestFit="1" customWidth="1"/>
    <col min="4627" max="4628" width="9.625" style="173" bestFit="1" customWidth="1"/>
    <col min="4629" max="4630" width="9.625" style="173" customWidth="1"/>
    <col min="4631" max="4631" width="9.25" style="173" bestFit="1" customWidth="1"/>
    <col min="4632" max="4632" width="11" style="173" bestFit="1" customWidth="1"/>
    <col min="4633" max="4865" width="9" style="173"/>
    <col min="4866" max="4866" width="4.625" style="173" bestFit="1" customWidth="1"/>
    <col min="4867" max="4867" width="7.5" style="173" bestFit="1" customWidth="1"/>
    <col min="4868" max="4868" width="6.25" style="173" customWidth="1"/>
    <col min="4869" max="4869" width="11" style="173" bestFit="1" customWidth="1"/>
    <col min="4870" max="4871" width="9.625" style="173" bestFit="1" customWidth="1"/>
    <col min="4872" max="4872" width="8.25" style="173" bestFit="1" customWidth="1"/>
    <col min="4873" max="4874" width="9.625" style="173" bestFit="1" customWidth="1"/>
    <col min="4875" max="4875" width="8.25" style="173" bestFit="1" customWidth="1"/>
    <col min="4876" max="4877" width="9.625" style="173" bestFit="1" customWidth="1"/>
    <col min="4878" max="4879" width="8.25" style="173" bestFit="1" customWidth="1"/>
    <col min="4880" max="4880" width="11" style="173" bestFit="1" customWidth="1"/>
    <col min="4881" max="4881" width="8" style="173" bestFit="1" customWidth="1"/>
    <col min="4882" max="4882" width="7.75" style="173" bestFit="1" customWidth="1"/>
    <col min="4883" max="4884" width="9.625" style="173" bestFit="1" customWidth="1"/>
    <col min="4885" max="4886" width="9.625" style="173" customWidth="1"/>
    <col min="4887" max="4887" width="9.25" style="173" bestFit="1" customWidth="1"/>
    <col min="4888" max="4888" width="11" style="173" bestFit="1" customWidth="1"/>
    <col min="4889" max="5121" width="9" style="173"/>
    <col min="5122" max="5122" width="4.625" style="173" bestFit="1" customWidth="1"/>
    <col min="5123" max="5123" width="7.5" style="173" bestFit="1" customWidth="1"/>
    <col min="5124" max="5124" width="6.25" style="173" customWidth="1"/>
    <col min="5125" max="5125" width="11" style="173" bestFit="1" customWidth="1"/>
    <col min="5126" max="5127" width="9.625" style="173" bestFit="1" customWidth="1"/>
    <col min="5128" max="5128" width="8.25" style="173" bestFit="1" customWidth="1"/>
    <col min="5129" max="5130" width="9.625" style="173" bestFit="1" customWidth="1"/>
    <col min="5131" max="5131" width="8.25" style="173" bestFit="1" customWidth="1"/>
    <col min="5132" max="5133" width="9.625" style="173" bestFit="1" customWidth="1"/>
    <col min="5134" max="5135" width="8.25" style="173" bestFit="1" customWidth="1"/>
    <col min="5136" max="5136" width="11" style="173" bestFit="1" customWidth="1"/>
    <col min="5137" max="5137" width="8" style="173" bestFit="1" customWidth="1"/>
    <col min="5138" max="5138" width="7.75" style="173" bestFit="1" customWidth="1"/>
    <col min="5139" max="5140" width="9.625" style="173" bestFit="1" customWidth="1"/>
    <col min="5141" max="5142" width="9.625" style="173" customWidth="1"/>
    <col min="5143" max="5143" width="9.25" style="173" bestFit="1" customWidth="1"/>
    <col min="5144" max="5144" width="11" style="173" bestFit="1" customWidth="1"/>
    <col min="5145" max="5377" width="9" style="173"/>
    <col min="5378" max="5378" width="4.625" style="173" bestFit="1" customWidth="1"/>
    <col min="5379" max="5379" width="7.5" style="173" bestFit="1" customWidth="1"/>
    <col min="5380" max="5380" width="6.25" style="173" customWidth="1"/>
    <col min="5381" max="5381" width="11" style="173" bestFit="1" customWidth="1"/>
    <col min="5382" max="5383" width="9.625" style="173" bestFit="1" customWidth="1"/>
    <col min="5384" max="5384" width="8.25" style="173" bestFit="1" customWidth="1"/>
    <col min="5385" max="5386" width="9.625" style="173" bestFit="1" customWidth="1"/>
    <col min="5387" max="5387" width="8.25" style="173" bestFit="1" customWidth="1"/>
    <col min="5388" max="5389" width="9.625" style="173" bestFit="1" customWidth="1"/>
    <col min="5390" max="5391" width="8.25" style="173" bestFit="1" customWidth="1"/>
    <col min="5392" max="5392" width="11" style="173" bestFit="1" customWidth="1"/>
    <col min="5393" max="5393" width="8" style="173" bestFit="1" customWidth="1"/>
    <col min="5394" max="5394" width="7.75" style="173" bestFit="1" customWidth="1"/>
    <col min="5395" max="5396" width="9.625" style="173" bestFit="1" customWidth="1"/>
    <col min="5397" max="5398" width="9.625" style="173" customWidth="1"/>
    <col min="5399" max="5399" width="9.25" style="173" bestFit="1" customWidth="1"/>
    <col min="5400" max="5400" width="11" style="173" bestFit="1" customWidth="1"/>
    <col min="5401" max="5633" width="9" style="173"/>
    <col min="5634" max="5634" width="4.625" style="173" bestFit="1" customWidth="1"/>
    <col min="5635" max="5635" width="7.5" style="173" bestFit="1" customWidth="1"/>
    <col min="5636" max="5636" width="6.25" style="173" customWidth="1"/>
    <col min="5637" max="5637" width="11" style="173" bestFit="1" customWidth="1"/>
    <col min="5638" max="5639" width="9.625" style="173" bestFit="1" customWidth="1"/>
    <col min="5640" max="5640" width="8.25" style="173" bestFit="1" customWidth="1"/>
    <col min="5641" max="5642" width="9.625" style="173" bestFit="1" customWidth="1"/>
    <col min="5643" max="5643" width="8.25" style="173" bestFit="1" customWidth="1"/>
    <col min="5644" max="5645" width="9.625" style="173" bestFit="1" customWidth="1"/>
    <col min="5646" max="5647" width="8.25" style="173" bestFit="1" customWidth="1"/>
    <col min="5648" max="5648" width="11" style="173" bestFit="1" customWidth="1"/>
    <col min="5649" max="5649" width="8" style="173" bestFit="1" customWidth="1"/>
    <col min="5650" max="5650" width="7.75" style="173" bestFit="1" customWidth="1"/>
    <col min="5651" max="5652" width="9.625" style="173" bestFit="1" customWidth="1"/>
    <col min="5653" max="5654" width="9.625" style="173" customWidth="1"/>
    <col min="5655" max="5655" width="9.25" style="173" bestFit="1" customWidth="1"/>
    <col min="5656" max="5656" width="11" style="173" bestFit="1" customWidth="1"/>
    <col min="5657" max="5889" width="9" style="173"/>
    <col min="5890" max="5890" width="4.625" style="173" bestFit="1" customWidth="1"/>
    <col min="5891" max="5891" width="7.5" style="173" bestFit="1" customWidth="1"/>
    <col min="5892" max="5892" width="6.25" style="173" customWidth="1"/>
    <col min="5893" max="5893" width="11" style="173" bestFit="1" customWidth="1"/>
    <col min="5894" max="5895" width="9.625" style="173" bestFit="1" customWidth="1"/>
    <col min="5896" max="5896" width="8.25" style="173" bestFit="1" customWidth="1"/>
    <col min="5897" max="5898" width="9.625" style="173" bestFit="1" customWidth="1"/>
    <col min="5899" max="5899" width="8.25" style="173" bestFit="1" customWidth="1"/>
    <col min="5900" max="5901" width="9.625" style="173" bestFit="1" customWidth="1"/>
    <col min="5902" max="5903" width="8.25" style="173" bestFit="1" customWidth="1"/>
    <col min="5904" max="5904" width="11" style="173" bestFit="1" customWidth="1"/>
    <col min="5905" max="5905" width="8" style="173" bestFit="1" customWidth="1"/>
    <col min="5906" max="5906" width="7.75" style="173" bestFit="1" customWidth="1"/>
    <col min="5907" max="5908" width="9.625" style="173" bestFit="1" customWidth="1"/>
    <col min="5909" max="5910" width="9.625" style="173" customWidth="1"/>
    <col min="5911" max="5911" width="9.25" style="173" bestFit="1" customWidth="1"/>
    <col min="5912" max="5912" width="11" style="173" bestFit="1" customWidth="1"/>
    <col min="5913" max="6145" width="9" style="173"/>
    <col min="6146" max="6146" width="4.625" style="173" bestFit="1" customWidth="1"/>
    <col min="6147" max="6147" width="7.5" style="173" bestFit="1" customWidth="1"/>
    <col min="6148" max="6148" width="6.25" style="173" customWidth="1"/>
    <col min="6149" max="6149" width="11" style="173" bestFit="1" customWidth="1"/>
    <col min="6150" max="6151" width="9.625" style="173" bestFit="1" customWidth="1"/>
    <col min="6152" max="6152" width="8.25" style="173" bestFit="1" customWidth="1"/>
    <col min="6153" max="6154" width="9.625" style="173" bestFit="1" customWidth="1"/>
    <col min="6155" max="6155" width="8.25" style="173" bestFit="1" customWidth="1"/>
    <col min="6156" max="6157" width="9.625" style="173" bestFit="1" customWidth="1"/>
    <col min="6158" max="6159" width="8.25" style="173" bestFit="1" customWidth="1"/>
    <col min="6160" max="6160" width="11" style="173" bestFit="1" customWidth="1"/>
    <col min="6161" max="6161" width="8" style="173" bestFit="1" customWidth="1"/>
    <col min="6162" max="6162" width="7.75" style="173" bestFit="1" customWidth="1"/>
    <col min="6163" max="6164" width="9.625" style="173" bestFit="1" customWidth="1"/>
    <col min="6165" max="6166" width="9.625" style="173" customWidth="1"/>
    <col min="6167" max="6167" width="9.25" style="173" bestFit="1" customWidth="1"/>
    <col min="6168" max="6168" width="11" style="173" bestFit="1" customWidth="1"/>
    <col min="6169" max="6401" width="9" style="173"/>
    <col min="6402" max="6402" width="4.625" style="173" bestFit="1" customWidth="1"/>
    <col min="6403" max="6403" width="7.5" style="173" bestFit="1" customWidth="1"/>
    <col min="6404" max="6404" width="6.25" style="173" customWidth="1"/>
    <col min="6405" max="6405" width="11" style="173" bestFit="1" customWidth="1"/>
    <col min="6406" max="6407" width="9.625" style="173" bestFit="1" customWidth="1"/>
    <col min="6408" max="6408" width="8.25" style="173" bestFit="1" customWidth="1"/>
    <col min="6409" max="6410" width="9.625" style="173" bestFit="1" customWidth="1"/>
    <col min="6411" max="6411" width="8.25" style="173" bestFit="1" customWidth="1"/>
    <col min="6412" max="6413" width="9.625" style="173" bestFit="1" customWidth="1"/>
    <col min="6414" max="6415" width="8.25" style="173" bestFit="1" customWidth="1"/>
    <col min="6416" max="6416" width="11" style="173" bestFit="1" customWidth="1"/>
    <col min="6417" max="6417" width="8" style="173" bestFit="1" customWidth="1"/>
    <col min="6418" max="6418" width="7.75" style="173" bestFit="1" customWidth="1"/>
    <col min="6419" max="6420" width="9.625" style="173" bestFit="1" customWidth="1"/>
    <col min="6421" max="6422" width="9.625" style="173" customWidth="1"/>
    <col min="6423" max="6423" width="9.25" style="173" bestFit="1" customWidth="1"/>
    <col min="6424" max="6424" width="11" style="173" bestFit="1" customWidth="1"/>
    <col min="6425" max="6657" width="9" style="173"/>
    <col min="6658" max="6658" width="4.625" style="173" bestFit="1" customWidth="1"/>
    <col min="6659" max="6659" width="7.5" style="173" bestFit="1" customWidth="1"/>
    <col min="6660" max="6660" width="6.25" style="173" customWidth="1"/>
    <col min="6661" max="6661" width="11" style="173" bestFit="1" customWidth="1"/>
    <col min="6662" max="6663" width="9.625" style="173" bestFit="1" customWidth="1"/>
    <col min="6664" max="6664" width="8.25" style="173" bestFit="1" customWidth="1"/>
    <col min="6665" max="6666" width="9.625" style="173" bestFit="1" customWidth="1"/>
    <col min="6667" max="6667" width="8.25" style="173" bestFit="1" customWidth="1"/>
    <col min="6668" max="6669" width="9.625" style="173" bestFit="1" customWidth="1"/>
    <col min="6670" max="6671" width="8.25" style="173" bestFit="1" customWidth="1"/>
    <col min="6672" max="6672" width="11" style="173" bestFit="1" customWidth="1"/>
    <col min="6673" max="6673" width="8" style="173" bestFit="1" customWidth="1"/>
    <col min="6674" max="6674" width="7.75" style="173" bestFit="1" customWidth="1"/>
    <col min="6675" max="6676" width="9.625" style="173" bestFit="1" customWidth="1"/>
    <col min="6677" max="6678" width="9.625" style="173" customWidth="1"/>
    <col min="6679" max="6679" width="9.25" style="173" bestFit="1" customWidth="1"/>
    <col min="6680" max="6680" width="11" style="173" bestFit="1" customWidth="1"/>
    <col min="6681" max="6913" width="9" style="173"/>
    <col min="6914" max="6914" width="4.625" style="173" bestFit="1" customWidth="1"/>
    <col min="6915" max="6915" width="7.5" style="173" bestFit="1" customWidth="1"/>
    <col min="6916" max="6916" width="6.25" style="173" customWidth="1"/>
    <col min="6917" max="6917" width="11" style="173" bestFit="1" customWidth="1"/>
    <col min="6918" max="6919" width="9.625" style="173" bestFit="1" customWidth="1"/>
    <col min="6920" max="6920" width="8.25" style="173" bestFit="1" customWidth="1"/>
    <col min="6921" max="6922" width="9.625" style="173" bestFit="1" customWidth="1"/>
    <col min="6923" max="6923" width="8.25" style="173" bestFit="1" customWidth="1"/>
    <col min="6924" max="6925" width="9.625" style="173" bestFit="1" customWidth="1"/>
    <col min="6926" max="6927" width="8.25" style="173" bestFit="1" customWidth="1"/>
    <col min="6928" max="6928" width="11" style="173" bestFit="1" customWidth="1"/>
    <col min="6929" max="6929" width="8" style="173" bestFit="1" customWidth="1"/>
    <col min="6930" max="6930" width="7.75" style="173" bestFit="1" customWidth="1"/>
    <col min="6931" max="6932" width="9.625" style="173" bestFit="1" customWidth="1"/>
    <col min="6933" max="6934" width="9.625" style="173" customWidth="1"/>
    <col min="6935" max="6935" width="9.25" style="173" bestFit="1" customWidth="1"/>
    <col min="6936" max="6936" width="11" style="173" bestFit="1" customWidth="1"/>
    <col min="6937" max="7169" width="9" style="173"/>
    <col min="7170" max="7170" width="4.625" style="173" bestFit="1" customWidth="1"/>
    <col min="7171" max="7171" width="7.5" style="173" bestFit="1" customWidth="1"/>
    <col min="7172" max="7172" width="6.25" style="173" customWidth="1"/>
    <col min="7173" max="7173" width="11" style="173" bestFit="1" customWidth="1"/>
    <col min="7174" max="7175" width="9.625" style="173" bestFit="1" customWidth="1"/>
    <col min="7176" max="7176" width="8.25" style="173" bestFit="1" customWidth="1"/>
    <col min="7177" max="7178" width="9.625" style="173" bestFit="1" customWidth="1"/>
    <col min="7179" max="7179" width="8.25" style="173" bestFit="1" customWidth="1"/>
    <col min="7180" max="7181" width="9.625" style="173" bestFit="1" customWidth="1"/>
    <col min="7182" max="7183" width="8.25" style="173" bestFit="1" customWidth="1"/>
    <col min="7184" max="7184" width="11" style="173" bestFit="1" customWidth="1"/>
    <col min="7185" max="7185" width="8" style="173" bestFit="1" customWidth="1"/>
    <col min="7186" max="7186" width="7.75" style="173" bestFit="1" customWidth="1"/>
    <col min="7187" max="7188" width="9.625" style="173" bestFit="1" customWidth="1"/>
    <col min="7189" max="7190" width="9.625" style="173" customWidth="1"/>
    <col min="7191" max="7191" width="9.25" style="173" bestFit="1" customWidth="1"/>
    <col min="7192" max="7192" width="11" style="173" bestFit="1" customWidth="1"/>
    <col min="7193" max="7425" width="9" style="173"/>
    <col min="7426" max="7426" width="4.625" style="173" bestFit="1" customWidth="1"/>
    <col min="7427" max="7427" width="7.5" style="173" bestFit="1" customWidth="1"/>
    <col min="7428" max="7428" width="6.25" style="173" customWidth="1"/>
    <col min="7429" max="7429" width="11" style="173" bestFit="1" customWidth="1"/>
    <col min="7430" max="7431" width="9.625" style="173" bestFit="1" customWidth="1"/>
    <col min="7432" max="7432" width="8.25" style="173" bestFit="1" customWidth="1"/>
    <col min="7433" max="7434" width="9.625" style="173" bestFit="1" customWidth="1"/>
    <col min="7435" max="7435" width="8.25" style="173" bestFit="1" customWidth="1"/>
    <col min="7436" max="7437" width="9.625" style="173" bestFit="1" customWidth="1"/>
    <col min="7438" max="7439" width="8.25" style="173" bestFit="1" customWidth="1"/>
    <col min="7440" max="7440" width="11" style="173" bestFit="1" customWidth="1"/>
    <col min="7441" max="7441" width="8" style="173" bestFit="1" customWidth="1"/>
    <col min="7442" max="7442" width="7.75" style="173" bestFit="1" customWidth="1"/>
    <col min="7443" max="7444" width="9.625" style="173" bestFit="1" customWidth="1"/>
    <col min="7445" max="7446" width="9.625" style="173" customWidth="1"/>
    <col min="7447" max="7447" width="9.25" style="173" bestFit="1" customWidth="1"/>
    <col min="7448" max="7448" width="11" style="173" bestFit="1" customWidth="1"/>
    <col min="7449" max="7681" width="9" style="173"/>
    <col min="7682" max="7682" width="4.625" style="173" bestFit="1" customWidth="1"/>
    <col min="7683" max="7683" width="7.5" style="173" bestFit="1" customWidth="1"/>
    <col min="7684" max="7684" width="6.25" style="173" customWidth="1"/>
    <col min="7685" max="7685" width="11" style="173" bestFit="1" customWidth="1"/>
    <col min="7686" max="7687" width="9.625" style="173" bestFit="1" customWidth="1"/>
    <col min="7688" max="7688" width="8.25" style="173" bestFit="1" customWidth="1"/>
    <col min="7689" max="7690" width="9.625" style="173" bestFit="1" customWidth="1"/>
    <col min="7691" max="7691" width="8.25" style="173" bestFit="1" customWidth="1"/>
    <col min="7692" max="7693" width="9.625" style="173" bestFit="1" customWidth="1"/>
    <col min="7694" max="7695" width="8.25" style="173" bestFit="1" customWidth="1"/>
    <col min="7696" max="7696" width="11" style="173" bestFit="1" customWidth="1"/>
    <col min="7697" max="7697" width="8" style="173" bestFit="1" customWidth="1"/>
    <col min="7698" max="7698" width="7.75" style="173" bestFit="1" customWidth="1"/>
    <col min="7699" max="7700" width="9.625" style="173" bestFit="1" customWidth="1"/>
    <col min="7701" max="7702" width="9.625" style="173" customWidth="1"/>
    <col min="7703" max="7703" width="9.25" style="173" bestFit="1" customWidth="1"/>
    <col min="7704" max="7704" width="11" style="173" bestFit="1" customWidth="1"/>
    <col min="7705" max="7937" width="9" style="173"/>
    <col min="7938" max="7938" width="4.625" style="173" bestFit="1" customWidth="1"/>
    <col min="7939" max="7939" width="7.5" style="173" bestFit="1" customWidth="1"/>
    <col min="7940" max="7940" width="6.25" style="173" customWidth="1"/>
    <col min="7941" max="7941" width="11" style="173" bestFit="1" customWidth="1"/>
    <col min="7942" max="7943" width="9.625" style="173" bestFit="1" customWidth="1"/>
    <col min="7944" max="7944" width="8.25" style="173" bestFit="1" customWidth="1"/>
    <col min="7945" max="7946" width="9.625" style="173" bestFit="1" customWidth="1"/>
    <col min="7947" max="7947" width="8.25" style="173" bestFit="1" customWidth="1"/>
    <col min="7948" max="7949" width="9.625" style="173" bestFit="1" customWidth="1"/>
    <col min="7950" max="7951" width="8.25" style="173" bestFit="1" customWidth="1"/>
    <col min="7952" max="7952" width="11" style="173" bestFit="1" customWidth="1"/>
    <col min="7953" max="7953" width="8" style="173" bestFit="1" customWidth="1"/>
    <col min="7954" max="7954" width="7.75" style="173" bestFit="1" customWidth="1"/>
    <col min="7955" max="7956" width="9.625" style="173" bestFit="1" customWidth="1"/>
    <col min="7957" max="7958" width="9.625" style="173" customWidth="1"/>
    <col min="7959" max="7959" width="9.25" style="173" bestFit="1" customWidth="1"/>
    <col min="7960" max="7960" width="11" style="173" bestFit="1" customWidth="1"/>
    <col min="7961" max="8193" width="9" style="173"/>
    <col min="8194" max="8194" width="4.625" style="173" bestFit="1" customWidth="1"/>
    <col min="8195" max="8195" width="7.5" style="173" bestFit="1" customWidth="1"/>
    <col min="8196" max="8196" width="6.25" style="173" customWidth="1"/>
    <col min="8197" max="8197" width="11" style="173" bestFit="1" customWidth="1"/>
    <col min="8198" max="8199" width="9.625" style="173" bestFit="1" customWidth="1"/>
    <col min="8200" max="8200" width="8.25" style="173" bestFit="1" customWidth="1"/>
    <col min="8201" max="8202" width="9.625" style="173" bestFit="1" customWidth="1"/>
    <col min="8203" max="8203" width="8.25" style="173" bestFit="1" customWidth="1"/>
    <col min="8204" max="8205" width="9.625" style="173" bestFit="1" customWidth="1"/>
    <col min="8206" max="8207" width="8.25" style="173" bestFit="1" customWidth="1"/>
    <col min="8208" max="8208" width="11" style="173" bestFit="1" customWidth="1"/>
    <col min="8209" max="8209" width="8" style="173" bestFit="1" customWidth="1"/>
    <col min="8210" max="8210" width="7.75" style="173" bestFit="1" customWidth="1"/>
    <col min="8211" max="8212" width="9.625" style="173" bestFit="1" customWidth="1"/>
    <col min="8213" max="8214" width="9.625" style="173" customWidth="1"/>
    <col min="8215" max="8215" width="9.25" style="173" bestFit="1" customWidth="1"/>
    <col min="8216" max="8216" width="11" style="173" bestFit="1" customWidth="1"/>
    <col min="8217" max="8449" width="9" style="173"/>
    <col min="8450" max="8450" width="4.625" style="173" bestFit="1" customWidth="1"/>
    <col min="8451" max="8451" width="7.5" style="173" bestFit="1" customWidth="1"/>
    <col min="8452" max="8452" width="6.25" style="173" customWidth="1"/>
    <col min="8453" max="8453" width="11" style="173" bestFit="1" customWidth="1"/>
    <col min="8454" max="8455" width="9.625" style="173" bestFit="1" customWidth="1"/>
    <col min="8456" max="8456" width="8.25" style="173" bestFit="1" customWidth="1"/>
    <col min="8457" max="8458" width="9.625" style="173" bestFit="1" customWidth="1"/>
    <col min="8459" max="8459" width="8.25" style="173" bestFit="1" customWidth="1"/>
    <col min="8460" max="8461" width="9.625" style="173" bestFit="1" customWidth="1"/>
    <col min="8462" max="8463" width="8.25" style="173" bestFit="1" customWidth="1"/>
    <col min="8464" max="8464" width="11" style="173" bestFit="1" customWidth="1"/>
    <col min="8465" max="8465" width="8" style="173" bestFit="1" customWidth="1"/>
    <col min="8466" max="8466" width="7.75" style="173" bestFit="1" customWidth="1"/>
    <col min="8467" max="8468" width="9.625" style="173" bestFit="1" customWidth="1"/>
    <col min="8469" max="8470" width="9.625" style="173" customWidth="1"/>
    <col min="8471" max="8471" width="9.25" style="173" bestFit="1" customWidth="1"/>
    <col min="8472" max="8472" width="11" style="173" bestFit="1" customWidth="1"/>
    <col min="8473" max="8705" width="9" style="173"/>
    <col min="8706" max="8706" width="4.625" style="173" bestFit="1" customWidth="1"/>
    <col min="8707" max="8707" width="7.5" style="173" bestFit="1" customWidth="1"/>
    <col min="8708" max="8708" width="6.25" style="173" customWidth="1"/>
    <col min="8709" max="8709" width="11" style="173" bestFit="1" customWidth="1"/>
    <col min="8710" max="8711" width="9.625" style="173" bestFit="1" customWidth="1"/>
    <col min="8712" max="8712" width="8.25" style="173" bestFit="1" customWidth="1"/>
    <col min="8713" max="8714" width="9.625" style="173" bestFit="1" customWidth="1"/>
    <col min="8715" max="8715" width="8.25" style="173" bestFit="1" customWidth="1"/>
    <col min="8716" max="8717" width="9.625" style="173" bestFit="1" customWidth="1"/>
    <col min="8718" max="8719" width="8.25" style="173" bestFit="1" customWidth="1"/>
    <col min="8720" max="8720" width="11" style="173" bestFit="1" customWidth="1"/>
    <col min="8721" max="8721" width="8" style="173" bestFit="1" customWidth="1"/>
    <col min="8722" max="8722" width="7.75" style="173" bestFit="1" customWidth="1"/>
    <col min="8723" max="8724" width="9.625" style="173" bestFit="1" customWidth="1"/>
    <col min="8725" max="8726" width="9.625" style="173" customWidth="1"/>
    <col min="8727" max="8727" width="9.25" style="173" bestFit="1" customWidth="1"/>
    <col min="8728" max="8728" width="11" style="173" bestFit="1" customWidth="1"/>
    <col min="8729" max="8961" width="9" style="173"/>
    <col min="8962" max="8962" width="4.625" style="173" bestFit="1" customWidth="1"/>
    <col min="8963" max="8963" width="7.5" style="173" bestFit="1" customWidth="1"/>
    <col min="8964" max="8964" width="6.25" style="173" customWidth="1"/>
    <col min="8965" max="8965" width="11" style="173" bestFit="1" customWidth="1"/>
    <col min="8966" max="8967" width="9.625" style="173" bestFit="1" customWidth="1"/>
    <col min="8968" max="8968" width="8.25" style="173" bestFit="1" customWidth="1"/>
    <col min="8969" max="8970" width="9.625" style="173" bestFit="1" customWidth="1"/>
    <col min="8971" max="8971" width="8.25" style="173" bestFit="1" customWidth="1"/>
    <col min="8972" max="8973" width="9.625" style="173" bestFit="1" customWidth="1"/>
    <col min="8974" max="8975" width="8.25" style="173" bestFit="1" customWidth="1"/>
    <col min="8976" max="8976" width="11" style="173" bestFit="1" customWidth="1"/>
    <col min="8977" max="8977" width="8" style="173" bestFit="1" customWidth="1"/>
    <col min="8978" max="8978" width="7.75" style="173" bestFit="1" customWidth="1"/>
    <col min="8979" max="8980" width="9.625" style="173" bestFit="1" customWidth="1"/>
    <col min="8981" max="8982" width="9.625" style="173" customWidth="1"/>
    <col min="8983" max="8983" width="9.25" style="173" bestFit="1" customWidth="1"/>
    <col min="8984" max="8984" width="11" style="173" bestFit="1" customWidth="1"/>
    <col min="8985" max="9217" width="9" style="173"/>
    <col min="9218" max="9218" width="4.625" style="173" bestFit="1" customWidth="1"/>
    <col min="9219" max="9219" width="7.5" style="173" bestFit="1" customWidth="1"/>
    <col min="9220" max="9220" width="6.25" style="173" customWidth="1"/>
    <col min="9221" max="9221" width="11" style="173" bestFit="1" customWidth="1"/>
    <col min="9222" max="9223" width="9.625" style="173" bestFit="1" customWidth="1"/>
    <col min="9224" max="9224" width="8.25" style="173" bestFit="1" customWidth="1"/>
    <col min="9225" max="9226" width="9.625" style="173" bestFit="1" customWidth="1"/>
    <col min="9227" max="9227" width="8.25" style="173" bestFit="1" customWidth="1"/>
    <col min="9228" max="9229" width="9.625" style="173" bestFit="1" customWidth="1"/>
    <col min="9230" max="9231" width="8.25" style="173" bestFit="1" customWidth="1"/>
    <col min="9232" max="9232" width="11" style="173" bestFit="1" customWidth="1"/>
    <col min="9233" max="9233" width="8" style="173" bestFit="1" customWidth="1"/>
    <col min="9234" max="9234" width="7.75" style="173" bestFit="1" customWidth="1"/>
    <col min="9235" max="9236" width="9.625" style="173" bestFit="1" customWidth="1"/>
    <col min="9237" max="9238" width="9.625" style="173" customWidth="1"/>
    <col min="9239" max="9239" width="9.25" style="173" bestFit="1" customWidth="1"/>
    <col min="9240" max="9240" width="11" style="173" bestFit="1" customWidth="1"/>
    <col min="9241" max="9473" width="9" style="173"/>
    <col min="9474" max="9474" width="4.625" style="173" bestFit="1" customWidth="1"/>
    <col min="9475" max="9475" width="7.5" style="173" bestFit="1" customWidth="1"/>
    <col min="9476" max="9476" width="6.25" style="173" customWidth="1"/>
    <col min="9477" max="9477" width="11" style="173" bestFit="1" customWidth="1"/>
    <col min="9478" max="9479" width="9.625" style="173" bestFit="1" customWidth="1"/>
    <col min="9480" max="9480" width="8.25" style="173" bestFit="1" customWidth="1"/>
    <col min="9481" max="9482" width="9.625" style="173" bestFit="1" customWidth="1"/>
    <col min="9483" max="9483" width="8.25" style="173" bestFit="1" customWidth="1"/>
    <col min="9484" max="9485" width="9.625" style="173" bestFit="1" customWidth="1"/>
    <col min="9486" max="9487" width="8.25" style="173" bestFit="1" customWidth="1"/>
    <col min="9488" max="9488" width="11" style="173" bestFit="1" customWidth="1"/>
    <col min="9489" max="9489" width="8" style="173" bestFit="1" customWidth="1"/>
    <col min="9490" max="9490" width="7.75" style="173" bestFit="1" customWidth="1"/>
    <col min="9491" max="9492" width="9.625" style="173" bestFit="1" customWidth="1"/>
    <col min="9493" max="9494" width="9.625" style="173" customWidth="1"/>
    <col min="9495" max="9495" width="9.25" style="173" bestFit="1" customWidth="1"/>
    <col min="9496" max="9496" width="11" style="173" bestFit="1" customWidth="1"/>
    <col min="9497" max="9729" width="9" style="173"/>
    <col min="9730" max="9730" width="4.625" style="173" bestFit="1" customWidth="1"/>
    <col min="9731" max="9731" width="7.5" style="173" bestFit="1" customWidth="1"/>
    <col min="9732" max="9732" width="6.25" style="173" customWidth="1"/>
    <col min="9733" max="9733" width="11" style="173" bestFit="1" customWidth="1"/>
    <col min="9734" max="9735" width="9.625" style="173" bestFit="1" customWidth="1"/>
    <col min="9736" max="9736" width="8.25" style="173" bestFit="1" customWidth="1"/>
    <col min="9737" max="9738" width="9.625" style="173" bestFit="1" customWidth="1"/>
    <col min="9739" max="9739" width="8.25" style="173" bestFit="1" customWidth="1"/>
    <col min="9740" max="9741" width="9.625" style="173" bestFit="1" customWidth="1"/>
    <col min="9742" max="9743" width="8.25" style="173" bestFit="1" customWidth="1"/>
    <col min="9744" max="9744" width="11" style="173" bestFit="1" customWidth="1"/>
    <col min="9745" max="9745" width="8" style="173" bestFit="1" customWidth="1"/>
    <col min="9746" max="9746" width="7.75" style="173" bestFit="1" customWidth="1"/>
    <col min="9747" max="9748" width="9.625" style="173" bestFit="1" customWidth="1"/>
    <col min="9749" max="9750" width="9.625" style="173" customWidth="1"/>
    <col min="9751" max="9751" width="9.25" style="173" bestFit="1" customWidth="1"/>
    <col min="9752" max="9752" width="11" style="173" bestFit="1" customWidth="1"/>
    <col min="9753" max="9985" width="9" style="173"/>
    <col min="9986" max="9986" width="4.625" style="173" bestFit="1" customWidth="1"/>
    <col min="9987" max="9987" width="7.5" style="173" bestFit="1" customWidth="1"/>
    <col min="9988" max="9988" width="6.25" style="173" customWidth="1"/>
    <col min="9989" max="9989" width="11" style="173" bestFit="1" customWidth="1"/>
    <col min="9990" max="9991" width="9.625" style="173" bestFit="1" customWidth="1"/>
    <col min="9992" max="9992" width="8.25" style="173" bestFit="1" customWidth="1"/>
    <col min="9993" max="9994" width="9.625" style="173" bestFit="1" customWidth="1"/>
    <col min="9995" max="9995" width="8.25" style="173" bestFit="1" customWidth="1"/>
    <col min="9996" max="9997" width="9.625" style="173" bestFit="1" customWidth="1"/>
    <col min="9998" max="9999" width="8.25" style="173" bestFit="1" customWidth="1"/>
    <col min="10000" max="10000" width="11" style="173" bestFit="1" customWidth="1"/>
    <col min="10001" max="10001" width="8" style="173" bestFit="1" customWidth="1"/>
    <col min="10002" max="10002" width="7.75" style="173" bestFit="1" customWidth="1"/>
    <col min="10003" max="10004" width="9.625" style="173" bestFit="1" customWidth="1"/>
    <col min="10005" max="10006" width="9.625" style="173" customWidth="1"/>
    <col min="10007" max="10007" width="9.25" style="173" bestFit="1" customWidth="1"/>
    <col min="10008" max="10008" width="11" style="173" bestFit="1" customWidth="1"/>
    <col min="10009" max="10241" width="9" style="173"/>
    <col min="10242" max="10242" width="4.625" style="173" bestFit="1" customWidth="1"/>
    <col min="10243" max="10243" width="7.5" style="173" bestFit="1" customWidth="1"/>
    <col min="10244" max="10244" width="6.25" style="173" customWidth="1"/>
    <col min="10245" max="10245" width="11" style="173" bestFit="1" customWidth="1"/>
    <col min="10246" max="10247" width="9.625" style="173" bestFit="1" customWidth="1"/>
    <col min="10248" max="10248" width="8.25" style="173" bestFit="1" customWidth="1"/>
    <col min="10249" max="10250" width="9.625" style="173" bestFit="1" customWidth="1"/>
    <col min="10251" max="10251" width="8.25" style="173" bestFit="1" customWidth="1"/>
    <col min="10252" max="10253" width="9.625" style="173" bestFit="1" customWidth="1"/>
    <col min="10254" max="10255" width="8.25" style="173" bestFit="1" customWidth="1"/>
    <col min="10256" max="10256" width="11" style="173" bestFit="1" customWidth="1"/>
    <col min="10257" max="10257" width="8" style="173" bestFit="1" customWidth="1"/>
    <col min="10258" max="10258" width="7.75" style="173" bestFit="1" customWidth="1"/>
    <col min="10259" max="10260" width="9.625" style="173" bestFit="1" customWidth="1"/>
    <col min="10261" max="10262" width="9.625" style="173" customWidth="1"/>
    <col min="10263" max="10263" width="9.25" style="173" bestFit="1" customWidth="1"/>
    <col min="10264" max="10264" width="11" style="173" bestFit="1" customWidth="1"/>
    <col min="10265" max="10497" width="9" style="173"/>
    <col min="10498" max="10498" width="4.625" style="173" bestFit="1" customWidth="1"/>
    <col min="10499" max="10499" width="7.5" style="173" bestFit="1" customWidth="1"/>
    <col min="10500" max="10500" width="6.25" style="173" customWidth="1"/>
    <col min="10501" max="10501" width="11" style="173" bestFit="1" customWidth="1"/>
    <col min="10502" max="10503" width="9.625" style="173" bestFit="1" customWidth="1"/>
    <col min="10504" max="10504" width="8.25" style="173" bestFit="1" customWidth="1"/>
    <col min="10505" max="10506" width="9.625" style="173" bestFit="1" customWidth="1"/>
    <col min="10507" max="10507" width="8.25" style="173" bestFit="1" customWidth="1"/>
    <col min="10508" max="10509" width="9.625" style="173" bestFit="1" customWidth="1"/>
    <col min="10510" max="10511" width="8.25" style="173" bestFit="1" customWidth="1"/>
    <col min="10512" max="10512" width="11" style="173" bestFit="1" customWidth="1"/>
    <col min="10513" max="10513" width="8" style="173" bestFit="1" customWidth="1"/>
    <col min="10514" max="10514" width="7.75" style="173" bestFit="1" customWidth="1"/>
    <col min="10515" max="10516" width="9.625" style="173" bestFit="1" customWidth="1"/>
    <col min="10517" max="10518" width="9.625" style="173" customWidth="1"/>
    <col min="10519" max="10519" width="9.25" style="173" bestFit="1" customWidth="1"/>
    <col min="10520" max="10520" width="11" style="173" bestFit="1" customWidth="1"/>
    <col min="10521" max="10753" width="9" style="173"/>
    <col min="10754" max="10754" width="4.625" style="173" bestFit="1" customWidth="1"/>
    <col min="10755" max="10755" width="7.5" style="173" bestFit="1" customWidth="1"/>
    <col min="10756" max="10756" width="6.25" style="173" customWidth="1"/>
    <col min="10757" max="10757" width="11" style="173" bestFit="1" customWidth="1"/>
    <col min="10758" max="10759" width="9.625" style="173" bestFit="1" customWidth="1"/>
    <col min="10760" max="10760" width="8.25" style="173" bestFit="1" customWidth="1"/>
    <col min="10761" max="10762" width="9.625" style="173" bestFit="1" customWidth="1"/>
    <col min="10763" max="10763" width="8.25" style="173" bestFit="1" customWidth="1"/>
    <col min="10764" max="10765" width="9.625" style="173" bestFit="1" customWidth="1"/>
    <col min="10766" max="10767" width="8.25" style="173" bestFit="1" customWidth="1"/>
    <col min="10768" max="10768" width="11" style="173" bestFit="1" customWidth="1"/>
    <col min="10769" max="10769" width="8" style="173" bestFit="1" customWidth="1"/>
    <col min="10770" max="10770" width="7.75" style="173" bestFit="1" customWidth="1"/>
    <col min="10771" max="10772" width="9.625" style="173" bestFit="1" customWidth="1"/>
    <col min="10773" max="10774" width="9.625" style="173" customWidth="1"/>
    <col min="10775" max="10775" width="9.25" style="173" bestFit="1" customWidth="1"/>
    <col min="10776" max="10776" width="11" style="173" bestFit="1" customWidth="1"/>
    <col min="10777" max="11009" width="9" style="173"/>
    <col min="11010" max="11010" width="4.625" style="173" bestFit="1" customWidth="1"/>
    <col min="11011" max="11011" width="7.5" style="173" bestFit="1" customWidth="1"/>
    <col min="11012" max="11012" width="6.25" style="173" customWidth="1"/>
    <col min="11013" max="11013" width="11" style="173" bestFit="1" customWidth="1"/>
    <col min="11014" max="11015" width="9.625" style="173" bestFit="1" customWidth="1"/>
    <col min="11016" max="11016" width="8.25" style="173" bestFit="1" customWidth="1"/>
    <col min="11017" max="11018" width="9.625" style="173" bestFit="1" customWidth="1"/>
    <col min="11019" max="11019" width="8.25" style="173" bestFit="1" customWidth="1"/>
    <col min="11020" max="11021" width="9.625" style="173" bestFit="1" customWidth="1"/>
    <col min="11022" max="11023" width="8.25" style="173" bestFit="1" customWidth="1"/>
    <col min="11024" max="11024" width="11" style="173" bestFit="1" customWidth="1"/>
    <col min="11025" max="11025" width="8" style="173" bestFit="1" customWidth="1"/>
    <col min="11026" max="11026" width="7.75" style="173" bestFit="1" customWidth="1"/>
    <col min="11027" max="11028" width="9.625" style="173" bestFit="1" customWidth="1"/>
    <col min="11029" max="11030" width="9.625" style="173" customWidth="1"/>
    <col min="11031" max="11031" width="9.25" style="173" bestFit="1" customWidth="1"/>
    <col min="11032" max="11032" width="11" style="173" bestFit="1" customWidth="1"/>
    <col min="11033" max="11265" width="9" style="173"/>
    <col min="11266" max="11266" width="4.625" style="173" bestFit="1" customWidth="1"/>
    <col min="11267" max="11267" width="7.5" style="173" bestFit="1" customWidth="1"/>
    <col min="11268" max="11268" width="6.25" style="173" customWidth="1"/>
    <col min="11269" max="11269" width="11" style="173" bestFit="1" customWidth="1"/>
    <col min="11270" max="11271" width="9.625" style="173" bestFit="1" customWidth="1"/>
    <col min="11272" max="11272" width="8.25" style="173" bestFit="1" customWidth="1"/>
    <col min="11273" max="11274" width="9.625" style="173" bestFit="1" customWidth="1"/>
    <col min="11275" max="11275" width="8.25" style="173" bestFit="1" customWidth="1"/>
    <col min="11276" max="11277" width="9.625" style="173" bestFit="1" customWidth="1"/>
    <col min="11278" max="11279" width="8.25" style="173" bestFit="1" customWidth="1"/>
    <col min="11280" max="11280" width="11" style="173" bestFit="1" customWidth="1"/>
    <col min="11281" max="11281" width="8" style="173" bestFit="1" customWidth="1"/>
    <col min="11282" max="11282" width="7.75" style="173" bestFit="1" customWidth="1"/>
    <col min="11283" max="11284" width="9.625" style="173" bestFit="1" customWidth="1"/>
    <col min="11285" max="11286" width="9.625" style="173" customWidth="1"/>
    <col min="11287" max="11287" width="9.25" style="173" bestFit="1" customWidth="1"/>
    <col min="11288" max="11288" width="11" style="173" bestFit="1" customWidth="1"/>
    <col min="11289" max="11521" width="9" style="173"/>
    <col min="11522" max="11522" width="4.625" style="173" bestFit="1" customWidth="1"/>
    <col min="11523" max="11523" width="7.5" style="173" bestFit="1" customWidth="1"/>
    <col min="11524" max="11524" width="6.25" style="173" customWidth="1"/>
    <col min="11525" max="11525" width="11" style="173" bestFit="1" customWidth="1"/>
    <col min="11526" max="11527" width="9.625" style="173" bestFit="1" customWidth="1"/>
    <col min="11528" max="11528" width="8.25" style="173" bestFit="1" customWidth="1"/>
    <col min="11529" max="11530" width="9.625" style="173" bestFit="1" customWidth="1"/>
    <col min="11531" max="11531" width="8.25" style="173" bestFit="1" customWidth="1"/>
    <col min="11532" max="11533" width="9.625" style="173" bestFit="1" customWidth="1"/>
    <col min="11534" max="11535" width="8.25" style="173" bestFit="1" customWidth="1"/>
    <col min="11536" max="11536" width="11" style="173" bestFit="1" customWidth="1"/>
    <col min="11537" max="11537" width="8" style="173" bestFit="1" customWidth="1"/>
    <col min="11538" max="11538" width="7.75" style="173" bestFit="1" customWidth="1"/>
    <col min="11539" max="11540" width="9.625" style="173" bestFit="1" customWidth="1"/>
    <col min="11541" max="11542" width="9.625" style="173" customWidth="1"/>
    <col min="11543" max="11543" width="9.25" style="173" bestFit="1" customWidth="1"/>
    <col min="11544" max="11544" width="11" style="173" bestFit="1" customWidth="1"/>
    <col min="11545" max="11777" width="9" style="173"/>
    <col min="11778" max="11778" width="4.625" style="173" bestFit="1" customWidth="1"/>
    <col min="11779" max="11779" width="7.5" style="173" bestFit="1" customWidth="1"/>
    <col min="11780" max="11780" width="6.25" style="173" customWidth="1"/>
    <col min="11781" max="11781" width="11" style="173" bestFit="1" customWidth="1"/>
    <col min="11782" max="11783" width="9.625" style="173" bestFit="1" customWidth="1"/>
    <col min="11784" max="11784" width="8.25" style="173" bestFit="1" customWidth="1"/>
    <col min="11785" max="11786" width="9.625" style="173" bestFit="1" customWidth="1"/>
    <col min="11787" max="11787" width="8.25" style="173" bestFit="1" customWidth="1"/>
    <col min="11788" max="11789" width="9.625" style="173" bestFit="1" customWidth="1"/>
    <col min="11790" max="11791" width="8.25" style="173" bestFit="1" customWidth="1"/>
    <col min="11792" max="11792" width="11" style="173" bestFit="1" customWidth="1"/>
    <col min="11793" max="11793" width="8" style="173" bestFit="1" customWidth="1"/>
    <col min="11794" max="11794" width="7.75" style="173" bestFit="1" customWidth="1"/>
    <col min="11795" max="11796" width="9.625" style="173" bestFit="1" customWidth="1"/>
    <col min="11797" max="11798" width="9.625" style="173" customWidth="1"/>
    <col min="11799" max="11799" width="9.25" style="173" bestFit="1" customWidth="1"/>
    <col min="11800" max="11800" width="11" style="173" bestFit="1" customWidth="1"/>
    <col min="11801" max="12033" width="9" style="173"/>
    <col min="12034" max="12034" width="4.625" style="173" bestFit="1" customWidth="1"/>
    <col min="12035" max="12035" width="7.5" style="173" bestFit="1" customWidth="1"/>
    <col min="12036" max="12036" width="6.25" style="173" customWidth="1"/>
    <col min="12037" max="12037" width="11" style="173" bestFit="1" customWidth="1"/>
    <col min="12038" max="12039" width="9.625" style="173" bestFit="1" customWidth="1"/>
    <col min="12040" max="12040" width="8.25" style="173" bestFit="1" customWidth="1"/>
    <col min="12041" max="12042" width="9.625" style="173" bestFit="1" customWidth="1"/>
    <col min="12043" max="12043" width="8.25" style="173" bestFit="1" customWidth="1"/>
    <col min="12044" max="12045" width="9.625" style="173" bestFit="1" customWidth="1"/>
    <col min="12046" max="12047" width="8.25" style="173" bestFit="1" customWidth="1"/>
    <col min="12048" max="12048" width="11" style="173" bestFit="1" customWidth="1"/>
    <col min="12049" max="12049" width="8" style="173" bestFit="1" customWidth="1"/>
    <col min="12050" max="12050" width="7.75" style="173" bestFit="1" customWidth="1"/>
    <col min="12051" max="12052" width="9.625" style="173" bestFit="1" customWidth="1"/>
    <col min="12053" max="12054" width="9.625" style="173" customWidth="1"/>
    <col min="12055" max="12055" width="9.25" style="173" bestFit="1" customWidth="1"/>
    <col min="12056" max="12056" width="11" style="173" bestFit="1" customWidth="1"/>
    <col min="12057" max="12289" width="9" style="173"/>
    <col min="12290" max="12290" width="4.625" style="173" bestFit="1" customWidth="1"/>
    <col min="12291" max="12291" width="7.5" style="173" bestFit="1" customWidth="1"/>
    <col min="12292" max="12292" width="6.25" style="173" customWidth="1"/>
    <col min="12293" max="12293" width="11" style="173" bestFit="1" customWidth="1"/>
    <col min="12294" max="12295" width="9.625" style="173" bestFit="1" customWidth="1"/>
    <col min="12296" max="12296" width="8.25" style="173" bestFit="1" customWidth="1"/>
    <col min="12297" max="12298" width="9.625" style="173" bestFit="1" customWidth="1"/>
    <col min="12299" max="12299" width="8.25" style="173" bestFit="1" customWidth="1"/>
    <col min="12300" max="12301" width="9.625" style="173" bestFit="1" customWidth="1"/>
    <col min="12302" max="12303" width="8.25" style="173" bestFit="1" customWidth="1"/>
    <col min="12304" max="12304" width="11" style="173" bestFit="1" customWidth="1"/>
    <col min="12305" max="12305" width="8" style="173" bestFit="1" customWidth="1"/>
    <col min="12306" max="12306" width="7.75" style="173" bestFit="1" customWidth="1"/>
    <col min="12307" max="12308" width="9.625" style="173" bestFit="1" customWidth="1"/>
    <col min="12309" max="12310" width="9.625" style="173" customWidth="1"/>
    <col min="12311" max="12311" width="9.25" style="173" bestFit="1" customWidth="1"/>
    <col min="12312" max="12312" width="11" style="173" bestFit="1" customWidth="1"/>
    <col min="12313" max="12545" width="9" style="173"/>
    <col min="12546" max="12546" width="4.625" style="173" bestFit="1" customWidth="1"/>
    <col min="12547" max="12547" width="7.5" style="173" bestFit="1" customWidth="1"/>
    <col min="12548" max="12548" width="6.25" style="173" customWidth="1"/>
    <col min="12549" max="12549" width="11" style="173" bestFit="1" customWidth="1"/>
    <col min="12550" max="12551" width="9.625" style="173" bestFit="1" customWidth="1"/>
    <col min="12552" max="12552" width="8.25" style="173" bestFit="1" customWidth="1"/>
    <col min="12553" max="12554" width="9.625" style="173" bestFit="1" customWidth="1"/>
    <col min="12555" max="12555" width="8.25" style="173" bestFit="1" customWidth="1"/>
    <col min="12556" max="12557" width="9.625" style="173" bestFit="1" customWidth="1"/>
    <col min="12558" max="12559" width="8.25" style="173" bestFit="1" customWidth="1"/>
    <col min="12560" max="12560" width="11" style="173" bestFit="1" customWidth="1"/>
    <col min="12561" max="12561" width="8" style="173" bestFit="1" customWidth="1"/>
    <col min="12562" max="12562" width="7.75" style="173" bestFit="1" customWidth="1"/>
    <col min="12563" max="12564" width="9.625" style="173" bestFit="1" customWidth="1"/>
    <col min="12565" max="12566" width="9.625" style="173" customWidth="1"/>
    <col min="12567" max="12567" width="9.25" style="173" bestFit="1" customWidth="1"/>
    <col min="12568" max="12568" width="11" style="173" bestFit="1" customWidth="1"/>
    <col min="12569" max="12801" width="9" style="173"/>
    <col min="12802" max="12802" width="4.625" style="173" bestFit="1" customWidth="1"/>
    <col min="12803" max="12803" width="7.5" style="173" bestFit="1" customWidth="1"/>
    <col min="12804" max="12804" width="6.25" style="173" customWidth="1"/>
    <col min="12805" max="12805" width="11" style="173" bestFit="1" customWidth="1"/>
    <col min="12806" max="12807" width="9.625" style="173" bestFit="1" customWidth="1"/>
    <col min="12808" max="12808" width="8.25" style="173" bestFit="1" customWidth="1"/>
    <col min="12809" max="12810" width="9.625" style="173" bestFit="1" customWidth="1"/>
    <col min="12811" max="12811" width="8.25" style="173" bestFit="1" customWidth="1"/>
    <col min="12812" max="12813" width="9.625" style="173" bestFit="1" customWidth="1"/>
    <col min="12814" max="12815" width="8.25" style="173" bestFit="1" customWidth="1"/>
    <col min="12816" max="12816" width="11" style="173" bestFit="1" customWidth="1"/>
    <col min="12817" max="12817" width="8" style="173" bestFit="1" customWidth="1"/>
    <col min="12818" max="12818" width="7.75" style="173" bestFit="1" customWidth="1"/>
    <col min="12819" max="12820" width="9.625" style="173" bestFit="1" customWidth="1"/>
    <col min="12821" max="12822" width="9.625" style="173" customWidth="1"/>
    <col min="12823" max="12823" width="9.25" style="173" bestFit="1" customWidth="1"/>
    <col min="12824" max="12824" width="11" style="173" bestFit="1" customWidth="1"/>
    <col min="12825" max="13057" width="9" style="173"/>
    <col min="13058" max="13058" width="4.625" style="173" bestFit="1" customWidth="1"/>
    <col min="13059" max="13059" width="7.5" style="173" bestFit="1" customWidth="1"/>
    <col min="13060" max="13060" width="6.25" style="173" customWidth="1"/>
    <col min="13061" max="13061" width="11" style="173" bestFit="1" customWidth="1"/>
    <col min="13062" max="13063" width="9.625" style="173" bestFit="1" customWidth="1"/>
    <col min="13064" max="13064" width="8.25" style="173" bestFit="1" customWidth="1"/>
    <col min="13065" max="13066" width="9.625" style="173" bestFit="1" customWidth="1"/>
    <col min="13067" max="13067" width="8.25" style="173" bestFit="1" customWidth="1"/>
    <col min="13068" max="13069" width="9.625" style="173" bestFit="1" customWidth="1"/>
    <col min="13070" max="13071" width="8.25" style="173" bestFit="1" customWidth="1"/>
    <col min="13072" max="13072" width="11" style="173" bestFit="1" customWidth="1"/>
    <col min="13073" max="13073" width="8" style="173" bestFit="1" customWidth="1"/>
    <col min="13074" max="13074" width="7.75" style="173" bestFit="1" customWidth="1"/>
    <col min="13075" max="13076" width="9.625" style="173" bestFit="1" customWidth="1"/>
    <col min="13077" max="13078" width="9.625" style="173" customWidth="1"/>
    <col min="13079" max="13079" width="9.25" style="173" bestFit="1" customWidth="1"/>
    <col min="13080" max="13080" width="11" style="173" bestFit="1" customWidth="1"/>
    <col min="13081" max="13313" width="9" style="173"/>
    <col min="13314" max="13314" width="4.625" style="173" bestFit="1" customWidth="1"/>
    <col min="13315" max="13315" width="7.5" style="173" bestFit="1" customWidth="1"/>
    <col min="13316" max="13316" width="6.25" style="173" customWidth="1"/>
    <col min="13317" max="13317" width="11" style="173" bestFit="1" customWidth="1"/>
    <col min="13318" max="13319" width="9.625" style="173" bestFit="1" customWidth="1"/>
    <col min="13320" max="13320" width="8.25" style="173" bestFit="1" customWidth="1"/>
    <col min="13321" max="13322" width="9.625" style="173" bestFit="1" customWidth="1"/>
    <col min="13323" max="13323" width="8.25" style="173" bestFit="1" customWidth="1"/>
    <col min="13324" max="13325" width="9.625" style="173" bestFit="1" customWidth="1"/>
    <col min="13326" max="13327" width="8.25" style="173" bestFit="1" customWidth="1"/>
    <col min="13328" max="13328" width="11" style="173" bestFit="1" customWidth="1"/>
    <col min="13329" max="13329" width="8" style="173" bestFit="1" customWidth="1"/>
    <col min="13330" max="13330" width="7.75" style="173" bestFit="1" customWidth="1"/>
    <col min="13331" max="13332" width="9.625" style="173" bestFit="1" customWidth="1"/>
    <col min="13333" max="13334" width="9.625" style="173" customWidth="1"/>
    <col min="13335" max="13335" width="9.25" style="173" bestFit="1" customWidth="1"/>
    <col min="13336" max="13336" width="11" style="173" bestFit="1" customWidth="1"/>
    <col min="13337" max="13569" width="9" style="173"/>
    <col min="13570" max="13570" width="4.625" style="173" bestFit="1" customWidth="1"/>
    <col min="13571" max="13571" width="7.5" style="173" bestFit="1" customWidth="1"/>
    <col min="13572" max="13572" width="6.25" style="173" customWidth="1"/>
    <col min="13573" max="13573" width="11" style="173" bestFit="1" customWidth="1"/>
    <col min="13574" max="13575" width="9.625" style="173" bestFit="1" customWidth="1"/>
    <col min="13576" max="13576" width="8.25" style="173" bestFit="1" customWidth="1"/>
    <col min="13577" max="13578" width="9.625" style="173" bestFit="1" customWidth="1"/>
    <col min="13579" max="13579" width="8.25" style="173" bestFit="1" customWidth="1"/>
    <col min="13580" max="13581" width="9.625" style="173" bestFit="1" customWidth="1"/>
    <col min="13582" max="13583" width="8.25" style="173" bestFit="1" customWidth="1"/>
    <col min="13584" max="13584" width="11" style="173" bestFit="1" customWidth="1"/>
    <col min="13585" max="13585" width="8" style="173" bestFit="1" customWidth="1"/>
    <col min="13586" max="13586" width="7.75" style="173" bestFit="1" customWidth="1"/>
    <col min="13587" max="13588" width="9.625" style="173" bestFit="1" customWidth="1"/>
    <col min="13589" max="13590" width="9.625" style="173" customWidth="1"/>
    <col min="13591" max="13591" width="9.25" style="173" bestFit="1" customWidth="1"/>
    <col min="13592" max="13592" width="11" style="173" bestFit="1" customWidth="1"/>
    <col min="13593" max="13825" width="9" style="173"/>
    <col min="13826" max="13826" width="4.625" style="173" bestFit="1" customWidth="1"/>
    <col min="13827" max="13827" width="7.5" style="173" bestFit="1" customWidth="1"/>
    <col min="13828" max="13828" width="6.25" style="173" customWidth="1"/>
    <col min="13829" max="13829" width="11" style="173" bestFit="1" customWidth="1"/>
    <col min="13830" max="13831" width="9.625" style="173" bestFit="1" customWidth="1"/>
    <col min="13832" max="13832" width="8.25" style="173" bestFit="1" customWidth="1"/>
    <col min="13833" max="13834" width="9.625" style="173" bestFit="1" customWidth="1"/>
    <col min="13835" max="13835" width="8.25" style="173" bestFit="1" customWidth="1"/>
    <col min="13836" max="13837" width="9.625" style="173" bestFit="1" customWidth="1"/>
    <col min="13838" max="13839" width="8.25" style="173" bestFit="1" customWidth="1"/>
    <col min="13840" max="13840" width="11" style="173" bestFit="1" customWidth="1"/>
    <col min="13841" max="13841" width="8" style="173" bestFit="1" customWidth="1"/>
    <col min="13842" max="13842" width="7.75" style="173" bestFit="1" customWidth="1"/>
    <col min="13843" max="13844" width="9.625" style="173" bestFit="1" customWidth="1"/>
    <col min="13845" max="13846" width="9.625" style="173" customWidth="1"/>
    <col min="13847" max="13847" width="9.25" style="173" bestFit="1" customWidth="1"/>
    <col min="13848" max="13848" width="11" style="173" bestFit="1" customWidth="1"/>
    <col min="13849" max="14081" width="9" style="173"/>
    <col min="14082" max="14082" width="4.625" style="173" bestFit="1" customWidth="1"/>
    <col min="14083" max="14083" width="7.5" style="173" bestFit="1" customWidth="1"/>
    <col min="14084" max="14084" width="6.25" style="173" customWidth="1"/>
    <col min="14085" max="14085" width="11" style="173" bestFit="1" customWidth="1"/>
    <col min="14086" max="14087" width="9.625" style="173" bestFit="1" customWidth="1"/>
    <col min="14088" max="14088" width="8.25" style="173" bestFit="1" customWidth="1"/>
    <col min="14089" max="14090" width="9.625" style="173" bestFit="1" customWidth="1"/>
    <col min="14091" max="14091" width="8.25" style="173" bestFit="1" customWidth="1"/>
    <col min="14092" max="14093" width="9.625" style="173" bestFit="1" customWidth="1"/>
    <col min="14094" max="14095" width="8.25" style="173" bestFit="1" customWidth="1"/>
    <col min="14096" max="14096" width="11" style="173" bestFit="1" customWidth="1"/>
    <col min="14097" max="14097" width="8" style="173" bestFit="1" customWidth="1"/>
    <col min="14098" max="14098" width="7.75" style="173" bestFit="1" customWidth="1"/>
    <col min="14099" max="14100" width="9.625" style="173" bestFit="1" customWidth="1"/>
    <col min="14101" max="14102" width="9.625" style="173" customWidth="1"/>
    <col min="14103" max="14103" width="9.25" style="173" bestFit="1" customWidth="1"/>
    <col min="14104" max="14104" width="11" style="173" bestFit="1" customWidth="1"/>
    <col min="14105" max="14337" width="9" style="173"/>
    <col min="14338" max="14338" width="4.625" style="173" bestFit="1" customWidth="1"/>
    <col min="14339" max="14339" width="7.5" style="173" bestFit="1" customWidth="1"/>
    <col min="14340" max="14340" width="6.25" style="173" customWidth="1"/>
    <col min="14341" max="14341" width="11" style="173" bestFit="1" customWidth="1"/>
    <col min="14342" max="14343" width="9.625" style="173" bestFit="1" customWidth="1"/>
    <col min="14344" max="14344" width="8.25" style="173" bestFit="1" customWidth="1"/>
    <col min="14345" max="14346" width="9.625" style="173" bestFit="1" customWidth="1"/>
    <col min="14347" max="14347" width="8.25" style="173" bestFit="1" customWidth="1"/>
    <col min="14348" max="14349" width="9.625" style="173" bestFit="1" customWidth="1"/>
    <col min="14350" max="14351" width="8.25" style="173" bestFit="1" customWidth="1"/>
    <col min="14352" max="14352" width="11" style="173" bestFit="1" customWidth="1"/>
    <col min="14353" max="14353" width="8" style="173" bestFit="1" customWidth="1"/>
    <col min="14354" max="14354" width="7.75" style="173" bestFit="1" customWidth="1"/>
    <col min="14355" max="14356" width="9.625" style="173" bestFit="1" customWidth="1"/>
    <col min="14357" max="14358" width="9.625" style="173" customWidth="1"/>
    <col min="14359" max="14359" width="9.25" style="173" bestFit="1" customWidth="1"/>
    <col min="14360" max="14360" width="11" style="173" bestFit="1" customWidth="1"/>
    <col min="14361" max="14593" width="9" style="173"/>
    <col min="14594" max="14594" width="4.625" style="173" bestFit="1" customWidth="1"/>
    <col min="14595" max="14595" width="7.5" style="173" bestFit="1" customWidth="1"/>
    <col min="14596" max="14596" width="6.25" style="173" customWidth="1"/>
    <col min="14597" max="14597" width="11" style="173" bestFit="1" customWidth="1"/>
    <col min="14598" max="14599" width="9.625" style="173" bestFit="1" customWidth="1"/>
    <col min="14600" max="14600" width="8.25" style="173" bestFit="1" customWidth="1"/>
    <col min="14601" max="14602" width="9.625" style="173" bestFit="1" customWidth="1"/>
    <col min="14603" max="14603" width="8.25" style="173" bestFit="1" customWidth="1"/>
    <col min="14604" max="14605" width="9.625" style="173" bestFit="1" customWidth="1"/>
    <col min="14606" max="14607" width="8.25" style="173" bestFit="1" customWidth="1"/>
    <col min="14608" max="14608" width="11" style="173" bestFit="1" customWidth="1"/>
    <col min="14609" max="14609" width="8" style="173" bestFit="1" customWidth="1"/>
    <col min="14610" max="14610" width="7.75" style="173" bestFit="1" customWidth="1"/>
    <col min="14611" max="14612" width="9.625" style="173" bestFit="1" customWidth="1"/>
    <col min="14613" max="14614" width="9.625" style="173" customWidth="1"/>
    <col min="14615" max="14615" width="9.25" style="173" bestFit="1" customWidth="1"/>
    <col min="14616" max="14616" width="11" style="173" bestFit="1" customWidth="1"/>
    <col min="14617" max="14849" width="9" style="173"/>
    <col min="14850" max="14850" width="4.625" style="173" bestFit="1" customWidth="1"/>
    <col min="14851" max="14851" width="7.5" style="173" bestFit="1" customWidth="1"/>
    <col min="14852" max="14852" width="6.25" style="173" customWidth="1"/>
    <col min="14853" max="14853" width="11" style="173" bestFit="1" customWidth="1"/>
    <col min="14854" max="14855" width="9.625" style="173" bestFit="1" customWidth="1"/>
    <col min="14856" max="14856" width="8.25" style="173" bestFit="1" customWidth="1"/>
    <col min="14857" max="14858" width="9.625" style="173" bestFit="1" customWidth="1"/>
    <col min="14859" max="14859" width="8.25" style="173" bestFit="1" customWidth="1"/>
    <col min="14860" max="14861" width="9.625" style="173" bestFit="1" customWidth="1"/>
    <col min="14862" max="14863" width="8.25" style="173" bestFit="1" customWidth="1"/>
    <col min="14864" max="14864" width="11" style="173" bestFit="1" customWidth="1"/>
    <col min="14865" max="14865" width="8" style="173" bestFit="1" customWidth="1"/>
    <col min="14866" max="14866" width="7.75" style="173" bestFit="1" customWidth="1"/>
    <col min="14867" max="14868" width="9.625" style="173" bestFit="1" customWidth="1"/>
    <col min="14869" max="14870" width="9.625" style="173" customWidth="1"/>
    <col min="14871" max="14871" width="9.25" style="173" bestFit="1" customWidth="1"/>
    <col min="14872" max="14872" width="11" style="173" bestFit="1" customWidth="1"/>
    <col min="14873" max="15105" width="9" style="173"/>
    <col min="15106" max="15106" width="4.625" style="173" bestFit="1" customWidth="1"/>
    <col min="15107" max="15107" width="7.5" style="173" bestFit="1" customWidth="1"/>
    <col min="15108" max="15108" width="6.25" style="173" customWidth="1"/>
    <col min="15109" max="15109" width="11" style="173" bestFit="1" customWidth="1"/>
    <col min="15110" max="15111" width="9.625" style="173" bestFit="1" customWidth="1"/>
    <col min="15112" max="15112" width="8.25" style="173" bestFit="1" customWidth="1"/>
    <col min="15113" max="15114" width="9.625" style="173" bestFit="1" customWidth="1"/>
    <col min="15115" max="15115" width="8.25" style="173" bestFit="1" customWidth="1"/>
    <col min="15116" max="15117" width="9.625" style="173" bestFit="1" customWidth="1"/>
    <col min="15118" max="15119" width="8.25" style="173" bestFit="1" customWidth="1"/>
    <col min="15120" max="15120" width="11" style="173" bestFit="1" customWidth="1"/>
    <col min="15121" max="15121" width="8" style="173" bestFit="1" customWidth="1"/>
    <col min="15122" max="15122" width="7.75" style="173" bestFit="1" customWidth="1"/>
    <col min="15123" max="15124" width="9.625" style="173" bestFit="1" customWidth="1"/>
    <col min="15125" max="15126" width="9.625" style="173" customWidth="1"/>
    <col min="15127" max="15127" width="9.25" style="173" bestFit="1" customWidth="1"/>
    <col min="15128" max="15128" width="11" style="173" bestFit="1" customWidth="1"/>
    <col min="15129" max="15361" width="9" style="173"/>
    <col min="15362" max="15362" width="4.625" style="173" bestFit="1" customWidth="1"/>
    <col min="15363" max="15363" width="7.5" style="173" bestFit="1" customWidth="1"/>
    <col min="15364" max="15364" width="6.25" style="173" customWidth="1"/>
    <col min="15365" max="15365" width="11" style="173" bestFit="1" customWidth="1"/>
    <col min="15366" max="15367" width="9.625" style="173" bestFit="1" customWidth="1"/>
    <col min="15368" max="15368" width="8.25" style="173" bestFit="1" customWidth="1"/>
    <col min="15369" max="15370" width="9.625" style="173" bestFit="1" customWidth="1"/>
    <col min="15371" max="15371" width="8.25" style="173" bestFit="1" customWidth="1"/>
    <col min="15372" max="15373" width="9.625" style="173" bestFit="1" customWidth="1"/>
    <col min="15374" max="15375" width="8.25" style="173" bestFit="1" customWidth="1"/>
    <col min="15376" max="15376" width="11" style="173" bestFit="1" customWidth="1"/>
    <col min="15377" max="15377" width="8" style="173" bestFit="1" customWidth="1"/>
    <col min="15378" max="15378" width="7.75" style="173" bestFit="1" customWidth="1"/>
    <col min="15379" max="15380" width="9.625" style="173" bestFit="1" customWidth="1"/>
    <col min="15381" max="15382" width="9.625" style="173" customWidth="1"/>
    <col min="15383" max="15383" width="9.25" style="173" bestFit="1" customWidth="1"/>
    <col min="15384" max="15384" width="11" style="173" bestFit="1" customWidth="1"/>
    <col min="15385" max="15617" width="9" style="173"/>
    <col min="15618" max="15618" width="4.625" style="173" bestFit="1" customWidth="1"/>
    <col min="15619" max="15619" width="7.5" style="173" bestFit="1" customWidth="1"/>
    <col min="15620" max="15620" width="6.25" style="173" customWidth="1"/>
    <col min="15621" max="15621" width="11" style="173" bestFit="1" customWidth="1"/>
    <col min="15622" max="15623" width="9.625" style="173" bestFit="1" customWidth="1"/>
    <col min="15624" max="15624" width="8.25" style="173" bestFit="1" customWidth="1"/>
    <col min="15625" max="15626" width="9.625" style="173" bestFit="1" customWidth="1"/>
    <col min="15627" max="15627" width="8.25" style="173" bestFit="1" customWidth="1"/>
    <col min="15628" max="15629" width="9.625" style="173" bestFit="1" customWidth="1"/>
    <col min="15630" max="15631" width="8.25" style="173" bestFit="1" customWidth="1"/>
    <col min="15632" max="15632" width="11" style="173" bestFit="1" customWidth="1"/>
    <col min="15633" max="15633" width="8" style="173" bestFit="1" customWidth="1"/>
    <col min="15634" max="15634" width="7.75" style="173" bestFit="1" customWidth="1"/>
    <col min="15635" max="15636" width="9.625" style="173" bestFit="1" customWidth="1"/>
    <col min="15637" max="15638" width="9.625" style="173" customWidth="1"/>
    <col min="15639" max="15639" width="9.25" style="173" bestFit="1" customWidth="1"/>
    <col min="15640" max="15640" width="11" style="173" bestFit="1" customWidth="1"/>
    <col min="15641" max="15873" width="9" style="173"/>
    <col min="15874" max="15874" width="4.625" style="173" bestFit="1" customWidth="1"/>
    <col min="15875" max="15875" width="7.5" style="173" bestFit="1" customWidth="1"/>
    <col min="15876" max="15876" width="6.25" style="173" customWidth="1"/>
    <col min="15877" max="15877" width="11" style="173" bestFit="1" customWidth="1"/>
    <col min="15878" max="15879" width="9.625" style="173" bestFit="1" customWidth="1"/>
    <col min="15880" max="15880" width="8.25" style="173" bestFit="1" customWidth="1"/>
    <col min="15881" max="15882" width="9.625" style="173" bestFit="1" customWidth="1"/>
    <col min="15883" max="15883" width="8.25" style="173" bestFit="1" customWidth="1"/>
    <col min="15884" max="15885" width="9.625" style="173" bestFit="1" customWidth="1"/>
    <col min="15886" max="15887" width="8.25" style="173" bestFit="1" customWidth="1"/>
    <col min="15888" max="15888" width="11" style="173" bestFit="1" customWidth="1"/>
    <col min="15889" max="15889" width="8" style="173" bestFit="1" customWidth="1"/>
    <col min="15890" max="15890" width="7.75" style="173" bestFit="1" customWidth="1"/>
    <col min="15891" max="15892" width="9.625" style="173" bestFit="1" customWidth="1"/>
    <col min="15893" max="15894" width="9.625" style="173" customWidth="1"/>
    <col min="15895" max="15895" width="9.25" style="173" bestFit="1" customWidth="1"/>
    <col min="15896" max="15896" width="11" style="173" bestFit="1" customWidth="1"/>
    <col min="15897" max="16129" width="9" style="173"/>
    <col min="16130" max="16130" width="4.625" style="173" bestFit="1" customWidth="1"/>
    <col min="16131" max="16131" width="7.5" style="173" bestFit="1" customWidth="1"/>
    <col min="16132" max="16132" width="6.25" style="173" customWidth="1"/>
    <col min="16133" max="16133" width="11" style="173" bestFit="1" customWidth="1"/>
    <col min="16134" max="16135" width="9.625" style="173" bestFit="1" customWidth="1"/>
    <col min="16136" max="16136" width="8.25" style="173" bestFit="1" customWidth="1"/>
    <col min="16137" max="16138" width="9.625" style="173" bestFit="1" customWidth="1"/>
    <col min="16139" max="16139" width="8.25" style="173" bestFit="1" customWidth="1"/>
    <col min="16140" max="16141" width="9.625" style="173" bestFit="1" customWidth="1"/>
    <col min="16142" max="16143" width="8.25" style="173" bestFit="1" customWidth="1"/>
    <col min="16144" max="16144" width="11" style="173" bestFit="1" customWidth="1"/>
    <col min="16145" max="16145" width="8" style="173" bestFit="1" customWidth="1"/>
    <col min="16146" max="16146" width="7.75" style="173" bestFit="1" customWidth="1"/>
    <col min="16147" max="16148" width="9.625" style="173" bestFit="1" customWidth="1"/>
    <col min="16149" max="16150" width="9.625" style="173" customWidth="1"/>
    <col min="16151" max="16151" width="9.25" style="173" bestFit="1" customWidth="1"/>
    <col min="16152" max="16152" width="11" style="173" bestFit="1" customWidth="1"/>
    <col min="16153" max="16384" width="9" style="173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323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71"/>
      <c r="V4" s="252"/>
      <c r="W4" s="252"/>
      <c r="X4" s="252"/>
    </row>
    <row r="5" spans="2:29" ht="20.25" customHeight="1" x14ac:dyDescent="0.3">
      <c r="B5" s="253" t="s">
        <v>322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72"/>
      <c r="Q5" s="69"/>
      <c r="R5" s="69"/>
      <c r="S5" s="69"/>
      <c r="T5" s="252"/>
      <c r="U5" s="171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4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4" si="2">ROUNDDOWN(Q9*10%,-1)</f>
        <v>2590</v>
      </c>
      <c r="S9" s="95"/>
      <c r="T9" s="95">
        <f t="shared" ref="T9:T24" si="3">IFERROR(ROUNDDOWN((P9-AC9)*3.43%,-1),)</f>
        <v>75460</v>
      </c>
      <c r="U9" s="96">
        <f t="shared" ref="U9:U24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130290</v>
      </c>
      <c r="X9" s="97">
        <f t="shared" ref="X9:X24" si="7">P9-W9</f>
        <v>2369710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/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130290</v>
      </c>
      <c r="X10" s="128">
        <f t="shared" si="7"/>
        <v>2369710</v>
      </c>
      <c r="Z10" s="98">
        <v>1</v>
      </c>
      <c r="AA10" s="99"/>
      <c r="AC10" s="100">
        <f t="shared" ref="AC10:AC13" si="8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8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8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8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:P20" si="9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0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:V24" si="11">IFERROR(IF(D15&lt;&gt;"대표이사",ROUNDDOWN((P15-AC15)*고용보험율,-1),0),)</f>
        <v>17600</v>
      </c>
      <c r="W15" s="124">
        <f t="shared" ref="W15:W24" si="12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24" si="13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251</v>
      </c>
      <c r="D16" s="88" t="s">
        <v>50</v>
      </c>
      <c r="E16" s="89">
        <v>2100000</v>
      </c>
      <c r="F16" s="106"/>
      <c r="G16" s="106"/>
      <c r="H16" s="106"/>
      <c r="I16" s="106"/>
      <c r="J16" s="107"/>
      <c r="K16" s="107"/>
      <c r="L16" s="107"/>
      <c r="M16" s="107"/>
      <c r="N16" s="89">
        <v>200000</v>
      </c>
      <c r="O16" s="130">
        <v>200000</v>
      </c>
      <c r="P16" s="124">
        <f t="shared" si="9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 t="shared" si="11"/>
        <v>17600</v>
      </c>
      <c r="W16" s="124">
        <f t="shared" si="12"/>
        <v>130290</v>
      </c>
      <c r="X16" s="128">
        <f t="shared" si="7"/>
        <v>2369710</v>
      </c>
      <c r="Z16" s="98">
        <v>1</v>
      </c>
      <c r="AA16" s="99"/>
      <c r="AC16" s="100">
        <f t="shared" si="13"/>
        <v>300000</v>
      </c>
    </row>
    <row r="17" spans="2:29" ht="20.100000000000001" customHeight="1" x14ac:dyDescent="0.3">
      <c r="B17" s="101">
        <v>9</v>
      </c>
      <c r="C17" s="169" t="s">
        <v>307</v>
      </c>
      <c r="D17" s="88" t="s">
        <v>50</v>
      </c>
      <c r="E17" s="89">
        <v>2100000</v>
      </c>
      <c r="F17" s="102"/>
      <c r="G17" s="102"/>
      <c r="H17" s="102"/>
      <c r="I17" s="102"/>
      <c r="J17" s="103"/>
      <c r="K17" s="103"/>
      <c r="L17" s="103"/>
      <c r="M17" s="103"/>
      <c r="N17" s="89">
        <v>200000</v>
      </c>
      <c r="O17" s="123">
        <v>200000</v>
      </c>
      <c r="P17" s="124">
        <f t="shared" ref="P17" si="14">SUM(E17:O17)</f>
        <v>2500000</v>
      </c>
      <c r="Q17" s="125">
        <f t="shared" si="1"/>
        <v>25950</v>
      </c>
      <c r="R17" s="126">
        <f t="shared" si="2"/>
        <v>2590</v>
      </c>
      <c r="S17" s="126">
        <f t="shared" ref="S17" si="15">IFERROR(IF(AND(P17-AC17&gt;=월액최저,P17-AC17&lt;=월액최고),ROUNDDOWN((P17-AC17)*국민연금,-1),IF(P17-AC17&gt;=월액최고,최고연금,IF(AND(P17-AC17&lt;=월액최저,P17-AC17&gt;=1),최저연금,))),)</f>
        <v>99000</v>
      </c>
      <c r="T17" s="95">
        <f t="shared" si="3"/>
        <v>75460</v>
      </c>
      <c r="U17" s="96">
        <f t="shared" si="4"/>
        <v>8690</v>
      </c>
      <c r="V17" s="127">
        <f t="shared" si="11"/>
        <v>17600</v>
      </c>
      <c r="W17" s="124">
        <f t="shared" si="12"/>
        <v>229290</v>
      </c>
      <c r="X17" s="128">
        <f t="shared" si="7"/>
        <v>2270710</v>
      </c>
      <c r="Z17" s="98">
        <v>1</v>
      </c>
      <c r="AA17" s="99"/>
      <c r="AC17" s="100">
        <f t="shared" si="13"/>
        <v>300000</v>
      </c>
    </row>
    <row r="18" spans="2:29" ht="20.100000000000001" customHeight="1" x14ac:dyDescent="0.3">
      <c r="B18" s="101">
        <v>10</v>
      </c>
      <c r="C18" s="170" t="s">
        <v>289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9"/>
        <v>2500000</v>
      </c>
      <c r="Q18" s="125">
        <f t="shared" si="1"/>
        <v>25950</v>
      </c>
      <c r="R18" s="126">
        <f t="shared" si="2"/>
        <v>2590</v>
      </c>
      <c r="S18" s="126"/>
      <c r="T18" s="95">
        <f t="shared" si="3"/>
        <v>75460</v>
      </c>
      <c r="U18" s="96">
        <f t="shared" si="4"/>
        <v>8690</v>
      </c>
      <c r="V18" s="127">
        <f t="shared" si="11"/>
        <v>17600</v>
      </c>
      <c r="W18" s="124">
        <f t="shared" si="12"/>
        <v>130290</v>
      </c>
      <c r="X18" s="128">
        <f t="shared" si="7"/>
        <v>2369710</v>
      </c>
      <c r="Z18" s="98">
        <v>1</v>
      </c>
      <c r="AA18" s="99"/>
      <c r="AC18" s="100">
        <f t="shared" si="13"/>
        <v>300000</v>
      </c>
    </row>
    <row r="19" spans="2:29" ht="20.100000000000001" customHeight="1" x14ac:dyDescent="0.3">
      <c r="B19" s="101">
        <v>11</v>
      </c>
      <c r="C19" s="170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9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3"/>
        <v>300000</v>
      </c>
    </row>
    <row r="20" spans="2:29" ht="20.100000000000001" customHeight="1" x14ac:dyDescent="0.3">
      <c r="B20" s="101">
        <v>12</v>
      </c>
      <c r="C20" s="169" t="s">
        <v>312</v>
      </c>
      <c r="D20" s="88" t="s">
        <v>90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23">
        <v>200000</v>
      </c>
      <c r="P20" s="124">
        <f t="shared" si="9"/>
        <v>2500000</v>
      </c>
      <c r="Q20" s="125">
        <f t="shared" si="1"/>
        <v>25950</v>
      </c>
      <c r="R20" s="126">
        <f t="shared" ref="R20" si="16">ROUNDDOWN(Q20*10%,-1)</f>
        <v>2590</v>
      </c>
      <c r="S20" s="126">
        <f t="shared" ref="S20" si="17">IFERROR(IF(AND(P20-AC20&gt;=월액최저,P20-AC20&lt;=월액최고),ROUNDDOWN((P20-AC20)*국민연금,-1),IF(P20-AC20&gt;=월액최고,최고연금,IF(AND(P20-AC20&lt;=월액최저,P20-AC20&gt;=1),최저연금,))),)</f>
        <v>99000</v>
      </c>
      <c r="T20" s="95">
        <f t="shared" si="3"/>
        <v>75460</v>
      </c>
      <c r="U20" s="96">
        <f t="shared" ref="U20" si="18">ROUNDDOWN(T20*11.52%,-1)</f>
        <v>8690</v>
      </c>
      <c r="V20" s="127">
        <f t="shared" ref="V20" si="19">IFERROR(IF(D20&lt;&gt;"대표이사",ROUNDDOWN((P20-AC20)*고용보험율,-1),0),)</f>
        <v>17600</v>
      </c>
      <c r="W20" s="124">
        <f t="shared" ref="W20" si="20">SUM(Q20:V20)</f>
        <v>229290</v>
      </c>
      <c r="X20" s="128">
        <f t="shared" ref="X20" si="21">P20-W20</f>
        <v>2270710</v>
      </c>
      <c r="Z20" s="98">
        <v>1</v>
      </c>
      <c r="AA20" s="99"/>
      <c r="AC20" s="100">
        <f t="shared" si="13"/>
        <v>300000</v>
      </c>
    </row>
    <row r="21" spans="2:29" ht="20.100000000000001" customHeight="1" x14ac:dyDescent="0.3">
      <c r="B21" s="101">
        <v>13</v>
      </c>
      <c r="C21" s="87" t="s">
        <v>297</v>
      </c>
      <c r="D21" s="88" t="s">
        <v>50</v>
      </c>
      <c r="E21" s="89">
        <v>2100000</v>
      </c>
      <c r="F21" s="102"/>
      <c r="G21" s="102"/>
      <c r="H21" s="102"/>
      <c r="I21" s="102"/>
      <c r="J21" s="103"/>
      <c r="K21" s="103"/>
      <c r="L21" s="103"/>
      <c r="M21" s="103"/>
      <c r="N21" s="89">
        <v>200000</v>
      </c>
      <c r="O21" s="123">
        <v>200000</v>
      </c>
      <c r="P21" s="124">
        <f t="shared" ref="P21" si="22">SUM(E21:O21)</f>
        <v>2500000</v>
      </c>
      <c r="Q21" s="125">
        <f t="shared" ref="Q21" si="23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25950</v>
      </c>
      <c r="R21" s="126">
        <f t="shared" si="2"/>
        <v>2590</v>
      </c>
      <c r="S21" s="126">
        <f t="shared" ref="S21" si="24">IFERROR(IF(AND(P21-AC21&gt;=월액최저,P21-AC21&lt;=월액최고),ROUNDDOWN((P21-AC21)*국민연금,-1),IF(P21-AC21&gt;=월액최고,최고연금,IF(AND(P21-AC21&lt;=월액최저,P21-AC21&gt;=1),최저연금,))),)</f>
        <v>99000</v>
      </c>
      <c r="T21" s="95">
        <f t="shared" ref="T21" si="25">IFERROR(ROUNDDOWN((P21-AC21)*3.43%,-1),)</f>
        <v>75460</v>
      </c>
      <c r="U21" s="96">
        <f t="shared" si="4"/>
        <v>8690</v>
      </c>
      <c r="V21" s="127">
        <f t="shared" ref="V21" si="26">IFERROR(IF(D21&lt;&gt;"대표이사",ROUNDDOWN((P21-AC21)*고용보험율,-1),0),)</f>
        <v>17600</v>
      </c>
      <c r="W21" s="124">
        <f t="shared" ref="W21" si="27">SUM(Q21:V21)</f>
        <v>229290</v>
      </c>
      <c r="X21" s="128">
        <f t="shared" si="7"/>
        <v>2270710</v>
      </c>
      <c r="Z21" s="98">
        <v>1</v>
      </c>
      <c r="AA21" s="99"/>
      <c r="AC21" s="100">
        <f t="shared" ref="AC21" si="28">IF(N21&gt;=100000,100000,N21)+IF(O21&gt;=200000,200000,O21)</f>
        <v>300000</v>
      </c>
    </row>
    <row r="22" spans="2:29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29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ht="20.100000000000001" customHeight="1" x14ac:dyDescent="0.3">
      <c r="B23" s="101">
        <v>15</v>
      </c>
      <c r="C23" s="170" t="s">
        <v>306</v>
      </c>
      <c r="D23" s="88" t="s">
        <v>303</v>
      </c>
      <c r="E23" s="89">
        <v>2100000</v>
      </c>
      <c r="F23" s="106"/>
      <c r="G23" s="106"/>
      <c r="H23" s="106"/>
      <c r="I23" s="106"/>
      <c r="J23" s="107"/>
      <c r="K23" s="107"/>
      <c r="L23" s="107"/>
      <c r="M23" s="107"/>
      <c r="N23" s="89">
        <v>200000</v>
      </c>
      <c r="O23" s="130">
        <v>200000</v>
      </c>
      <c r="P23" s="124">
        <f t="shared" ref="P23:P24" si="30">SUM(E23:O23)</f>
        <v>2500000</v>
      </c>
      <c r="Q23" s="125">
        <f t="shared" ref="Q23" si="31">IFERROR(IF(P23-AC23&lt;=10000000,VLOOKUP((P23-AC23)/1000,간이세액표,IF(11&lt;Z23+AA23,13,2+Z23+AA23),TRUE),IF(P23-AC23&gt;14000000,VLOOKUP((P23-AC23)/1000,간이세액표,IF(11&lt;Z23+AA23,13,2+Z23+AA23),TRUE)+1372000+ROUNDDOWN(((P23-AC23-14000000)*98%)*38%,-1),VLOOKUP((P23-AC23)/1000,간이세액표,IF(11&lt;Z23+AA23,13,2+Z23+AA23),TRUE)+ROUNDDOWN(((P23-AC23-10000000)*98%)*35%,-1))),)</f>
        <v>25950</v>
      </c>
      <c r="R23" s="126">
        <f t="shared" ref="R23" si="32">ROUNDDOWN(Q23*10%,-1)</f>
        <v>2590</v>
      </c>
      <c r="S23" s="126">
        <f t="shared" ref="S23" si="33">IFERROR(IF(AND(P23-AC23&gt;=월액최저,P23-AC23&lt;=월액최고),ROUNDDOWN((P23-AC23)*국민연금,-1),IF(P23-AC23&gt;=월액최고,최고연금,IF(AND(P23-AC23&lt;=월액최저,P23-AC23&gt;=1),최저연금,))),)</f>
        <v>99000</v>
      </c>
      <c r="T23" s="95">
        <f t="shared" ref="T23" si="34">IFERROR(ROUNDDOWN((P23-AC23)*3.43%,-1),)</f>
        <v>75460</v>
      </c>
      <c r="U23" s="96">
        <f t="shared" ref="U23" si="35">ROUNDDOWN(T23*11.52%,-1)</f>
        <v>8690</v>
      </c>
      <c r="V23" s="127">
        <f t="shared" ref="V23" si="36">IFERROR(IF(D23&lt;&gt;"대표이사",ROUNDDOWN((P23-AC23)*고용보험율,-1),0),)</f>
        <v>17600</v>
      </c>
      <c r="W23" s="124">
        <f t="shared" ref="W23" si="37">SUM(Q23:V23)</f>
        <v>229290</v>
      </c>
      <c r="X23" s="128">
        <f t="shared" ref="X23" si="38">P23-W23</f>
        <v>2270710</v>
      </c>
      <c r="Z23" s="98">
        <v>1</v>
      </c>
      <c r="AA23" s="99"/>
      <c r="AC23" s="100">
        <f t="shared" ref="AC23" si="39">IF(N23&gt;=100000,100000,N23)+IF(O23&gt;=200000,200000,O23)</f>
        <v>300000</v>
      </c>
    </row>
    <row r="24" spans="2:29" ht="20.100000000000001" customHeight="1" x14ac:dyDescent="0.3">
      <c r="B24" s="101">
        <v>16</v>
      </c>
      <c r="C24" s="169" t="s">
        <v>318</v>
      </c>
      <c r="D24" s="88" t="s">
        <v>319</v>
      </c>
      <c r="E24" s="89">
        <v>2250000</v>
      </c>
      <c r="F24" s="106"/>
      <c r="G24" s="106"/>
      <c r="H24" s="106"/>
      <c r="I24" s="106"/>
      <c r="J24" s="107"/>
      <c r="K24" s="107"/>
      <c r="L24" s="107"/>
      <c r="M24" s="107"/>
      <c r="N24" s="89">
        <v>100000</v>
      </c>
      <c r="O24" s="130">
        <v>100000</v>
      </c>
      <c r="P24" s="124">
        <f t="shared" si="30"/>
        <v>2450000</v>
      </c>
      <c r="Q24" s="125">
        <f t="shared" si="1"/>
        <v>27560</v>
      </c>
      <c r="R24" s="126">
        <f t="shared" si="2"/>
        <v>2750</v>
      </c>
      <c r="S24" s="126">
        <f t="shared" ref="S24" si="40">IFERROR(IF(AND(P24-AC24&gt;=월액최저,P24-AC24&lt;=월액최고),ROUNDDOWN((P24-AC24)*국민연금,-1),IF(P24-AC24&gt;=월액최고,최고연금,IF(AND(P24-AC24&lt;=월액최저,P24-AC24&gt;=1),최저연금,))),)</f>
        <v>101250</v>
      </c>
      <c r="T24" s="95">
        <f t="shared" si="3"/>
        <v>77170</v>
      </c>
      <c r="U24" s="96">
        <f t="shared" si="4"/>
        <v>8880</v>
      </c>
      <c r="V24" s="127">
        <f t="shared" si="11"/>
        <v>18000</v>
      </c>
      <c r="W24" s="124">
        <f t="shared" si="12"/>
        <v>235610</v>
      </c>
      <c r="X24" s="128">
        <f t="shared" si="7"/>
        <v>2214390</v>
      </c>
      <c r="Z24" s="98">
        <v>1</v>
      </c>
      <c r="AA24" s="99"/>
      <c r="AC24" s="100">
        <f t="shared" si="13"/>
        <v>200000</v>
      </c>
    </row>
    <row r="25" spans="2:29" ht="20.100000000000001" customHeight="1" x14ac:dyDescent="0.3">
      <c r="B25" s="216" t="s">
        <v>93</v>
      </c>
      <c r="C25" s="217"/>
      <c r="D25" s="218"/>
      <c r="E25" s="131">
        <f t="shared" ref="E25:X25" si="41">SUM(E9:E24)</f>
        <v>33750000</v>
      </c>
      <c r="F25" s="132">
        <f t="shared" si="41"/>
        <v>0</v>
      </c>
      <c r="G25" s="132">
        <f t="shared" si="41"/>
        <v>0</v>
      </c>
      <c r="H25" s="132">
        <f t="shared" si="41"/>
        <v>0</v>
      </c>
      <c r="I25" s="132">
        <f t="shared" si="41"/>
        <v>0</v>
      </c>
      <c r="J25" s="132">
        <f t="shared" si="41"/>
        <v>0</v>
      </c>
      <c r="K25" s="132">
        <f t="shared" si="41"/>
        <v>0</v>
      </c>
      <c r="L25" s="132">
        <f t="shared" si="41"/>
        <v>0</v>
      </c>
      <c r="M25" s="133">
        <f t="shared" si="41"/>
        <v>0</v>
      </c>
      <c r="N25" s="131">
        <f t="shared" si="41"/>
        <v>3100000</v>
      </c>
      <c r="O25" s="134">
        <f t="shared" si="41"/>
        <v>3100000</v>
      </c>
      <c r="P25" s="135">
        <f t="shared" si="41"/>
        <v>39950000</v>
      </c>
      <c r="Q25" s="131">
        <f t="shared" si="41"/>
        <v>416810</v>
      </c>
      <c r="R25" s="132">
        <f t="shared" si="41"/>
        <v>41600</v>
      </c>
      <c r="S25" s="132">
        <f t="shared" si="41"/>
        <v>695250</v>
      </c>
      <c r="T25" s="132">
        <f t="shared" si="41"/>
        <v>1209070</v>
      </c>
      <c r="U25" s="133">
        <f t="shared" si="41"/>
        <v>139230</v>
      </c>
      <c r="V25" s="133">
        <f t="shared" si="41"/>
        <v>282000</v>
      </c>
      <c r="W25" s="135">
        <f t="shared" si="41"/>
        <v>2783960</v>
      </c>
      <c r="X25" s="136">
        <f t="shared" si="41"/>
        <v>37166040</v>
      </c>
    </row>
    <row r="26" spans="2:29" ht="20.25" customHeight="1" thickBot="1" x14ac:dyDescent="0.35">
      <c r="B26" s="219" t="s">
        <v>94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 spans="2:29" ht="15" customHeight="1" x14ac:dyDescent="0.3">
      <c r="B27" s="118"/>
      <c r="C27" s="119" t="s">
        <v>122</v>
      </c>
      <c r="D27" s="220" t="s">
        <v>123</v>
      </c>
      <c r="E27" s="221"/>
      <c r="F27" s="220" t="s">
        <v>124</v>
      </c>
      <c r="G27" s="221"/>
      <c r="H27" s="222" t="s">
        <v>95</v>
      </c>
      <c r="I27" s="223"/>
      <c r="J27" s="223"/>
      <c r="K27" s="223"/>
      <c r="L27" s="223"/>
      <c r="M27" s="223"/>
      <c r="N27" s="223"/>
      <c r="O27" s="223"/>
      <c r="P27" s="224"/>
      <c r="Q27" s="64"/>
      <c r="R27" s="64"/>
      <c r="S27" s="64"/>
      <c r="T27" s="64"/>
      <c r="U27" s="64"/>
      <c r="V27" s="64"/>
    </row>
    <row r="28" spans="2:29" ht="15" customHeight="1" x14ac:dyDescent="0.3">
      <c r="B28" s="225" t="s">
        <v>96</v>
      </c>
      <c r="C28" s="120" t="s">
        <v>305</v>
      </c>
      <c r="D28" s="197" t="s">
        <v>313</v>
      </c>
      <c r="E28" s="198"/>
      <c r="F28" s="204" t="s">
        <v>308</v>
      </c>
      <c r="G28" s="205"/>
      <c r="H28" s="206"/>
      <c r="I28" s="207"/>
      <c r="J28" s="207"/>
      <c r="K28" s="207"/>
      <c r="L28" s="207"/>
      <c r="M28" s="207"/>
      <c r="N28" s="207"/>
      <c r="O28" s="207"/>
      <c r="P28" s="208"/>
      <c r="Q28" s="64"/>
      <c r="R28" s="64"/>
      <c r="S28" s="64"/>
      <c r="T28" s="64"/>
      <c r="U28" s="64"/>
      <c r="V28" s="64"/>
    </row>
    <row r="29" spans="2:29" ht="15" customHeight="1" x14ac:dyDescent="0.3">
      <c r="B29" s="195"/>
      <c r="C29" s="120" t="s">
        <v>311</v>
      </c>
      <c r="D29" s="197" t="s">
        <v>162</v>
      </c>
      <c r="E29" s="198"/>
      <c r="F29" s="204" t="s">
        <v>308</v>
      </c>
      <c r="G29" s="205"/>
      <c r="H29" s="206"/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47" t="s">
        <v>315</v>
      </c>
      <c r="D30" s="197" t="s">
        <v>316</v>
      </c>
      <c r="E30" s="198"/>
      <c r="F30" s="204" t="s">
        <v>317</v>
      </c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thickBot="1" x14ac:dyDescent="0.35">
      <c r="B31" s="226"/>
      <c r="C31" s="121"/>
      <c r="D31" s="227"/>
      <c r="E31" s="228"/>
      <c r="F31" s="229"/>
      <c r="G31" s="230"/>
      <c r="H31" s="231"/>
      <c r="I31" s="232"/>
      <c r="J31" s="232"/>
      <c r="K31" s="232"/>
      <c r="L31" s="232"/>
      <c r="M31" s="232"/>
      <c r="N31" s="232"/>
      <c r="O31" s="232"/>
      <c r="P31" s="233"/>
      <c r="Q31" s="64"/>
      <c r="R31" s="64"/>
      <c r="S31" s="64"/>
      <c r="T31" s="64"/>
      <c r="U31" s="64"/>
      <c r="V31" s="64"/>
    </row>
    <row r="32" spans="2:29" ht="15" customHeight="1" thickTop="1" thickBot="1" x14ac:dyDescent="0.35">
      <c r="B32" s="195" t="s">
        <v>97</v>
      </c>
      <c r="C32" s="121"/>
      <c r="D32" s="197"/>
      <c r="E32" s="198"/>
      <c r="F32" s="199"/>
      <c r="G32" s="200"/>
      <c r="H32" s="201"/>
      <c r="I32" s="202"/>
      <c r="J32" s="202"/>
      <c r="K32" s="202"/>
      <c r="L32" s="202"/>
      <c r="M32" s="202"/>
      <c r="N32" s="202"/>
      <c r="O32" s="202"/>
      <c r="P32" s="203"/>
      <c r="Q32" s="64"/>
      <c r="R32" s="64"/>
      <c r="S32" s="64"/>
      <c r="T32" s="64"/>
      <c r="U32" s="64"/>
      <c r="V32" s="64"/>
    </row>
    <row r="33" spans="2:22" ht="15" customHeight="1" thickTop="1" x14ac:dyDescent="0.3">
      <c r="B33" s="195"/>
      <c r="C33" s="120"/>
      <c r="D33" s="197"/>
      <c r="E33" s="198"/>
      <c r="F33" s="204"/>
      <c r="G33" s="205"/>
      <c r="H33" s="206"/>
      <c r="I33" s="207"/>
      <c r="J33" s="207"/>
      <c r="K33" s="207"/>
      <c r="L33" s="207"/>
      <c r="M33" s="207"/>
      <c r="N33" s="207"/>
      <c r="O33" s="207"/>
      <c r="P33" s="208"/>
      <c r="Q33" s="64"/>
      <c r="R33" s="64"/>
      <c r="S33" s="64"/>
      <c r="T33" s="64"/>
      <c r="U33" s="64"/>
      <c r="V33" s="64"/>
    </row>
    <row r="34" spans="2:22" ht="15" customHeight="1" thickBot="1" x14ac:dyDescent="0.35">
      <c r="B34" s="195"/>
      <c r="C34" s="147"/>
      <c r="D34" s="197"/>
      <c r="E34" s="198"/>
      <c r="F34" s="204"/>
      <c r="G34" s="205"/>
      <c r="H34" s="213"/>
      <c r="I34" s="214"/>
      <c r="J34" s="214"/>
      <c r="K34" s="214"/>
      <c r="L34" s="214"/>
      <c r="M34" s="214"/>
      <c r="N34" s="214"/>
      <c r="O34" s="214"/>
      <c r="P34" s="215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6"/>
      <c r="C35" s="122"/>
      <c r="D35" s="197"/>
      <c r="E35" s="198"/>
      <c r="F35" s="204"/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20.100000000000001" customHeight="1" x14ac:dyDescent="0.3">
      <c r="Q36" s="64"/>
      <c r="R36" s="64"/>
      <c r="S36" s="64"/>
      <c r="T36" s="64"/>
      <c r="U36" s="64"/>
      <c r="V36" s="64"/>
    </row>
    <row r="37" spans="2:22" s="64" customFormat="1" ht="20.100000000000001" customHeight="1" x14ac:dyDescent="0.3">
      <c r="B37" s="173"/>
      <c r="C37" s="173"/>
      <c r="D37" s="17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22" s="64" customFormat="1" ht="20.100000000000001" customHeight="1" x14ac:dyDescent="0.3">
      <c r="B38" s="173"/>
      <c r="C38" s="173"/>
      <c r="D38" s="17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73"/>
      <c r="C39" s="173"/>
      <c r="D39" s="17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73"/>
      <c r="C40" s="173"/>
      <c r="D40" s="17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73"/>
      <c r="C41" s="173"/>
      <c r="D41" s="17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73"/>
      <c r="C42" s="173"/>
      <c r="D42" s="17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73"/>
      <c r="C43" s="173"/>
      <c r="D43" s="17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73"/>
      <c r="C44" s="173"/>
      <c r="D44" s="17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73"/>
      <c r="C45" s="173"/>
      <c r="D45" s="17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73"/>
      <c r="C46" s="173"/>
      <c r="D46" s="17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73"/>
      <c r="C47" s="173"/>
      <c r="D47" s="17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73"/>
      <c r="C48" s="173"/>
      <c r="D48" s="17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73"/>
      <c r="C49" s="173"/>
      <c r="D49" s="17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73"/>
      <c r="C50" s="173"/>
      <c r="D50" s="17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73"/>
      <c r="C51" s="173"/>
      <c r="D51" s="17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73"/>
      <c r="C52" s="173"/>
      <c r="D52" s="17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73"/>
      <c r="C53" s="173"/>
      <c r="D53" s="17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73"/>
      <c r="C54" s="173"/>
      <c r="D54" s="17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73"/>
      <c r="C55" s="173"/>
      <c r="D55" s="17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73"/>
      <c r="C56" s="173"/>
      <c r="D56" s="17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73"/>
      <c r="C57" s="173"/>
      <c r="D57" s="17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73"/>
      <c r="C58" s="173"/>
      <c r="D58" s="17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73"/>
      <c r="C59" s="173"/>
      <c r="D59" s="17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73"/>
      <c r="C60" s="173"/>
      <c r="D60" s="17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73"/>
      <c r="C61" s="173"/>
      <c r="D61" s="17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73"/>
      <c r="C62" s="173"/>
      <c r="D62" s="17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73"/>
      <c r="C63" s="173"/>
      <c r="D63" s="17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73"/>
      <c r="C64" s="173"/>
      <c r="D64" s="17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73"/>
      <c r="C65" s="173"/>
      <c r="D65" s="17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73"/>
      <c r="C66" s="173"/>
      <c r="D66" s="17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73"/>
      <c r="C67" s="173"/>
      <c r="D67" s="17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73"/>
      <c r="C68" s="173"/>
      <c r="D68" s="17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73"/>
      <c r="C69" s="173"/>
      <c r="D69" s="17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73"/>
      <c r="C70" s="173"/>
      <c r="D70" s="17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73"/>
      <c r="C71" s="173"/>
      <c r="D71" s="17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73"/>
      <c r="C72" s="173"/>
      <c r="D72" s="17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73"/>
      <c r="C73" s="173"/>
      <c r="D73" s="17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73"/>
      <c r="C74" s="173"/>
      <c r="D74" s="17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73"/>
      <c r="C75" s="173"/>
      <c r="D75" s="17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73"/>
      <c r="C76" s="173"/>
      <c r="D76" s="17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73"/>
      <c r="C77" s="173"/>
      <c r="D77" s="17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73"/>
      <c r="C78" s="173"/>
      <c r="D78" s="17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73"/>
      <c r="C79" s="173"/>
      <c r="D79" s="17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73"/>
      <c r="C80" s="173"/>
      <c r="D80" s="17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73"/>
      <c r="C81" s="173"/>
      <c r="D81" s="17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73"/>
      <c r="C82" s="173"/>
      <c r="D82" s="17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73"/>
      <c r="C83" s="173"/>
      <c r="D83" s="17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73"/>
      <c r="C84" s="173"/>
      <c r="D84" s="17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73"/>
      <c r="C85" s="173"/>
      <c r="D85" s="17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73"/>
      <c r="C86" s="173"/>
      <c r="D86" s="17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73"/>
      <c r="C87" s="173"/>
      <c r="D87" s="17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73"/>
      <c r="C88" s="173"/>
      <c r="D88" s="17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73"/>
      <c r="C89" s="173"/>
      <c r="D89" s="17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73"/>
      <c r="C90" s="173"/>
      <c r="D90" s="17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73"/>
      <c r="C91" s="173"/>
      <c r="D91" s="17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73"/>
      <c r="C92" s="173"/>
      <c r="D92" s="17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73"/>
      <c r="C93" s="173"/>
      <c r="D93" s="17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73"/>
      <c r="C94" s="173"/>
      <c r="D94" s="17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73"/>
      <c r="C95" s="173"/>
      <c r="D95" s="17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73"/>
      <c r="C96" s="173"/>
      <c r="D96" s="17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73"/>
      <c r="C97" s="173"/>
      <c r="D97" s="17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73"/>
      <c r="C98" s="173"/>
      <c r="D98" s="17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73"/>
      <c r="C99" s="173"/>
      <c r="D99" s="17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73"/>
      <c r="C100" s="173"/>
      <c r="D100" s="17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73"/>
      <c r="C101" s="173"/>
      <c r="D101" s="17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73"/>
      <c r="C102" s="173"/>
      <c r="D102" s="17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73"/>
      <c r="C103" s="173"/>
      <c r="D103" s="17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73"/>
      <c r="C104" s="173"/>
      <c r="D104" s="17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73"/>
      <c r="C105" s="173"/>
      <c r="D105" s="17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73"/>
      <c r="C106" s="173"/>
      <c r="D106" s="17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73"/>
      <c r="C107" s="173"/>
      <c r="D107" s="17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73"/>
      <c r="C108" s="173"/>
      <c r="D108" s="17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73"/>
      <c r="C109" s="173"/>
      <c r="D109" s="17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73"/>
      <c r="C110" s="173"/>
      <c r="D110" s="17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73"/>
      <c r="C111" s="173"/>
      <c r="D111" s="17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73"/>
      <c r="C112" s="173"/>
      <c r="D112" s="17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73"/>
      <c r="C113" s="173"/>
      <c r="D113" s="17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73"/>
      <c r="C114" s="173"/>
      <c r="D114" s="17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73"/>
      <c r="C115" s="173"/>
      <c r="D115" s="17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73"/>
      <c r="C116" s="173"/>
      <c r="D116" s="17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73"/>
      <c r="C117" s="173"/>
      <c r="D117" s="17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73"/>
      <c r="C118" s="173"/>
      <c r="D118" s="17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73"/>
      <c r="C119" s="173"/>
      <c r="D119" s="17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73"/>
      <c r="C120" s="173"/>
      <c r="D120" s="17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73"/>
      <c r="C121" s="173"/>
      <c r="D121" s="17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73"/>
      <c r="C122" s="173"/>
      <c r="D122" s="17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73"/>
      <c r="C123" s="173"/>
      <c r="D123" s="17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73"/>
      <c r="C124" s="173"/>
      <c r="D124" s="17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73"/>
      <c r="C125" s="173"/>
      <c r="D125" s="17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73"/>
      <c r="C126" s="173"/>
      <c r="D126" s="17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73"/>
      <c r="C127" s="173"/>
      <c r="D127" s="17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73"/>
      <c r="C128" s="173"/>
      <c r="D128" s="17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73"/>
      <c r="C129" s="173"/>
      <c r="D129" s="17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73"/>
      <c r="C130" s="173"/>
      <c r="D130" s="17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73"/>
      <c r="C131" s="173"/>
      <c r="D131" s="17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73"/>
      <c r="C132" s="173"/>
      <c r="D132" s="17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73"/>
      <c r="C133" s="173"/>
      <c r="D133" s="17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73"/>
      <c r="C134" s="173"/>
      <c r="D134" s="17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73"/>
      <c r="C135" s="173"/>
      <c r="D135" s="17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73"/>
      <c r="C136" s="173"/>
      <c r="D136" s="17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73"/>
      <c r="C137" s="173"/>
      <c r="D137" s="17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73"/>
      <c r="C138" s="173"/>
      <c r="D138" s="17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73"/>
      <c r="C139" s="173"/>
      <c r="D139" s="17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73"/>
      <c r="C140" s="173"/>
      <c r="D140" s="17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73"/>
      <c r="C141" s="173"/>
      <c r="D141" s="17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73"/>
      <c r="C142" s="173"/>
      <c r="D142" s="17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73"/>
      <c r="C143" s="173"/>
      <c r="D143" s="17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73"/>
      <c r="C144" s="173"/>
      <c r="D144" s="17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73"/>
      <c r="C145" s="173"/>
      <c r="D145" s="17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73"/>
      <c r="C146" s="173"/>
      <c r="D146" s="17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73"/>
      <c r="C147" s="173"/>
      <c r="D147" s="17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73"/>
      <c r="C148" s="173"/>
      <c r="D148" s="17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73"/>
      <c r="C149" s="173"/>
      <c r="D149" s="17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73"/>
      <c r="C150" s="173"/>
      <c r="D150" s="17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73"/>
      <c r="C151" s="173"/>
      <c r="D151" s="17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73"/>
      <c r="C152" s="173"/>
      <c r="D152" s="17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73"/>
      <c r="C153" s="173"/>
      <c r="D153" s="17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73"/>
      <c r="C154" s="173"/>
      <c r="D154" s="17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73"/>
      <c r="C155" s="173"/>
      <c r="D155" s="17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73"/>
      <c r="C156" s="173"/>
      <c r="D156" s="17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73"/>
      <c r="C157" s="173"/>
      <c r="D157" s="17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73"/>
      <c r="C158" s="173"/>
      <c r="D158" s="17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73"/>
      <c r="C159" s="173"/>
      <c r="D159" s="17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73"/>
      <c r="C160" s="173"/>
      <c r="D160" s="17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73"/>
      <c r="C161" s="173"/>
      <c r="D161" s="17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73"/>
      <c r="C162" s="173"/>
      <c r="D162" s="17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73"/>
      <c r="C163" s="173"/>
      <c r="D163" s="17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73"/>
      <c r="C164" s="173"/>
      <c r="D164" s="17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73"/>
      <c r="C165" s="173"/>
      <c r="D165" s="17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73"/>
      <c r="C166" s="173"/>
      <c r="D166" s="17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73"/>
      <c r="C167" s="173"/>
      <c r="D167" s="17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73"/>
      <c r="C168" s="173"/>
      <c r="D168" s="17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73"/>
      <c r="C169" s="173"/>
      <c r="D169" s="17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73"/>
      <c r="C170" s="173"/>
      <c r="D170" s="17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73"/>
      <c r="C171" s="173"/>
      <c r="D171" s="17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73"/>
      <c r="C172" s="173"/>
      <c r="D172" s="17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73"/>
      <c r="C173" s="173"/>
      <c r="D173" s="17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73"/>
      <c r="C174" s="173"/>
      <c r="D174" s="17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73"/>
      <c r="C175" s="173"/>
      <c r="D175" s="17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73"/>
      <c r="C176" s="173"/>
      <c r="D176" s="17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73"/>
      <c r="C177" s="173"/>
      <c r="D177" s="17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73"/>
      <c r="C178" s="173"/>
      <c r="D178" s="17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73"/>
      <c r="C179" s="173"/>
      <c r="D179" s="17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73"/>
      <c r="C180" s="173"/>
      <c r="D180" s="17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73"/>
      <c r="C181" s="173"/>
      <c r="D181" s="17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73"/>
      <c r="C182" s="173"/>
      <c r="D182" s="17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73"/>
      <c r="C183" s="173"/>
      <c r="D183" s="17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73"/>
      <c r="C184" s="173"/>
      <c r="D184" s="17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73"/>
      <c r="C185" s="173"/>
      <c r="D185" s="17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73"/>
      <c r="C186" s="173"/>
      <c r="D186" s="17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73"/>
      <c r="C187" s="173"/>
      <c r="D187" s="17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73"/>
      <c r="C188" s="173"/>
      <c r="D188" s="17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73"/>
      <c r="C189" s="173"/>
      <c r="D189" s="17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73"/>
      <c r="C190" s="173"/>
      <c r="D190" s="17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73"/>
      <c r="C191" s="173"/>
      <c r="D191" s="17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73"/>
      <c r="C192" s="173"/>
      <c r="D192" s="17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73"/>
      <c r="C193" s="173"/>
      <c r="D193" s="17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73"/>
      <c r="C194" s="173"/>
      <c r="D194" s="17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73"/>
      <c r="C195" s="173"/>
      <c r="D195" s="17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73"/>
      <c r="C196" s="173"/>
      <c r="D196" s="17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73"/>
      <c r="C197" s="173"/>
      <c r="D197" s="17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73"/>
      <c r="C198" s="173"/>
      <c r="D198" s="17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73"/>
      <c r="C199" s="173"/>
      <c r="D199" s="17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73"/>
      <c r="C200" s="173"/>
      <c r="D200" s="17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73"/>
      <c r="C201" s="173"/>
      <c r="D201" s="17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73"/>
      <c r="C202" s="173"/>
      <c r="D202" s="17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73"/>
      <c r="C203" s="173"/>
      <c r="D203" s="17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73"/>
      <c r="C204" s="173"/>
      <c r="D204" s="17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73"/>
      <c r="C205" s="173"/>
      <c r="D205" s="17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73"/>
      <c r="C206" s="173"/>
      <c r="D206" s="17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73"/>
      <c r="C207" s="173"/>
      <c r="D207" s="17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73"/>
      <c r="C208" s="173"/>
      <c r="D208" s="17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73"/>
      <c r="C209" s="173"/>
      <c r="D209" s="17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73"/>
      <c r="C210" s="173"/>
      <c r="D210" s="17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73"/>
      <c r="C211" s="173"/>
      <c r="D211" s="17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73"/>
      <c r="C212" s="173"/>
      <c r="D212" s="17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73"/>
      <c r="C213" s="173"/>
      <c r="D213" s="17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73"/>
      <c r="C214" s="173"/>
      <c r="D214" s="17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73"/>
      <c r="C215" s="173"/>
      <c r="D215" s="17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73"/>
      <c r="C216" s="173"/>
      <c r="D216" s="17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73"/>
      <c r="C217" s="173"/>
      <c r="D217" s="17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73"/>
      <c r="C218" s="173"/>
      <c r="D218" s="17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73"/>
      <c r="C219" s="173"/>
      <c r="D219" s="17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73"/>
      <c r="C220" s="173"/>
      <c r="D220" s="17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73"/>
      <c r="C221" s="173"/>
      <c r="D221" s="17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73"/>
      <c r="C222" s="173"/>
      <c r="D222" s="17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73"/>
      <c r="C223" s="173"/>
      <c r="D223" s="17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73"/>
      <c r="C224" s="173"/>
      <c r="D224" s="17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73"/>
      <c r="C225" s="173"/>
      <c r="D225" s="17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73"/>
      <c r="C226" s="173"/>
      <c r="D226" s="17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73"/>
      <c r="C227" s="173"/>
      <c r="D227" s="17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73"/>
      <c r="C228" s="173"/>
      <c r="D228" s="17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73"/>
      <c r="C229" s="173"/>
      <c r="D229" s="17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73"/>
      <c r="C230" s="173"/>
      <c r="D230" s="17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73"/>
      <c r="C231" s="173"/>
      <c r="D231" s="17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73"/>
      <c r="C232" s="173"/>
      <c r="D232" s="17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73"/>
      <c r="C233" s="173"/>
      <c r="D233" s="17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73"/>
      <c r="C234" s="173"/>
      <c r="D234" s="17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73"/>
      <c r="C235" s="173"/>
      <c r="D235" s="17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73"/>
      <c r="C236" s="173"/>
      <c r="D236" s="17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73"/>
      <c r="C237" s="173"/>
      <c r="D237" s="17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73"/>
      <c r="C238" s="173"/>
      <c r="D238" s="17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73"/>
      <c r="C239" s="173"/>
      <c r="D239" s="17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73"/>
      <c r="C240" s="173"/>
      <c r="D240" s="17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73"/>
      <c r="C241" s="173"/>
      <c r="D241" s="17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73"/>
      <c r="C242" s="173"/>
      <c r="D242" s="17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73"/>
      <c r="C243" s="173"/>
      <c r="D243" s="17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73"/>
      <c r="C244" s="173"/>
      <c r="D244" s="17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73"/>
      <c r="C245" s="173"/>
      <c r="D245" s="17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73"/>
      <c r="C246" s="173"/>
      <c r="D246" s="17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73"/>
      <c r="C247" s="173"/>
      <c r="D247" s="17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73"/>
      <c r="C248" s="173"/>
      <c r="D248" s="17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73"/>
      <c r="C249" s="173"/>
      <c r="D249" s="17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73"/>
      <c r="C250" s="173"/>
      <c r="D250" s="17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73"/>
      <c r="C251" s="173"/>
      <c r="D251" s="17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73"/>
      <c r="C252" s="173"/>
      <c r="D252" s="17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73"/>
      <c r="C253" s="173"/>
      <c r="D253" s="17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73"/>
      <c r="C254" s="173"/>
      <c r="D254" s="17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73"/>
      <c r="C255" s="173"/>
      <c r="D255" s="17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73"/>
      <c r="C256" s="173"/>
      <c r="D256" s="17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73"/>
      <c r="C257" s="173"/>
      <c r="D257" s="17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73"/>
      <c r="C258" s="173"/>
      <c r="D258" s="17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73"/>
      <c r="C259" s="173"/>
      <c r="D259" s="17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73"/>
      <c r="C260" s="173"/>
      <c r="D260" s="17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73"/>
      <c r="C261" s="173"/>
      <c r="D261" s="17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73"/>
      <c r="C262" s="173"/>
      <c r="D262" s="17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73"/>
      <c r="C263" s="173"/>
      <c r="D263" s="17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73"/>
      <c r="C264" s="173"/>
      <c r="D264" s="17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73"/>
      <c r="C265" s="173"/>
      <c r="D265" s="17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73"/>
      <c r="C266" s="173"/>
      <c r="D266" s="17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73"/>
      <c r="C267" s="173"/>
      <c r="D267" s="17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73"/>
      <c r="C268" s="173"/>
      <c r="D268" s="17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73"/>
      <c r="C269" s="173"/>
      <c r="D269" s="17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73"/>
      <c r="C270" s="173"/>
      <c r="D270" s="17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73"/>
      <c r="C271" s="173"/>
      <c r="D271" s="17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73"/>
      <c r="C272" s="173"/>
      <c r="D272" s="17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73"/>
      <c r="C273" s="173"/>
      <c r="D273" s="17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73"/>
      <c r="C274" s="173"/>
      <c r="D274" s="17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73"/>
      <c r="C275" s="173"/>
      <c r="D275" s="17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73"/>
      <c r="C276" s="173"/>
      <c r="D276" s="17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73"/>
      <c r="C277" s="173"/>
      <c r="D277" s="17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73"/>
      <c r="C278" s="173"/>
      <c r="D278" s="17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73"/>
      <c r="C279" s="173"/>
      <c r="D279" s="17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73"/>
      <c r="C280" s="173"/>
      <c r="D280" s="17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73"/>
      <c r="C281" s="173"/>
      <c r="D281" s="17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73"/>
      <c r="C282" s="173"/>
      <c r="D282" s="17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73"/>
      <c r="C283" s="173"/>
      <c r="D283" s="17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</sheetData>
  <mergeCells count="51">
    <mergeCell ref="B32:B35"/>
    <mergeCell ref="D32:E32"/>
    <mergeCell ref="F32:G32"/>
    <mergeCell ref="H32:P32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  <mergeCell ref="D31:E31"/>
    <mergeCell ref="F31:G31"/>
    <mergeCell ref="H31:P31"/>
    <mergeCell ref="B25:D25"/>
    <mergeCell ref="B26:X26"/>
    <mergeCell ref="D27:E27"/>
    <mergeCell ref="F27:G27"/>
    <mergeCell ref="H27:P27"/>
    <mergeCell ref="B28:B31"/>
    <mergeCell ref="D28:E28"/>
    <mergeCell ref="F28:G28"/>
    <mergeCell ref="H28:P28"/>
    <mergeCell ref="D29:E29"/>
    <mergeCell ref="F29:G29"/>
    <mergeCell ref="H29:P29"/>
    <mergeCell ref="D30:E30"/>
    <mergeCell ref="F30:G30"/>
    <mergeCell ref="H30:P30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X4:X5"/>
    <mergeCell ref="B5:E5"/>
    <mergeCell ref="F5:G5"/>
    <mergeCell ref="B3:E4"/>
    <mergeCell ref="L3:P3"/>
    <mergeCell ref="T4:T5"/>
    <mergeCell ref="V4:V5"/>
    <mergeCell ref="W4:W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4"/>
  <sheetViews>
    <sheetView tabSelected="1" workbookViewId="0">
      <selection activeCell="H10" sqref="H10"/>
    </sheetView>
  </sheetViews>
  <sheetFormatPr defaultRowHeight="13.5" x14ac:dyDescent="0.3"/>
  <cols>
    <col min="1" max="1" width="1.625" style="174" customWidth="1"/>
    <col min="2" max="2" width="4.625" style="174" bestFit="1" customWidth="1"/>
    <col min="3" max="3" width="7.625" style="174" bestFit="1" customWidth="1"/>
    <col min="4" max="4" width="8" style="174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74" customWidth="1"/>
    <col min="26" max="26" width="8.375" style="174" customWidth="1"/>
    <col min="27" max="27" width="7.25" style="174" customWidth="1"/>
    <col min="28" max="28" width="3.875" style="174" customWidth="1"/>
    <col min="29" max="29" width="0.5" style="174" customWidth="1"/>
    <col min="30" max="257" width="9" style="174"/>
    <col min="258" max="258" width="4.625" style="174" bestFit="1" customWidth="1"/>
    <col min="259" max="259" width="7.5" style="174" bestFit="1" customWidth="1"/>
    <col min="260" max="260" width="6.25" style="174" customWidth="1"/>
    <col min="261" max="261" width="11" style="174" bestFit="1" customWidth="1"/>
    <col min="262" max="263" width="9.625" style="174" bestFit="1" customWidth="1"/>
    <col min="264" max="264" width="8.25" style="174" bestFit="1" customWidth="1"/>
    <col min="265" max="266" width="9.625" style="174" bestFit="1" customWidth="1"/>
    <col min="267" max="267" width="8.25" style="174" bestFit="1" customWidth="1"/>
    <col min="268" max="269" width="9.625" style="174" bestFit="1" customWidth="1"/>
    <col min="270" max="271" width="8.25" style="174" bestFit="1" customWidth="1"/>
    <col min="272" max="272" width="11" style="174" bestFit="1" customWidth="1"/>
    <col min="273" max="273" width="8" style="174" bestFit="1" customWidth="1"/>
    <col min="274" max="274" width="7.75" style="174" bestFit="1" customWidth="1"/>
    <col min="275" max="276" width="9.625" style="174" bestFit="1" customWidth="1"/>
    <col min="277" max="278" width="9.625" style="174" customWidth="1"/>
    <col min="279" max="279" width="9.25" style="174" bestFit="1" customWidth="1"/>
    <col min="280" max="280" width="11" style="174" bestFit="1" customWidth="1"/>
    <col min="281" max="513" width="9" style="174"/>
    <col min="514" max="514" width="4.625" style="174" bestFit="1" customWidth="1"/>
    <col min="515" max="515" width="7.5" style="174" bestFit="1" customWidth="1"/>
    <col min="516" max="516" width="6.25" style="174" customWidth="1"/>
    <col min="517" max="517" width="11" style="174" bestFit="1" customWidth="1"/>
    <col min="518" max="519" width="9.625" style="174" bestFit="1" customWidth="1"/>
    <col min="520" max="520" width="8.25" style="174" bestFit="1" customWidth="1"/>
    <col min="521" max="522" width="9.625" style="174" bestFit="1" customWidth="1"/>
    <col min="523" max="523" width="8.25" style="174" bestFit="1" customWidth="1"/>
    <col min="524" max="525" width="9.625" style="174" bestFit="1" customWidth="1"/>
    <col min="526" max="527" width="8.25" style="174" bestFit="1" customWidth="1"/>
    <col min="528" max="528" width="11" style="174" bestFit="1" customWidth="1"/>
    <col min="529" max="529" width="8" style="174" bestFit="1" customWidth="1"/>
    <col min="530" max="530" width="7.75" style="174" bestFit="1" customWidth="1"/>
    <col min="531" max="532" width="9.625" style="174" bestFit="1" customWidth="1"/>
    <col min="533" max="534" width="9.625" style="174" customWidth="1"/>
    <col min="535" max="535" width="9.25" style="174" bestFit="1" customWidth="1"/>
    <col min="536" max="536" width="11" style="174" bestFit="1" customWidth="1"/>
    <col min="537" max="769" width="9" style="174"/>
    <col min="770" max="770" width="4.625" style="174" bestFit="1" customWidth="1"/>
    <col min="771" max="771" width="7.5" style="174" bestFit="1" customWidth="1"/>
    <col min="772" max="772" width="6.25" style="174" customWidth="1"/>
    <col min="773" max="773" width="11" style="174" bestFit="1" customWidth="1"/>
    <col min="774" max="775" width="9.625" style="174" bestFit="1" customWidth="1"/>
    <col min="776" max="776" width="8.25" style="174" bestFit="1" customWidth="1"/>
    <col min="777" max="778" width="9.625" style="174" bestFit="1" customWidth="1"/>
    <col min="779" max="779" width="8.25" style="174" bestFit="1" customWidth="1"/>
    <col min="780" max="781" width="9.625" style="174" bestFit="1" customWidth="1"/>
    <col min="782" max="783" width="8.25" style="174" bestFit="1" customWidth="1"/>
    <col min="784" max="784" width="11" style="174" bestFit="1" customWidth="1"/>
    <col min="785" max="785" width="8" style="174" bestFit="1" customWidth="1"/>
    <col min="786" max="786" width="7.75" style="174" bestFit="1" customWidth="1"/>
    <col min="787" max="788" width="9.625" style="174" bestFit="1" customWidth="1"/>
    <col min="789" max="790" width="9.625" style="174" customWidth="1"/>
    <col min="791" max="791" width="9.25" style="174" bestFit="1" customWidth="1"/>
    <col min="792" max="792" width="11" style="174" bestFit="1" customWidth="1"/>
    <col min="793" max="1025" width="9" style="174"/>
    <col min="1026" max="1026" width="4.625" style="174" bestFit="1" customWidth="1"/>
    <col min="1027" max="1027" width="7.5" style="174" bestFit="1" customWidth="1"/>
    <col min="1028" max="1028" width="6.25" style="174" customWidth="1"/>
    <col min="1029" max="1029" width="11" style="174" bestFit="1" customWidth="1"/>
    <col min="1030" max="1031" width="9.625" style="174" bestFit="1" customWidth="1"/>
    <col min="1032" max="1032" width="8.25" style="174" bestFit="1" customWidth="1"/>
    <col min="1033" max="1034" width="9.625" style="174" bestFit="1" customWidth="1"/>
    <col min="1035" max="1035" width="8.25" style="174" bestFit="1" customWidth="1"/>
    <col min="1036" max="1037" width="9.625" style="174" bestFit="1" customWidth="1"/>
    <col min="1038" max="1039" width="8.25" style="174" bestFit="1" customWidth="1"/>
    <col min="1040" max="1040" width="11" style="174" bestFit="1" customWidth="1"/>
    <col min="1041" max="1041" width="8" style="174" bestFit="1" customWidth="1"/>
    <col min="1042" max="1042" width="7.75" style="174" bestFit="1" customWidth="1"/>
    <col min="1043" max="1044" width="9.625" style="174" bestFit="1" customWidth="1"/>
    <col min="1045" max="1046" width="9.625" style="174" customWidth="1"/>
    <col min="1047" max="1047" width="9.25" style="174" bestFit="1" customWidth="1"/>
    <col min="1048" max="1048" width="11" style="174" bestFit="1" customWidth="1"/>
    <col min="1049" max="1281" width="9" style="174"/>
    <col min="1282" max="1282" width="4.625" style="174" bestFit="1" customWidth="1"/>
    <col min="1283" max="1283" width="7.5" style="174" bestFit="1" customWidth="1"/>
    <col min="1284" max="1284" width="6.25" style="174" customWidth="1"/>
    <col min="1285" max="1285" width="11" style="174" bestFit="1" customWidth="1"/>
    <col min="1286" max="1287" width="9.625" style="174" bestFit="1" customWidth="1"/>
    <col min="1288" max="1288" width="8.25" style="174" bestFit="1" customWidth="1"/>
    <col min="1289" max="1290" width="9.625" style="174" bestFit="1" customWidth="1"/>
    <col min="1291" max="1291" width="8.25" style="174" bestFit="1" customWidth="1"/>
    <col min="1292" max="1293" width="9.625" style="174" bestFit="1" customWidth="1"/>
    <col min="1294" max="1295" width="8.25" style="174" bestFit="1" customWidth="1"/>
    <col min="1296" max="1296" width="11" style="174" bestFit="1" customWidth="1"/>
    <col min="1297" max="1297" width="8" style="174" bestFit="1" customWidth="1"/>
    <col min="1298" max="1298" width="7.75" style="174" bestFit="1" customWidth="1"/>
    <col min="1299" max="1300" width="9.625" style="174" bestFit="1" customWidth="1"/>
    <col min="1301" max="1302" width="9.625" style="174" customWidth="1"/>
    <col min="1303" max="1303" width="9.25" style="174" bestFit="1" customWidth="1"/>
    <col min="1304" max="1304" width="11" style="174" bestFit="1" customWidth="1"/>
    <col min="1305" max="1537" width="9" style="174"/>
    <col min="1538" max="1538" width="4.625" style="174" bestFit="1" customWidth="1"/>
    <col min="1539" max="1539" width="7.5" style="174" bestFit="1" customWidth="1"/>
    <col min="1540" max="1540" width="6.25" style="174" customWidth="1"/>
    <col min="1541" max="1541" width="11" style="174" bestFit="1" customWidth="1"/>
    <col min="1542" max="1543" width="9.625" style="174" bestFit="1" customWidth="1"/>
    <col min="1544" max="1544" width="8.25" style="174" bestFit="1" customWidth="1"/>
    <col min="1545" max="1546" width="9.625" style="174" bestFit="1" customWidth="1"/>
    <col min="1547" max="1547" width="8.25" style="174" bestFit="1" customWidth="1"/>
    <col min="1548" max="1549" width="9.625" style="174" bestFit="1" customWidth="1"/>
    <col min="1550" max="1551" width="8.25" style="174" bestFit="1" customWidth="1"/>
    <col min="1552" max="1552" width="11" style="174" bestFit="1" customWidth="1"/>
    <col min="1553" max="1553" width="8" style="174" bestFit="1" customWidth="1"/>
    <col min="1554" max="1554" width="7.75" style="174" bestFit="1" customWidth="1"/>
    <col min="1555" max="1556" width="9.625" style="174" bestFit="1" customWidth="1"/>
    <col min="1557" max="1558" width="9.625" style="174" customWidth="1"/>
    <col min="1559" max="1559" width="9.25" style="174" bestFit="1" customWidth="1"/>
    <col min="1560" max="1560" width="11" style="174" bestFit="1" customWidth="1"/>
    <col min="1561" max="1793" width="9" style="174"/>
    <col min="1794" max="1794" width="4.625" style="174" bestFit="1" customWidth="1"/>
    <col min="1795" max="1795" width="7.5" style="174" bestFit="1" customWidth="1"/>
    <col min="1796" max="1796" width="6.25" style="174" customWidth="1"/>
    <col min="1797" max="1797" width="11" style="174" bestFit="1" customWidth="1"/>
    <col min="1798" max="1799" width="9.625" style="174" bestFit="1" customWidth="1"/>
    <col min="1800" max="1800" width="8.25" style="174" bestFit="1" customWidth="1"/>
    <col min="1801" max="1802" width="9.625" style="174" bestFit="1" customWidth="1"/>
    <col min="1803" max="1803" width="8.25" style="174" bestFit="1" customWidth="1"/>
    <col min="1804" max="1805" width="9.625" style="174" bestFit="1" customWidth="1"/>
    <col min="1806" max="1807" width="8.25" style="174" bestFit="1" customWidth="1"/>
    <col min="1808" max="1808" width="11" style="174" bestFit="1" customWidth="1"/>
    <col min="1809" max="1809" width="8" style="174" bestFit="1" customWidth="1"/>
    <col min="1810" max="1810" width="7.75" style="174" bestFit="1" customWidth="1"/>
    <col min="1811" max="1812" width="9.625" style="174" bestFit="1" customWidth="1"/>
    <col min="1813" max="1814" width="9.625" style="174" customWidth="1"/>
    <col min="1815" max="1815" width="9.25" style="174" bestFit="1" customWidth="1"/>
    <col min="1816" max="1816" width="11" style="174" bestFit="1" customWidth="1"/>
    <col min="1817" max="2049" width="9" style="174"/>
    <col min="2050" max="2050" width="4.625" style="174" bestFit="1" customWidth="1"/>
    <col min="2051" max="2051" width="7.5" style="174" bestFit="1" customWidth="1"/>
    <col min="2052" max="2052" width="6.25" style="174" customWidth="1"/>
    <col min="2053" max="2053" width="11" style="174" bestFit="1" customWidth="1"/>
    <col min="2054" max="2055" width="9.625" style="174" bestFit="1" customWidth="1"/>
    <col min="2056" max="2056" width="8.25" style="174" bestFit="1" customWidth="1"/>
    <col min="2057" max="2058" width="9.625" style="174" bestFit="1" customWidth="1"/>
    <col min="2059" max="2059" width="8.25" style="174" bestFit="1" customWidth="1"/>
    <col min="2060" max="2061" width="9.625" style="174" bestFit="1" customWidth="1"/>
    <col min="2062" max="2063" width="8.25" style="174" bestFit="1" customWidth="1"/>
    <col min="2064" max="2064" width="11" style="174" bestFit="1" customWidth="1"/>
    <col min="2065" max="2065" width="8" style="174" bestFit="1" customWidth="1"/>
    <col min="2066" max="2066" width="7.75" style="174" bestFit="1" customWidth="1"/>
    <col min="2067" max="2068" width="9.625" style="174" bestFit="1" customWidth="1"/>
    <col min="2069" max="2070" width="9.625" style="174" customWidth="1"/>
    <col min="2071" max="2071" width="9.25" style="174" bestFit="1" customWidth="1"/>
    <col min="2072" max="2072" width="11" style="174" bestFit="1" customWidth="1"/>
    <col min="2073" max="2305" width="9" style="174"/>
    <col min="2306" max="2306" width="4.625" style="174" bestFit="1" customWidth="1"/>
    <col min="2307" max="2307" width="7.5" style="174" bestFit="1" customWidth="1"/>
    <col min="2308" max="2308" width="6.25" style="174" customWidth="1"/>
    <col min="2309" max="2309" width="11" style="174" bestFit="1" customWidth="1"/>
    <col min="2310" max="2311" width="9.625" style="174" bestFit="1" customWidth="1"/>
    <col min="2312" max="2312" width="8.25" style="174" bestFit="1" customWidth="1"/>
    <col min="2313" max="2314" width="9.625" style="174" bestFit="1" customWidth="1"/>
    <col min="2315" max="2315" width="8.25" style="174" bestFit="1" customWidth="1"/>
    <col min="2316" max="2317" width="9.625" style="174" bestFit="1" customWidth="1"/>
    <col min="2318" max="2319" width="8.25" style="174" bestFit="1" customWidth="1"/>
    <col min="2320" max="2320" width="11" style="174" bestFit="1" customWidth="1"/>
    <col min="2321" max="2321" width="8" style="174" bestFit="1" customWidth="1"/>
    <col min="2322" max="2322" width="7.75" style="174" bestFit="1" customWidth="1"/>
    <col min="2323" max="2324" width="9.625" style="174" bestFit="1" customWidth="1"/>
    <col min="2325" max="2326" width="9.625" style="174" customWidth="1"/>
    <col min="2327" max="2327" width="9.25" style="174" bestFit="1" customWidth="1"/>
    <col min="2328" max="2328" width="11" style="174" bestFit="1" customWidth="1"/>
    <col min="2329" max="2561" width="9" style="174"/>
    <col min="2562" max="2562" width="4.625" style="174" bestFit="1" customWidth="1"/>
    <col min="2563" max="2563" width="7.5" style="174" bestFit="1" customWidth="1"/>
    <col min="2564" max="2564" width="6.25" style="174" customWidth="1"/>
    <col min="2565" max="2565" width="11" style="174" bestFit="1" customWidth="1"/>
    <col min="2566" max="2567" width="9.625" style="174" bestFit="1" customWidth="1"/>
    <col min="2568" max="2568" width="8.25" style="174" bestFit="1" customWidth="1"/>
    <col min="2569" max="2570" width="9.625" style="174" bestFit="1" customWidth="1"/>
    <col min="2571" max="2571" width="8.25" style="174" bestFit="1" customWidth="1"/>
    <col min="2572" max="2573" width="9.625" style="174" bestFit="1" customWidth="1"/>
    <col min="2574" max="2575" width="8.25" style="174" bestFit="1" customWidth="1"/>
    <col min="2576" max="2576" width="11" style="174" bestFit="1" customWidth="1"/>
    <col min="2577" max="2577" width="8" style="174" bestFit="1" customWidth="1"/>
    <col min="2578" max="2578" width="7.75" style="174" bestFit="1" customWidth="1"/>
    <col min="2579" max="2580" width="9.625" style="174" bestFit="1" customWidth="1"/>
    <col min="2581" max="2582" width="9.625" style="174" customWidth="1"/>
    <col min="2583" max="2583" width="9.25" style="174" bestFit="1" customWidth="1"/>
    <col min="2584" max="2584" width="11" style="174" bestFit="1" customWidth="1"/>
    <col min="2585" max="2817" width="9" style="174"/>
    <col min="2818" max="2818" width="4.625" style="174" bestFit="1" customWidth="1"/>
    <col min="2819" max="2819" width="7.5" style="174" bestFit="1" customWidth="1"/>
    <col min="2820" max="2820" width="6.25" style="174" customWidth="1"/>
    <col min="2821" max="2821" width="11" style="174" bestFit="1" customWidth="1"/>
    <col min="2822" max="2823" width="9.625" style="174" bestFit="1" customWidth="1"/>
    <col min="2824" max="2824" width="8.25" style="174" bestFit="1" customWidth="1"/>
    <col min="2825" max="2826" width="9.625" style="174" bestFit="1" customWidth="1"/>
    <col min="2827" max="2827" width="8.25" style="174" bestFit="1" customWidth="1"/>
    <col min="2828" max="2829" width="9.625" style="174" bestFit="1" customWidth="1"/>
    <col min="2830" max="2831" width="8.25" style="174" bestFit="1" customWidth="1"/>
    <col min="2832" max="2832" width="11" style="174" bestFit="1" customWidth="1"/>
    <col min="2833" max="2833" width="8" style="174" bestFit="1" customWidth="1"/>
    <col min="2834" max="2834" width="7.75" style="174" bestFit="1" customWidth="1"/>
    <col min="2835" max="2836" width="9.625" style="174" bestFit="1" customWidth="1"/>
    <col min="2837" max="2838" width="9.625" style="174" customWidth="1"/>
    <col min="2839" max="2839" width="9.25" style="174" bestFit="1" customWidth="1"/>
    <col min="2840" max="2840" width="11" style="174" bestFit="1" customWidth="1"/>
    <col min="2841" max="3073" width="9" style="174"/>
    <col min="3074" max="3074" width="4.625" style="174" bestFit="1" customWidth="1"/>
    <col min="3075" max="3075" width="7.5" style="174" bestFit="1" customWidth="1"/>
    <col min="3076" max="3076" width="6.25" style="174" customWidth="1"/>
    <col min="3077" max="3077" width="11" style="174" bestFit="1" customWidth="1"/>
    <col min="3078" max="3079" width="9.625" style="174" bestFit="1" customWidth="1"/>
    <col min="3080" max="3080" width="8.25" style="174" bestFit="1" customWidth="1"/>
    <col min="3081" max="3082" width="9.625" style="174" bestFit="1" customWidth="1"/>
    <col min="3083" max="3083" width="8.25" style="174" bestFit="1" customWidth="1"/>
    <col min="3084" max="3085" width="9.625" style="174" bestFit="1" customWidth="1"/>
    <col min="3086" max="3087" width="8.25" style="174" bestFit="1" customWidth="1"/>
    <col min="3088" max="3088" width="11" style="174" bestFit="1" customWidth="1"/>
    <col min="3089" max="3089" width="8" style="174" bestFit="1" customWidth="1"/>
    <col min="3090" max="3090" width="7.75" style="174" bestFit="1" customWidth="1"/>
    <col min="3091" max="3092" width="9.625" style="174" bestFit="1" customWidth="1"/>
    <col min="3093" max="3094" width="9.625" style="174" customWidth="1"/>
    <col min="3095" max="3095" width="9.25" style="174" bestFit="1" customWidth="1"/>
    <col min="3096" max="3096" width="11" style="174" bestFit="1" customWidth="1"/>
    <col min="3097" max="3329" width="9" style="174"/>
    <col min="3330" max="3330" width="4.625" style="174" bestFit="1" customWidth="1"/>
    <col min="3331" max="3331" width="7.5" style="174" bestFit="1" customWidth="1"/>
    <col min="3332" max="3332" width="6.25" style="174" customWidth="1"/>
    <col min="3333" max="3333" width="11" style="174" bestFit="1" customWidth="1"/>
    <col min="3334" max="3335" width="9.625" style="174" bestFit="1" customWidth="1"/>
    <col min="3336" max="3336" width="8.25" style="174" bestFit="1" customWidth="1"/>
    <col min="3337" max="3338" width="9.625" style="174" bestFit="1" customWidth="1"/>
    <col min="3339" max="3339" width="8.25" style="174" bestFit="1" customWidth="1"/>
    <col min="3340" max="3341" width="9.625" style="174" bestFit="1" customWidth="1"/>
    <col min="3342" max="3343" width="8.25" style="174" bestFit="1" customWidth="1"/>
    <col min="3344" max="3344" width="11" style="174" bestFit="1" customWidth="1"/>
    <col min="3345" max="3345" width="8" style="174" bestFit="1" customWidth="1"/>
    <col min="3346" max="3346" width="7.75" style="174" bestFit="1" customWidth="1"/>
    <col min="3347" max="3348" width="9.625" style="174" bestFit="1" customWidth="1"/>
    <col min="3349" max="3350" width="9.625" style="174" customWidth="1"/>
    <col min="3351" max="3351" width="9.25" style="174" bestFit="1" customWidth="1"/>
    <col min="3352" max="3352" width="11" style="174" bestFit="1" customWidth="1"/>
    <col min="3353" max="3585" width="9" style="174"/>
    <col min="3586" max="3586" width="4.625" style="174" bestFit="1" customWidth="1"/>
    <col min="3587" max="3587" width="7.5" style="174" bestFit="1" customWidth="1"/>
    <col min="3588" max="3588" width="6.25" style="174" customWidth="1"/>
    <col min="3589" max="3589" width="11" style="174" bestFit="1" customWidth="1"/>
    <col min="3590" max="3591" width="9.625" style="174" bestFit="1" customWidth="1"/>
    <col min="3592" max="3592" width="8.25" style="174" bestFit="1" customWidth="1"/>
    <col min="3593" max="3594" width="9.625" style="174" bestFit="1" customWidth="1"/>
    <col min="3595" max="3595" width="8.25" style="174" bestFit="1" customWidth="1"/>
    <col min="3596" max="3597" width="9.625" style="174" bestFit="1" customWidth="1"/>
    <col min="3598" max="3599" width="8.25" style="174" bestFit="1" customWidth="1"/>
    <col min="3600" max="3600" width="11" style="174" bestFit="1" customWidth="1"/>
    <col min="3601" max="3601" width="8" style="174" bestFit="1" customWidth="1"/>
    <col min="3602" max="3602" width="7.75" style="174" bestFit="1" customWidth="1"/>
    <col min="3603" max="3604" width="9.625" style="174" bestFit="1" customWidth="1"/>
    <col min="3605" max="3606" width="9.625" style="174" customWidth="1"/>
    <col min="3607" max="3607" width="9.25" style="174" bestFit="1" customWidth="1"/>
    <col min="3608" max="3608" width="11" style="174" bestFit="1" customWidth="1"/>
    <col min="3609" max="3841" width="9" style="174"/>
    <col min="3842" max="3842" width="4.625" style="174" bestFit="1" customWidth="1"/>
    <col min="3843" max="3843" width="7.5" style="174" bestFit="1" customWidth="1"/>
    <col min="3844" max="3844" width="6.25" style="174" customWidth="1"/>
    <col min="3845" max="3845" width="11" style="174" bestFit="1" customWidth="1"/>
    <col min="3846" max="3847" width="9.625" style="174" bestFit="1" customWidth="1"/>
    <col min="3848" max="3848" width="8.25" style="174" bestFit="1" customWidth="1"/>
    <col min="3849" max="3850" width="9.625" style="174" bestFit="1" customWidth="1"/>
    <col min="3851" max="3851" width="8.25" style="174" bestFit="1" customWidth="1"/>
    <col min="3852" max="3853" width="9.625" style="174" bestFit="1" customWidth="1"/>
    <col min="3854" max="3855" width="8.25" style="174" bestFit="1" customWidth="1"/>
    <col min="3856" max="3856" width="11" style="174" bestFit="1" customWidth="1"/>
    <col min="3857" max="3857" width="8" style="174" bestFit="1" customWidth="1"/>
    <col min="3858" max="3858" width="7.75" style="174" bestFit="1" customWidth="1"/>
    <col min="3859" max="3860" width="9.625" style="174" bestFit="1" customWidth="1"/>
    <col min="3861" max="3862" width="9.625" style="174" customWidth="1"/>
    <col min="3863" max="3863" width="9.25" style="174" bestFit="1" customWidth="1"/>
    <col min="3864" max="3864" width="11" style="174" bestFit="1" customWidth="1"/>
    <col min="3865" max="4097" width="9" style="174"/>
    <col min="4098" max="4098" width="4.625" style="174" bestFit="1" customWidth="1"/>
    <col min="4099" max="4099" width="7.5" style="174" bestFit="1" customWidth="1"/>
    <col min="4100" max="4100" width="6.25" style="174" customWidth="1"/>
    <col min="4101" max="4101" width="11" style="174" bestFit="1" customWidth="1"/>
    <col min="4102" max="4103" width="9.625" style="174" bestFit="1" customWidth="1"/>
    <col min="4104" max="4104" width="8.25" style="174" bestFit="1" customWidth="1"/>
    <col min="4105" max="4106" width="9.625" style="174" bestFit="1" customWidth="1"/>
    <col min="4107" max="4107" width="8.25" style="174" bestFit="1" customWidth="1"/>
    <col min="4108" max="4109" width="9.625" style="174" bestFit="1" customWidth="1"/>
    <col min="4110" max="4111" width="8.25" style="174" bestFit="1" customWidth="1"/>
    <col min="4112" max="4112" width="11" style="174" bestFit="1" customWidth="1"/>
    <col min="4113" max="4113" width="8" style="174" bestFit="1" customWidth="1"/>
    <col min="4114" max="4114" width="7.75" style="174" bestFit="1" customWidth="1"/>
    <col min="4115" max="4116" width="9.625" style="174" bestFit="1" customWidth="1"/>
    <col min="4117" max="4118" width="9.625" style="174" customWidth="1"/>
    <col min="4119" max="4119" width="9.25" style="174" bestFit="1" customWidth="1"/>
    <col min="4120" max="4120" width="11" style="174" bestFit="1" customWidth="1"/>
    <col min="4121" max="4353" width="9" style="174"/>
    <col min="4354" max="4354" width="4.625" style="174" bestFit="1" customWidth="1"/>
    <col min="4355" max="4355" width="7.5" style="174" bestFit="1" customWidth="1"/>
    <col min="4356" max="4356" width="6.25" style="174" customWidth="1"/>
    <col min="4357" max="4357" width="11" style="174" bestFit="1" customWidth="1"/>
    <col min="4358" max="4359" width="9.625" style="174" bestFit="1" customWidth="1"/>
    <col min="4360" max="4360" width="8.25" style="174" bestFit="1" customWidth="1"/>
    <col min="4361" max="4362" width="9.625" style="174" bestFit="1" customWidth="1"/>
    <col min="4363" max="4363" width="8.25" style="174" bestFit="1" customWidth="1"/>
    <col min="4364" max="4365" width="9.625" style="174" bestFit="1" customWidth="1"/>
    <col min="4366" max="4367" width="8.25" style="174" bestFit="1" customWidth="1"/>
    <col min="4368" max="4368" width="11" style="174" bestFit="1" customWidth="1"/>
    <col min="4369" max="4369" width="8" style="174" bestFit="1" customWidth="1"/>
    <col min="4370" max="4370" width="7.75" style="174" bestFit="1" customWidth="1"/>
    <col min="4371" max="4372" width="9.625" style="174" bestFit="1" customWidth="1"/>
    <col min="4373" max="4374" width="9.625" style="174" customWidth="1"/>
    <col min="4375" max="4375" width="9.25" style="174" bestFit="1" customWidth="1"/>
    <col min="4376" max="4376" width="11" style="174" bestFit="1" customWidth="1"/>
    <col min="4377" max="4609" width="9" style="174"/>
    <col min="4610" max="4610" width="4.625" style="174" bestFit="1" customWidth="1"/>
    <col min="4611" max="4611" width="7.5" style="174" bestFit="1" customWidth="1"/>
    <col min="4612" max="4612" width="6.25" style="174" customWidth="1"/>
    <col min="4613" max="4613" width="11" style="174" bestFit="1" customWidth="1"/>
    <col min="4614" max="4615" width="9.625" style="174" bestFit="1" customWidth="1"/>
    <col min="4616" max="4616" width="8.25" style="174" bestFit="1" customWidth="1"/>
    <col min="4617" max="4618" width="9.625" style="174" bestFit="1" customWidth="1"/>
    <col min="4619" max="4619" width="8.25" style="174" bestFit="1" customWidth="1"/>
    <col min="4620" max="4621" width="9.625" style="174" bestFit="1" customWidth="1"/>
    <col min="4622" max="4623" width="8.25" style="174" bestFit="1" customWidth="1"/>
    <col min="4624" max="4624" width="11" style="174" bestFit="1" customWidth="1"/>
    <col min="4625" max="4625" width="8" style="174" bestFit="1" customWidth="1"/>
    <col min="4626" max="4626" width="7.75" style="174" bestFit="1" customWidth="1"/>
    <col min="4627" max="4628" width="9.625" style="174" bestFit="1" customWidth="1"/>
    <col min="4629" max="4630" width="9.625" style="174" customWidth="1"/>
    <col min="4631" max="4631" width="9.25" style="174" bestFit="1" customWidth="1"/>
    <col min="4632" max="4632" width="11" style="174" bestFit="1" customWidth="1"/>
    <col min="4633" max="4865" width="9" style="174"/>
    <col min="4866" max="4866" width="4.625" style="174" bestFit="1" customWidth="1"/>
    <col min="4867" max="4867" width="7.5" style="174" bestFit="1" customWidth="1"/>
    <col min="4868" max="4868" width="6.25" style="174" customWidth="1"/>
    <col min="4869" max="4869" width="11" style="174" bestFit="1" customWidth="1"/>
    <col min="4870" max="4871" width="9.625" style="174" bestFit="1" customWidth="1"/>
    <col min="4872" max="4872" width="8.25" style="174" bestFit="1" customWidth="1"/>
    <col min="4873" max="4874" width="9.625" style="174" bestFit="1" customWidth="1"/>
    <col min="4875" max="4875" width="8.25" style="174" bestFit="1" customWidth="1"/>
    <col min="4876" max="4877" width="9.625" style="174" bestFit="1" customWidth="1"/>
    <col min="4878" max="4879" width="8.25" style="174" bestFit="1" customWidth="1"/>
    <col min="4880" max="4880" width="11" style="174" bestFit="1" customWidth="1"/>
    <col min="4881" max="4881" width="8" style="174" bestFit="1" customWidth="1"/>
    <col min="4882" max="4882" width="7.75" style="174" bestFit="1" customWidth="1"/>
    <col min="4883" max="4884" width="9.625" style="174" bestFit="1" customWidth="1"/>
    <col min="4885" max="4886" width="9.625" style="174" customWidth="1"/>
    <col min="4887" max="4887" width="9.25" style="174" bestFit="1" customWidth="1"/>
    <col min="4888" max="4888" width="11" style="174" bestFit="1" customWidth="1"/>
    <col min="4889" max="5121" width="9" style="174"/>
    <col min="5122" max="5122" width="4.625" style="174" bestFit="1" customWidth="1"/>
    <col min="5123" max="5123" width="7.5" style="174" bestFit="1" customWidth="1"/>
    <col min="5124" max="5124" width="6.25" style="174" customWidth="1"/>
    <col min="5125" max="5125" width="11" style="174" bestFit="1" customWidth="1"/>
    <col min="5126" max="5127" width="9.625" style="174" bestFit="1" customWidth="1"/>
    <col min="5128" max="5128" width="8.25" style="174" bestFit="1" customWidth="1"/>
    <col min="5129" max="5130" width="9.625" style="174" bestFit="1" customWidth="1"/>
    <col min="5131" max="5131" width="8.25" style="174" bestFit="1" customWidth="1"/>
    <col min="5132" max="5133" width="9.625" style="174" bestFit="1" customWidth="1"/>
    <col min="5134" max="5135" width="8.25" style="174" bestFit="1" customWidth="1"/>
    <col min="5136" max="5136" width="11" style="174" bestFit="1" customWidth="1"/>
    <col min="5137" max="5137" width="8" style="174" bestFit="1" customWidth="1"/>
    <col min="5138" max="5138" width="7.75" style="174" bestFit="1" customWidth="1"/>
    <col min="5139" max="5140" width="9.625" style="174" bestFit="1" customWidth="1"/>
    <col min="5141" max="5142" width="9.625" style="174" customWidth="1"/>
    <col min="5143" max="5143" width="9.25" style="174" bestFit="1" customWidth="1"/>
    <col min="5144" max="5144" width="11" style="174" bestFit="1" customWidth="1"/>
    <col min="5145" max="5377" width="9" style="174"/>
    <col min="5378" max="5378" width="4.625" style="174" bestFit="1" customWidth="1"/>
    <col min="5379" max="5379" width="7.5" style="174" bestFit="1" customWidth="1"/>
    <col min="5380" max="5380" width="6.25" style="174" customWidth="1"/>
    <col min="5381" max="5381" width="11" style="174" bestFit="1" customWidth="1"/>
    <col min="5382" max="5383" width="9.625" style="174" bestFit="1" customWidth="1"/>
    <col min="5384" max="5384" width="8.25" style="174" bestFit="1" customWidth="1"/>
    <col min="5385" max="5386" width="9.625" style="174" bestFit="1" customWidth="1"/>
    <col min="5387" max="5387" width="8.25" style="174" bestFit="1" customWidth="1"/>
    <col min="5388" max="5389" width="9.625" style="174" bestFit="1" customWidth="1"/>
    <col min="5390" max="5391" width="8.25" style="174" bestFit="1" customWidth="1"/>
    <col min="5392" max="5392" width="11" style="174" bestFit="1" customWidth="1"/>
    <col min="5393" max="5393" width="8" style="174" bestFit="1" customWidth="1"/>
    <col min="5394" max="5394" width="7.75" style="174" bestFit="1" customWidth="1"/>
    <col min="5395" max="5396" width="9.625" style="174" bestFit="1" customWidth="1"/>
    <col min="5397" max="5398" width="9.625" style="174" customWidth="1"/>
    <col min="5399" max="5399" width="9.25" style="174" bestFit="1" customWidth="1"/>
    <col min="5400" max="5400" width="11" style="174" bestFit="1" customWidth="1"/>
    <col min="5401" max="5633" width="9" style="174"/>
    <col min="5634" max="5634" width="4.625" style="174" bestFit="1" customWidth="1"/>
    <col min="5635" max="5635" width="7.5" style="174" bestFit="1" customWidth="1"/>
    <col min="5636" max="5636" width="6.25" style="174" customWidth="1"/>
    <col min="5637" max="5637" width="11" style="174" bestFit="1" customWidth="1"/>
    <col min="5638" max="5639" width="9.625" style="174" bestFit="1" customWidth="1"/>
    <col min="5640" max="5640" width="8.25" style="174" bestFit="1" customWidth="1"/>
    <col min="5641" max="5642" width="9.625" style="174" bestFit="1" customWidth="1"/>
    <col min="5643" max="5643" width="8.25" style="174" bestFit="1" customWidth="1"/>
    <col min="5644" max="5645" width="9.625" style="174" bestFit="1" customWidth="1"/>
    <col min="5646" max="5647" width="8.25" style="174" bestFit="1" customWidth="1"/>
    <col min="5648" max="5648" width="11" style="174" bestFit="1" customWidth="1"/>
    <col min="5649" max="5649" width="8" style="174" bestFit="1" customWidth="1"/>
    <col min="5650" max="5650" width="7.75" style="174" bestFit="1" customWidth="1"/>
    <col min="5651" max="5652" width="9.625" style="174" bestFit="1" customWidth="1"/>
    <col min="5653" max="5654" width="9.625" style="174" customWidth="1"/>
    <col min="5655" max="5655" width="9.25" style="174" bestFit="1" customWidth="1"/>
    <col min="5656" max="5656" width="11" style="174" bestFit="1" customWidth="1"/>
    <col min="5657" max="5889" width="9" style="174"/>
    <col min="5890" max="5890" width="4.625" style="174" bestFit="1" customWidth="1"/>
    <col min="5891" max="5891" width="7.5" style="174" bestFit="1" customWidth="1"/>
    <col min="5892" max="5892" width="6.25" style="174" customWidth="1"/>
    <col min="5893" max="5893" width="11" style="174" bestFit="1" customWidth="1"/>
    <col min="5894" max="5895" width="9.625" style="174" bestFit="1" customWidth="1"/>
    <col min="5896" max="5896" width="8.25" style="174" bestFit="1" customWidth="1"/>
    <col min="5897" max="5898" width="9.625" style="174" bestFit="1" customWidth="1"/>
    <col min="5899" max="5899" width="8.25" style="174" bestFit="1" customWidth="1"/>
    <col min="5900" max="5901" width="9.625" style="174" bestFit="1" customWidth="1"/>
    <col min="5902" max="5903" width="8.25" style="174" bestFit="1" customWidth="1"/>
    <col min="5904" max="5904" width="11" style="174" bestFit="1" customWidth="1"/>
    <col min="5905" max="5905" width="8" style="174" bestFit="1" customWidth="1"/>
    <col min="5906" max="5906" width="7.75" style="174" bestFit="1" customWidth="1"/>
    <col min="5907" max="5908" width="9.625" style="174" bestFit="1" customWidth="1"/>
    <col min="5909" max="5910" width="9.625" style="174" customWidth="1"/>
    <col min="5911" max="5911" width="9.25" style="174" bestFit="1" customWidth="1"/>
    <col min="5912" max="5912" width="11" style="174" bestFit="1" customWidth="1"/>
    <col min="5913" max="6145" width="9" style="174"/>
    <col min="6146" max="6146" width="4.625" style="174" bestFit="1" customWidth="1"/>
    <col min="6147" max="6147" width="7.5" style="174" bestFit="1" customWidth="1"/>
    <col min="6148" max="6148" width="6.25" style="174" customWidth="1"/>
    <col min="6149" max="6149" width="11" style="174" bestFit="1" customWidth="1"/>
    <col min="6150" max="6151" width="9.625" style="174" bestFit="1" customWidth="1"/>
    <col min="6152" max="6152" width="8.25" style="174" bestFit="1" customWidth="1"/>
    <col min="6153" max="6154" width="9.625" style="174" bestFit="1" customWidth="1"/>
    <col min="6155" max="6155" width="8.25" style="174" bestFit="1" customWidth="1"/>
    <col min="6156" max="6157" width="9.625" style="174" bestFit="1" customWidth="1"/>
    <col min="6158" max="6159" width="8.25" style="174" bestFit="1" customWidth="1"/>
    <col min="6160" max="6160" width="11" style="174" bestFit="1" customWidth="1"/>
    <col min="6161" max="6161" width="8" style="174" bestFit="1" customWidth="1"/>
    <col min="6162" max="6162" width="7.75" style="174" bestFit="1" customWidth="1"/>
    <col min="6163" max="6164" width="9.625" style="174" bestFit="1" customWidth="1"/>
    <col min="6165" max="6166" width="9.625" style="174" customWidth="1"/>
    <col min="6167" max="6167" width="9.25" style="174" bestFit="1" customWidth="1"/>
    <col min="6168" max="6168" width="11" style="174" bestFit="1" customWidth="1"/>
    <col min="6169" max="6401" width="9" style="174"/>
    <col min="6402" max="6402" width="4.625" style="174" bestFit="1" customWidth="1"/>
    <col min="6403" max="6403" width="7.5" style="174" bestFit="1" customWidth="1"/>
    <col min="6404" max="6404" width="6.25" style="174" customWidth="1"/>
    <col min="6405" max="6405" width="11" style="174" bestFit="1" customWidth="1"/>
    <col min="6406" max="6407" width="9.625" style="174" bestFit="1" customWidth="1"/>
    <col min="6408" max="6408" width="8.25" style="174" bestFit="1" customWidth="1"/>
    <col min="6409" max="6410" width="9.625" style="174" bestFit="1" customWidth="1"/>
    <col min="6411" max="6411" width="8.25" style="174" bestFit="1" customWidth="1"/>
    <col min="6412" max="6413" width="9.625" style="174" bestFit="1" customWidth="1"/>
    <col min="6414" max="6415" width="8.25" style="174" bestFit="1" customWidth="1"/>
    <col min="6416" max="6416" width="11" style="174" bestFit="1" customWidth="1"/>
    <col min="6417" max="6417" width="8" style="174" bestFit="1" customWidth="1"/>
    <col min="6418" max="6418" width="7.75" style="174" bestFit="1" customWidth="1"/>
    <col min="6419" max="6420" width="9.625" style="174" bestFit="1" customWidth="1"/>
    <col min="6421" max="6422" width="9.625" style="174" customWidth="1"/>
    <col min="6423" max="6423" width="9.25" style="174" bestFit="1" customWidth="1"/>
    <col min="6424" max="6424" width="11" style="174" bestFit="1" customWidth="1"/>
    <col min="6425" max="6657" width="9" style="174"/>
    <col min="6658" max="6658" width="4.625" style="174" bestFit="1" customWidth="1"/>
    <col min="6659" max="6659" width="7.5" style="174" bestFit="1" customWidth="1"/>
    <col min="6660" max="6660" width="6.25" style="174" customWidth="1"/>
    <col min="6661" max="6661" width="11" style="174" bestFit="1" customWidth="1"/>
    <col min="6662" max="6663" width="9.625" style="174" bestFit="1" customWidth="1"/>
    <col min="6664" max="6664" width="8.25" style="174" bestFit="1" customWidth="1"/>
    <col min="6665" max="6666" width="9.625" style="174" bestFit="1" customWidth="1"/>
    <col min="6667" max="6667" width="8.25" style="174" bestFit="1" customWidth="1"/>
    <col min="6668" max="6669" width="9.625" style="174" bestFit="1" customWidth="1"/>
    <col min="6670" max="6671" width="8.25" style="174" bestFit="1" customWidth="1"/>
    <col min="6672" max="6672" width="11" style="174" bestFit="1" customWidth="1"/>
    <col min="6673" max="6673" width="8" style="174" bestFit="1" customWidth="1"/>
    <col min="6674" max="6674" width="7.75" style="174" bestFit="1" customWidth="1"/>
    <col min="6675" max="6676" width="9.625" style="174" bestFit="1" customWidth="1"/>
    <col min="6677" max="6678" width="9.625" style="174" customWidth="1"/>
    <col min="6679" max="6679" width="9.25" style="174" bestFit="1" customWidth="1"/>
    <col min="6680" max="6680" width="11" style="174" bestFit="1" customWidth="1"/>
    <col min="6681" max="6913" width="9" style="174"/>
    <col min="6914" max="6914" width="4.625" style="174" bestFit="1" customWidth="1"/>
    <col min="6915" max="6915" width="7.5" style="174" bestFit="1" customWidth="1"/>
    <col min="6916" max="6916" width="6.25" style="174" customWidth="1"/>
    <col min="6917" max="6917" width="11" style="174" bestFit="1" customWidth="1"/>
    <col min="6918" max="6919" width="9.625" style="174" bestFit="1" customWidth="1"/>
    <col min="6920" max="6920" width="8.25" style="174" bestFit="1" customWidth="1"/>
    <col min="6921" max="6922" width="9.625" style="174" bestFit="1" customWidth="1"/>
    <col min="6923" max="6923" width="8.25" style="174" bestFit="1" customWidth="1"/>
    <col min="6924" max="6925" width="9.625" style="174" bestFit="1" customWidth="1"/>
    <col min="6926" max="6927" width="8.25" style="174" bestFit="1" customWidth="1"/>
    <col min="6928" max="6928" width="11" style="174" bestFit="1" customWidth="1"/>
    <col min="6929" max="6929" width="8" style="174" bestFit="1" customWidth="1"/>
    <col min="6930" max="6930" width="7.75" style="174" bestFit="1" customWidth="1"/>
    <col min="6931" max="6932" width="9.625" style="174" bestFit="1" customWidth="1"/>
    <col min="6933" max="6934" width="9.625" style="174" customWidth="1"/>
    <col min="6935" max="6935" width="9.25" style="174" bestFit="1" customWidth="1"/>
    <col min="6936" max="6936" width="11" style="174" bestFit="1" customWidth="1"/>
    <col min="6937" max="7169" width="9" style="174"/>
    <col min="7170" max="7170" width="4.625" style="174" bestFit="1" customWidth="1"/>
    <col min="7171" max="7171" width="7.5" style="174" bestFit="1" customWidth="1"/>
    <col min="7172" max="7172" width="6.25" style="174" customWidth="1"/>
    <col min="7173" max="7173" width="11" style="174" bestFit="1" customWidth="1"/>
    <col min="7174" max="7175" width="9.625" style="174" bestFit="1" customWidth="1"/>
    <col min="7176" max="7176" width="8.25" style="174" bestFit="1" customWidth="1"/>
    <col min="7177" max="7178" width="9.625" style="174" bestFit="1" customWidth="1"/>
    <col min="7179" max="7179" width="8.25" style="174" bestFit="1" customWidth="1"/>
    <col min="7180" max="7181" width="9.625" style="174" bestFit="1" customWidth="1"/>
    <col min="7182" max="7183" width="8.25" style="174" bestFit="1" customWidth="1"/>
    <col min="7184" max="7184" width="11" style="174" bestFit="1" customWidth="1"/>
    <col min="7185" max="7185" width="8" style="174" bestFit="1" customWidth="1"/>
    <col min="7186" max="7186" width="7.75" style="174" bestFit="1" customWidth="1"/>
    <col min="7187" max="7188" width="9.625" style="174" bestFit="1" customWidth="1"/>
    <col min="7189" max="7190" width="9.625" style="174" customWidth="1"/>
    <col min="7191" max="7191" width="9.25" style="174" bestFit="1" customWidth="1"/>
    <col min="7192" max="7192" width="11" style="174" bestFit="1" customWidth="1"/>
    <col min="7193" max="7425" width="9" style="174"/>
    <col min="7426" max="7426" width="4.625" style="174" bestFit="1" customWidth="1"/>
    <col min="7427" max="7427" width="7.5" style="174" bestFit="1" customWidth="1"/>
    <col min="7428" max="7428" width="6.25" style="174" customWidth="1"/>
    <col min="7429" max="7429" width="11" style="174" bestFit="1" customWidth="1"/>
    <col min="7430" max="7431" width="9.625" style="174" bestFit="1" customWidth="1"/>
    <col min="7432" max="7432" width="8.25" style="174" bestFit="1" customWidth="1"/>
    <col min="7433" max="7434" width="9.625" style="174" bestFit="1" customWidth="1"/>
    <col min="7435" max="7435" width="8.25" style="174" bestFit="1" customWidth="1"/>
    <col min="7436" max="7437" width="9.625" style="174" bestFit="1" customWidth="1"/>
    <col min="7438" max="7439" width="8.25" style="174" bestFit="1" customWidth="1"/>
    <col min="7440" max="7440" width="11" style="174" bestFit="1" customWidth="1"/>
    <col min="7441" max="7441" width="8" style="174" bestFit="1" customWidth="1"/>
    <col min="7442" max="7442" width="7.75" style="174" bestFit="1" customWidth="1"/>
    <col min="7443" max="7444" width="9.625" style="174" bestFit="1" customWidth="1"/>
    <col min="7445" max="7446" width="9.625" style="174" customWidth="1"/>
    <col min="7447" max="7447" width="9.25" style="174" bestFit="1" customWidth="1"/>
    <col min="7448" max="7448" width="11" style="174" bestFit="1" customWidth="1"/>
    <col min="7449" max="7681" width="9" style="174"/>
    <col min="7682" max="7682" width="4.625" style="174" bestFit="1" customWidth="1"/>
    <col min="7683" max="7683" width="7.5" style="174" bestFit="1" customWidth="1"/>
    <col min="7684" max="7684" width="6.25" style="174" customWidth="1"/>
    <col min="7685" max="7685" width="11" style="174" bestFit="1" customWidth="1"/>
    <col min="7686" max="7687" width="9.625" style="174" bestFit="1" customWidth="1"/>
    <col min="7688" max="7688" width="8.25" style="174" bestFit="1" customWidth="1"/>
    <col min="7689" max="7690" width="9.625" style="174" bestFit="1" customWidth="1"/>
    <col min="7691" max="7691" width="8.25" style="174" bestFit="1" customWidth="1"/>
    <col min="7692" max="7693" width="9.625" style="174" bestFit="1" customWidth="1"/>
    <col min="7694" max="7695" width="8.25" style="174" bestFit="1" customWidth="1"/>
    <col min="7696" max="7696" width="11" style="174" bestFit="1" customWidth="1"/>
    <col min="7697" max="7697" width="8" style="174" bestFit="1" customWidth="1"/>
    <col min="7698" max="7698" width="7.75" style="174" bestFit="1" customWidth="1"/>
    <col min="7699" max="7700" width="9.625" style="174" bestFit="1" customWidth="1"/>
    <col min="7701" max="7702" width="9.625" style="174" customWidth="1"/>
    <col min="7703" max="7703" width="9.25" style="174" bestFit="1" customWidth="1"/>
    <col min="7704" max="7704" width="11" style="174" bestFit="1" customWidth="1"/>
    <col min="7705" max="7937" width="9" style="174"/>
    <col min="7938" max="7938" width="4.625" style="174" bestFit="1" customWidth="1"/>
    <col min="7939" max="7939" width="7.5" style="174" bestFit="1" customWidth="1"/>
    <col min="7940" max="7940" width="6.25" style="174" customWidth="1"/>
    <col min="7941" max="7941" width="11" style="174" bestFit="1" customWidth="1"/>
    <col min="7942" max="7943" width="9.625" style="174" bestFit="1" customWidth="1"/>
    <col min="7944" max="7944" width="8.25" style="174" bestFit="1" customWidth="1"/>
    <col min="7945" max="7946" width="9.625" style="174" bestFit="1" customWidth="1"/>
    <col min="7947" max="7947" width="8.25" style="174" bestFit="1" customWidth="1"/>
    <col min="7948" max="7949" width="9.625" style="174" bestFit="1" customWidth="1"/>
    <col min="7950" max="7951" width="8.25" style="174" bestFit="1" customWidth="1"/>
    <col min="7952" max="7952" width="11" style="174" bestFit="1" customWidth="1"/>
    <col min="7953" max="7953" width="8" style="174" bestFit="1" customWidth="1"/>
    <col min="7954" max="7954" width="7.75" style="174" bestFit="1" customWidth="1"/>
    <col min="7955" max="7956" width="9.625" style="174" bestFit="1" customWidth="1"/>
    <col min="7957" max="7958" width="9.625" style="174" customWidth="1"/>
    <col min="7959" max="7959" width="9.25" style="174" bestFit="1" customWidth="1"/>
    <col min="7960" max="7960" width="11" style="174" bestFit="1" customWidth="1"/>
    <col min="7961" max="8193" width="9" style="174"/>
    <col min="8194" max="8194" width="4.625" style="174" bestFit="1" customWidth="1"/>
    <col min="8195" max="8195" width="7.5" style="174" bestFit="1" customWidth="1"/>
    <col min="8196" max="8196" width="6.25" style="174" customWidth="1"/>
    <col min="8197" max="8197" width="11" style="174" bestFit="1" customWidth="1"/>
    <col min="8198" max="8199" width="9.625" style="174" bestFit="1" customWidth="1"/>
    <col min="8200" max="8200" width="8.25" style="174" bestFit="1" customWidth="1"/>
    <col min="8201" max="8202" width="9.625" style="174" bestFit="1" customWidth="1"/>
    <col min="8203" max="8203" width="8.25" style="174" bestFit="1" customWidth="1"/>
    <col min="8204" max="8205" width="9.625" style="174" bestFit="1" customWidth="1"/>
    <col min="8206" max="8207" width="8.25" style="174" bestFit="1" customWidth="1"/>
    <col min="8208" max="8208" width="11" style="174" bestFit="1" customWidth="1"/>
    <col min="8209" max="8209" width="8" style="174" bestFit="1" customWidth="1"/>
    <col min="8210" max="8210" width="7.75" style="174" bestFit="1" customWidth="1"/>
    <col min="8211" max="8212" width="9.625" style="174" bestFit="1" customWidth="1"/>
    <col min="8213" max="8214" width="9.625" style="174" customWidth="1"/>
    <col min="8215" max="8215" width="9.25" style="174" bestFit="1" customWidth="1"/>
    <col min="8216" max="8216" width="11" style="174" bestFit="1" customWidth="1"/>
    <col min="8217" max="8449" width="9" style="174"/>
    <col min="8450" max="8450" width="4.625" style="174" bestFit="1" customWidth="1"/>
    <col min="8451" max="8451" width="7.5" style="174" bestFit="1" customWidth="1"/>
    <col min="8452" max="8452" width="6.25" style="174" customWidth="1"/>
    <col min="8453" max="8453" width="11" style="174" bestFit="1" customWidth="1"/>
    <col min="8454" max="8455" width="9.625" style="174" bestFit="1" customWidth="1"/>
    <col min="8456" max="8456" width="8.25" style="174" bestFit="1" customWidth="1"/>
    <col min="8457" max="8458" width="9.625" style="174" bestFit="1" customWidth="1"/>
    <col min="8459" max="8459" width="8.25" style="174" bestFit="1" customWidth="1"/>
    <col min="8460" max="8461" width="9.625" style="174" bestFit="1" customWidth="1"/>
    <col min="8462" max="8463" width="8.25" style="174" bestFit="1" customWidth="1"/>
    <col min="8464" max="8464" width="11" style="174" bestFit="1" customWidth="1"/>
    <col min="8465" max="8465" width="8" style="174" bestFit="1" customWidth="1"/>
    <col min="8466" max="8466" width="7.75" style="174" bestFit="1" customWidth="1"/>
    <col min="8467" max="8468" width="9.625" style="174" bestFit="1" customWidth="1"/>
    <col min="8469" max="8470" width="9.625" style="174" customWidth="1"/>
    <col min="8471" max="8471" width="9.25" style="174" bestFit="1" customWidth="1"/>
    <col min="8472" max="8472" width="11" style="174" bestFit="1" customWidth="1"/>
    <col min="8473" max="8705" width="9" style="174"/>
    <col min="8706" max="8706" width="4.625" style="174" bestFit="1" customWidth="1"/>
    <col min="8707" max="8707" width="7.5" style="174" bestFit="1" customWidth="1"/>
    <col min="8708" max="8708" width="6.25" style="174" customWidth="1"/>
    <col min="8709" max="8709" width="11" style="174" bestFit="1" customWidth="1"/>
    <col min="8710" max="8711" width="9.625" style="174" bestFit="1" customWidth="1"/>
    <col min="8712" max="8712" width="8.25" style="174" bestFit="1" customWidth="1"/>
    <col min="8713" max="8714" width="9.625" style="174" bestFit="1" customWidth="1"/>
    <col min="8715" max="8715" width="8.25" style="174" bestFit="1" customWidth="1"/>
    <col min="8716" max="8717" width="9.625" style="174" bestFit="1" customWidth="1"/>
    <col min="8718" max="8719" width="8.25" style="174" bestFit="1" customWidth="1"/>
    <col min="8720" max="8720" width="11" style="174" bestFit="1" customWidth="1"/>
    <col min="8721" max="8721" width="8" style="174" bestFit="1" customWidth="1"/>
    <col min="8722" max="8722" width="7.75" style="174" bestFit="1" customWidth="1"/>
    <col min="8723" max="8724" width="9.625" style="174" bestFit="1" customWidth="1"/>
    <col min="8725" max="8726" width="9.625" style="174" customWidth="1"/>
    <col min="8727" max="8727" width="9.25" style="174" bestFit="1" customWidth="1"/>
    <col min="8728" max="8728" width="11" style="174" bestFit="1" customWidth="1"/>
    <col min="8729" max="8961" width="9" style="174"/>
    <col min="8962" max="8962" width="4.625" style="174" bestFit="1" customWidth="1"/>
    <col min="8963" max="8963" width="7.5" style="174" bestFit="1" customWidth="1"/>
    <col min="8964" max="8964" width="6.25" style="174" customWidth="1"/>
    <col min="8965" max="8965" width="11" style="174" bestFit="1" customWidth="1"/>
    <col min="8966" max="8967" width="9.625" style="174" bestFit="1" customWidth="1"/>
    <col min="8968" max="8968" width="8.25" style="174" bestFit="1" customWidth="1"/>
    <col min="8969" max="8970" width="9.625" style="174" bestFit="1" customWidth="1"/>
    <col min="8971" max="8971" width="8.25" style="174" bestFit="1" customWidth="1"/>
    <col min="8972" max="8973" width="9.625" style="174" bestFit="1" customWidth="1"/>
    <col min="8974" max="8975" width="8.25" style="174" bestFit="1" customWidth="1"/>
    <col min="8976" max="8976" width="11" style="174" bestFit="1" customWidth="1"/>
    <col min="8977" max="8977" width="8" style="174" bestFit="1" customWidth="1"/>
    <col min="8978" max="8978" width="7.75" style="174" bestFit="1" customWidth="1"/>
    <col min="8979" max="8980" width="9.625" style="174" bestFit="1" customWidth="1"/>
    <col min="8981" max="8982" width="9.625" style="174" customWidth="1"/>
    <col min="8983" max="8983" width="9.25" style="174" bestFit="1" customWidth="1"/>
    <col min="8984" max="8984" width="11" style="174" bestFit="1" customWidth="1"/>
    <col min="8985" max="9217" width="9" style="174"/>
    <col min="9218" max="9218" width="4.625" style="174" bestFit="1" customWidth="1"/>
    <col min="9219" max="9219" width="7.5" style="174" bestFit="1" customWidth="1"/>
    <col min="9220" max="9220" width="6.25" style="174" customWidth="1"/>
    <col min="9221" max="9221" width="11" style="174" bestFit="1" customWidth="1"/>
    <col min="9222" max="9223" width="9.625" style="174" bestFit="1" customWidth="1"/>
    <col min="9224" max="9224" width="8.25" style="174" bestFit="1" customWidth="1"/>
    <col min="9225" max="9226" width="9.625" style="174" bestFit="1" customWidth="1"/>
    <col min="9227" max="9227" width="8.25" style="174" bestFit="1" customWidth="1"/>
    <col min="9228" max="9229" width="9.625" style="174" bestFit="1" customWidth="1"/>
    <col min="9230" max="9231" width="8.25" style="174" bestFit="1" customWidth="1"/>
    <col min="9232" max="9232" width="11" style="174" bestFit="1" customWidth="1"/>
    <col min="9233" max="9233" width="8" style="174" bestFit="1" customWidth="1"/>
    <col min="9234" max="9234" width="7.75" style="174" bestFit="1" customWidth="1"/>
    <col min="9235" max="9236" width="9.625" style="174" bestFit="1" customWidth="1"/>
    <col min="9237" max="9238" width="9.625" style="174" customWidth="1"/>
    <col min="9239" max="9239" width="9.25" style="174" bestFit="1" customWidth="1"/>
    <col min="9240" max="9240" width="11" style="174" bestFit="1" customWidth="1"/>
    <col min="9241" max="9473" width="9" style="174"/>
    <col min="9474" max="9474" width="4.625" style="174" bestFit="1" customWidth="1"/>
    <col min="9475" max="9475" width="7.5" style="174" bestFit="1" customWidth="1"/>
    <col min="9476" max="9476" width="6.25" style="174" customWidth="1"/>
    <col min="9477" max="9477" width="11" style="174" bestFit="1" customWidth="1"/>
    <col min="9478" max="9479" width="9.625" style="174" bestFit="1" customWidth="1"/>
    <col min="9480" max="9480" width="8.25" style="174" bestFit="1" customWidth="1"/>
    <col min="9481" max="9482" width="9.625" style="174" bestFit="1" customWidth="1"/>
    <col min="9483" max="9483" width="8.25" style="174" bestFit="1" customWidth="1"/>
    <col min="9484" max="9485" width="9.625" style="174" bestFit="1" customWidth="1"/>
    <col min="9486" max="9487" width="8.25" style="174" bestFit="1" customWidth="1"/>
    <col min="9488" max="9488" width="11" style="174" bestFit="1" customWidth="1"/>
    <col min="9489" max="9489" width="8" style="174" bestFit="1" customWidth="1"/>
    <col min="9490" max="9490" width="7.75" style="174" bestFit="1" customWidth="1"/>
    <col min="9491" max="9492" width="9.625" style="174" bestFit="1" customWidth="1"/>
    <col min="9493" max="9494" width="9.625" style="174" customWidth="1"/>
    <col min="9495" max="9495" width="9.25" style="174" bestFit="1" customWidth="1"/>
    <col min="9496" max="9496" width="11" style="174" bestFit="1" customWidth="1"/>
    <col min="9497" max="9729" width="9" style="174"/>
    <col min="9730" max="9730" width="4.625" style="174" bestFit="1" customWidth="1"/>
    <col min="9731" max="9731" width="7.5" style="174" bestFit="1" customWidth="1"/>
    <col min="9732" max="9732" width="6.25" style="174" customWidth="1"/>
    <col min="9733" max="9733" width="11" style="174" bestFit="1" customWidth="1"/>
    <col min="9734" max="9735" width="9.625" style="174" bestFit="1" customWidth="1"/>
    <col min="9736" max="9736" width="8.25" style="174" bestFit="1" customWidth="1"/>
    <col min="9737" max="9738" width="9.625" style="174" bestFit="1" customWidth="1"/>
    <col min="9739" max="9739" width="8.25" style="174" bestFit="1" customWidth="1"/>
    <col min="9740" max="9741" width="9.625" style="174" bestFit="1" customWidth="1"/>
    <col min="9742" max="9743" width="8.25" style="174" bestFit="1" customWidth="1"/>
    <col min="9744" max="9744" width="11" style="174" bestFit="1" customWidth="1"/>
    <col min="9745" max="9745" width="8" style="174" bestFit="1" customWidth="1"/>
    <col min="9746" max="9746" width="7.75" style="174" bestFit="1" customWidth="1"/>
    <col min="9747" max="9748" width="9.625" style="174" bestFit="1" customWidth="1"/>
    <col min="9749" max="9750" width="9.625" style="174" customWidth="1"/>
    <col min="9751" max="9751" width="9.25" style="174" bestFit="1" customWidth="1"/>
    <col min="9752" max="9752" width="11" style="174" bestFit="1" customWidth="1"/>
    <col min="9753" max="9985" width="9" style="174"/>
    <col min="9986" max="9986" width="4.625" style="174" bestFit="1" customWidth="1"/>
    <col min="9987" max="9987" width="7.5" style="174" bestFit="1" customWidth="1"/>
    <col min="9988" max="9988" width="6.25" style="174" customWidth="1"/>
    <col min="9989" max="9989" width="11" style="174" bestFit="1" customWidth="1"/>
    <col min="9990" max="9991" width="9.625" style="174" bestFit="1" customWidth="1"/>
    <col min="9992" max="9992" width="8.25" style="174" bestFit="1" customWidth="1"/>
    <col min="9993" max="9994" width="9.625" style="174" bestFit="1" customWidth="1"/>
    <col min="9995" max="9995" width="8.25" style="174" bestFit="1" customWidth="1"/>
    <col min="9996" max="9997" width="9.625" style="174" bestFit="1" customWidth="1"/>
    <col min="9998" max="9999" width="8.25" style="174" bestFit="1" customWidth="1"/>
    <col min="10000" max="10000" width="11" style="174" bestFit="1" customWidth="1"/>
    <col min="10001" max="10001" width="8" style="174" bestFit="1" customWidth="1"/>
    <col min="10002" max="10002" width="7.75" style="174" bestFit="1" customWidth="1"/>
    <col min="10003" max="10004" width="9.625" style="174" bestFit="1" customWidth="1"/>
    <col min="10005" max="10006" width="9.625" style="174" customWidth="1"/>
    <col min="10007" max="10007" width="9.25" style="174" bestFit="1" customWidth="1"/>
    <col min="10008" max="10008" width="11" style="174" bestFit="1" customWidth="1"/>
    <col min="10009" max="10241" width="9" style="174"/>
    <col min="10242" max="10242" width="4.625" style="174" bestFit="1" customWidth="1"/>
    <col min="10243" max="10243" width="7.5" style="174" bestFit="1" customWidth="1"/>
    <col min="10244" max="10244" width="6.25" style="174" customWidth="1"/>
    <col min="10245" max="10245" width="11" style="174" bestFit="1" customWidth="1"/>
    <col min="10246" max="10247" width="9.625" style="174" bestFit="1" customWidth="1"/>
    <col min="10248" max="10248" width="8.25" style="174" bestFit="1" customWidth="1"/>
    <col min="10249" max="10250" width="9.625" style="174" bestFit="1" customWidth="1"/>
    <col min="10251" max="10251" width="8.25" style="174" bestFit="1" customWidth="1"/>
    <col min="10252" max="10253" width="9.625" style="174" bestFit="1" customWidth="1"/>
    <col min="10254" max="10255" width="8.25" style="174" bestFit="1" customWidth="1"/>
    <col min="10256" max="10256" width="11" style="174" bestFit="1" customWidth="1"/>
    <col min="10257" max="10257" width="8" style="174" bestFit="1" customWidth="1"/>
    <col min="10258" max="10258" width="7.75" style="174" bestFit="1" customWidth="1"/>
    <col min="10259" max="10260" width="9.625" style="174" bestFit="1" customWidth="1"/>
    <col min="10261" max="10262" width="9.625" style="174" customWidth="1"/>
    <col min="10263" max="10263" width="9.25" style="174" bestFit="1" customWidth="1"/>
    <col min="10264" max="10264" width="11" style="174" bestFit="1" customWidth="1"/>
    <col min="10265" max="10497" width="9" style="174"/>
    <col min="10498" max="10498" width="4.625" style="174" bestFit="1" customWidth="1"/>
    <col min="10499" max="10499" width="7.5" style="174" bestFit="1" customWidth="1"/>
    <col min="10500" max="10500" width="6.25" style="174" customWidth="1"/>
    <col min="10501" max="10501" width="11" style="174" bestFit="1" customWidth="1"/>
    <col min="10502" max="10503" width="9.625" style="174" bestFit="1" customWidth="1"/>
    <col min="10504" max="10504" width="8.25" style="174" bestFit="1" customWidth="1"/>
    <col min="10505" max="10506" width="9.625" style="174" bestFit="1" customWidth="1"/>
    <col min="10507" max="10507" width="8.25" style="174" bestFit="1" customWidth="1"/>
    <col min="10508" max="10509" width="9.625" style="174" bestFit="1" customWidth="1"/>
    <col min="10510" max="10511" width="8.25" style="174" bestFit="1" customWidth="1"/>
    <col min="10512" max="10512" width="11" style="174" bestFit="1" customWidth="1"/>
    <col min="10513" max="10513" width="8" style="174" bestFit="1" customWidth="1"/>
    <col min="10514" max="10514" width="7.75" style="174" bestFit="1" customWidth="1"/>
    <col min="10515" max="10516" width="9.625" style="174" bestFit="1" customWidth="1"/>
    <col min="10517" max="10518" width="9.625" style="174" customWidth="1"/>
    <col min="10519" max="10519" width="9.25" style="174" bestFit="1" customWidth="1"/>
    <col min="10520" max="10520" width="11" style="174" bestFit="1" customWidth="1"/>
    <col min="10521" max="10753" width="9" style="174"/>
    <col min="10754" max="10754" width="4.625" style="174" bestFit="1" customWidth="1"/>
    <col min="10755" max="10755" width="7.5" style="174" bestFit="1" customWidth="1"/>
    <col min="10756" max="10756" width="6.25" style="174" customWidth="1"/>
    <col min="10757" max="10757" width="11" style="174" bestFit="1" customWidth="1"/>
    <col min="10758" max="10759" width="9.625" style="174" bestFit="1" customWidth="1"/>
    <col min="10760" max="10760" width="8.25" style="174" bestFit="1" customWidth="1"/>
    <col min="10761" max="10762" width="9.625" style="174" bestFit="1" customWidth="1"/>
    <col min="10763" max="10763" width="8.25" style="174" bestFit="1" customWidth="1"/>
    <col min="10764" max="10765" width="9.625" style="174" bestFit="1" customWidth="1"/>
    <col min="10766" max="10767" width="8.25" style="174" bestFit="1" customWidth="1"/>
    <col min="10768" max="10768" width="11" style="174" bestFit="1" customWidth="1"/>
    <col min="10769" max="10769" width="8" style="174" bestFit="1" customWidth="1"/>
    <col min="10770" max="10770" width="7.75" style="174" bestFit="1" customWidth="1"/>
    <col min="10771" max="10772" width="9.625" style="174" bestFit="1" customWidth="1"/>
    <col min="10773" max="10774" width="9.625" style="174" customWidth="1"/>
    <col min="10775" max="10775" width="9.25" style="174" bestFit="1" customWidth="1"/>
    <col min="10776" max="10776" width="11" style="174" bestFit="1" customWidth="1"/>
    <col min="10777" max="11009" width="9" style="174"/>
    <col min="11010" max="11010" width="4.625" style="174" bestFit="1" customWidth="1"/>
    <col min="11011" max="11011" width="7.5" style="174" bestFit="1" customWidth="1"/>
    <col min="11012" max="11012" width="6.25" style="174" customWidth="1"/>
    <col min="11013" max="11013" width="11" style="174" bestFit="1" customWidth="1"/>
    <col min="11014" max="11015" width="9.625" style="174" bestFit="1" customWidth="1"/>
    <col min="11016" max="11016" width="8.25" style="174" bestFit="1" customWidth="1"/>
    <col min="11017" max="11018" width="9.625" style="174" bestFit="1" customWidth="1"/>
    <col min="11019" max="11019" width="8.25" style="174" bestFit="1" customWidth="1"/>
    <col min="11020" max="11021" width="9.625" style="174" bestFit="1" customWidth="1"/>
    <col min="11022" max="11023" width="8.25" style="174" bestFit="1" customWidth="1"/>
    <col min="11024" max="11024" width="11" style="174" bestFit="1" customWidth="1"/>
    <col min="11025" max="11025" width="8" style="174" bestFit="1" customWidth="1"/>
    <col min="11026" max="11026" width="7.75" style="174" bestFit="1" customWidth="1"/>
    <col min="11027" max="11028" width="9.625" style="174" bestFit="1" customWidth="1"/>
    <col min="11029" max="11030" width="9.625" style="174" customWidth="1"/>
    <col min="11031" max="11031" width="9.25" style="174" bestFit="1" customWidth="1"/>
    <col min="11032" max="11032" width="11" style="174" bestFit="1" customWidth="1"/>
    <col min="11033" max="11265" width="9" style="174"/>
    <col min="11266" max="11266" width="4.625" style="174" bestFit="1" customWidth="1"/>
    <col min="11267" max="11267" width="7.5" style="174" bestFit="1" customWidth="1"/>
    <col min="11268" max="11268" width="6.25" style="174" customWidth="1"/>
    <col min="11269" max="11269" width="11" style="174" bestFit="1" customWidth="1"/>
    <col min="11270" max="11271" width="9.625" style="174" bestFit="1" customWidth="1"/>
    <col min="11272" max="11272" width="8.25" style="174" bestFit="1" customWidth="1"/>
    <col min="11273" max="11274" width="9.625" style="174" bestFit="1" customWidth="1"/>
    <col min="11275" max="11275" width="8.25" style="174" bestFit="1" customWidth="1"/>
    <col min="11276" max="11277" width="9.625" style="174" bestFit="1" customWidth="1"/>
    <col min="11278" max="11279" width="8.25" style="174" bestFit="1" customWidth="1"/>
    <col min="11280" max="11280" width="11" style="174" bestFit="1" customWidth="1"/>
    <col min="11281" max="11281" width="8" style="174" bestFit="1" customWidth="1"/>
    <col min="11282" max="11282" width="7.75" style="174" bestFit="1" customWidth="1"/>
    <col min="11283" max="11284" width="9.625" style="174" bestFit="1" customWidth="1"/>
    <col min="11285" max="11286" width="9.625" style="174" customWidth="1"/>
    <col min="11287" max="11287" width="9.25" style="174" bestFit="1" customWidth="1"/>
    <col min="11288" max="11288" width="11" style="174" bestFit="1" customWidth="1"/>
    <col min="11289" max="11521" width="9" style="174"/>
    <col min="11522" max="11522" width="4.625" style="174" bestFit="1" customWidth="1"/>
    <col min="11523" max="11523" width="7.5" style="174" bestFit="1" customWidth="1"/>
    <col min="11524" max="11524" width="6.25" style="174" customWidth="1"/>
    <col min="11525" max="11525" width="11" style="174" bestFit="1" customWidth="1"/>
    <col min="11526" max="11527" width="9.625" style="174" bestFit="1" customWidth="1"/>
    <col min="11528" max="11528" width="8.25" style="174" bestFit="1" customWidth="1"/>
    <col min="11529" max="11530" width="9.625" style="174" bestFit="1" customWidth="1"/>
    <col min="11531" max="11531" width="8.25" style="174" bestFit="1" customWidth="1"/>
    <col min="11532" max="11533" width="9.625" style="174" bestFit="1" customWidth="1"/>
    <col min="11534" max="11535" width="8.25" style="174" bestFit="1" customWidth="1"/>
    <col min="11536" max="11536" width="11" style="174" bestFit="1" customWidth="1"/>
    <col min="11537" max="11537" width="8" style="174" bestFit="1" customWidth="1"/>
    <col min="11538" max="11538" width="7.75" style="174" bestFit="1" customWidth="1"/>
    <col min="11539" max="11540" width="9.625" style="174" bestFit="1" customWidth="1"/>
    <col min="11541" max="11542" width="9.625" style="174" customWidth="1"/>
    <col min="11543" max="11543" width="9.25" style="174" bestFit="1" customWidth="1"/>
    <col min="11544" max="11544" width="11" style="174" bestFit="1" customWidth="1"/>
    <col min="11545" max="11777" width="9" style="174"/>
    <col min="11778" max="11778" width="4.625" style="174" bestFit="1" customWidth="1"/>
    <col min="11779" max="11779" width="7.5" style="174" bestFit="1" customWidth="1"/>
    <col min="11780" max="11780" width="6.25" style="174" customWidth="1"/>
    <col min="11781" max="11781" width="11" style="174" bestFit="1" customWidth="1"/>
    <col min="11782" max="11783" width="9.625" style="174" bestFit="1" customWidth="1"/>
    <col min="11784" max="11784" width="8.25" style="174" bestFit="1" customWidth="1"/>
    <col min="11785" max="11786" width="9.625" style="174" bestFit="1" customWidth="1"/>
    <col min="11787" max="11787" width="8.25" style="174" bestFit="1" customWidth="1"/>
    <col min="11788" max="11789" width="9.625" style="174" bestFit="1" customWidth="1"/>
    <col min="11790" max="11791" width="8.25" style="174" bestFit="1" customWidth="1"/>
    <col min="11792" max="11792" width="11" style="174" bestFit="1" customWidth="1"/>
    <col min="11793" max="11793" width="8" style="174" bestFit="1" customWidth="1"/>
    <col min="11794" max="11794" width="7.75" style="174" bestFit="1" customWidth="1"/>
    <col min="11795" max="11796" width="9.625" style="174" bestFit="1" customWidth="1"/>
    <col min="11797" max="11798" width="9.625" style="174" customWidth="1"/>
    <col min="11799" max="11799" width="9.25" style="174" bestFit="1" customWidth="1"/>
    <col min="11800" max="11800" width="11" style="174" bestFit="1" customWidth="1"/>
    <col min="11801" max="12033" width="9" style="174"/>
    <col min="12034" max="12034" width="4.625" style="174" bestFit="1" customWidth="1"/>
    <col min="12035" max="12035" width="7.5" style="174" bestFit="1" customWidth="1"/>
    <col min="12036" max="12036" width="6.25" style="174" customWidth="1"/>
    <col min="12037" max="12037" width="11" style="174" bestFit="1" customWidth="1"/>
    <col min="12038" max="12039" width="9.625" style="174" bestFit="1" customWidth="1"/>
    <col min="12040" max="12040" width="8.25" style="174" bestFit="1" customWidth="1"/>
    <col min="12041" max="12042" width="9.625" style="174" bestFit="1" customWidth="1"/>
    <col min="12043" max="12043" width="8.25" style="174" bestFit="1" customWidth="1"/>
    <col min="12044" max="12045" width="9.625" style="174" bestFit="1" customWidth="1"/>
    <col min="12046" max="12047" width="8.25" style="174" bestFit="1" customWidth="1"/>
    <col min="12048" max="12048" width="11" style="174" bestFit="1" customWidth="1"/>
    <col min="12049" max="12049" width="8" style="174" bestFit="1" customWidth="1"/>
    <col min="12050" max="12050" width="7.75" style="174" bestFit="1" customWidth="1"/>
    <col min="12051" max="12052" width="9.625" style="174" bestFit="1" customWidth="1"/>
    <col min="12053" max="12054" width="9.625" style="174" customWidth="1"/>
    <col min="12055" max="12055" width="9.25" style="174" bestFit="1" customWidth="1"/>
    <col min="12056" max="12056" width="11" style="174" bestFit="1" customWidth="1"/>
    <col min="12057" max="12289" width="9" style="174"/>
    <col min="12290" max="12290" width="4.625" style="174" bestFit="1" customWidth="1"/>
    <col min="12291" max="12291" width="7.5" style="174" bestFit="1" customWidth="1"/>
    <col min="12292" max="12292" width="6.25" style="174" customWidth="1"/>
    <col min="12293" max="12293" width="11" style="174" bestFit="1" customWidth="1"/>
    <col min="12294" max="12295" width="9.625" style="174" bestFit="1" customWidth="1"/>
    <col min="12296" max="12296" width="8.25" style="174" bestFit="1" customWidth="1"/>
    <col min="12297" max="12298" width="9.625" style="174" bestFit="1" customWidth="1"/>
    <col min="12299" max="12299" width="8.25" style="174" bestFit="1" customWidth="1"/>
    <col min="12300" max="12301" width="9.625" style="174" bestFit="1" customWidth="1"/>
    <col min="12302" max="12303" width="8.25" style="174" bestFit="1" customWidth="1"/>
    <col min="12304" max="12304" width="11" style="174" bestFit="1" customWidth="1"/>
    <col min="12305" max="12305" width="8" style="174" bestFit="1" customWidth="1"/>
    <col min="12306" max="12306" width="7.75" style="174" bestFit="1" customWidth="1"/>
    <col min="12307" max="12308" width="9.625" style="174" bestFit="1" customWidth="1"/>
    <col min="12309" max="12310" width="9.625" style="174" customWidth="1"/>
    <col min="12311" max="12311" width="9.25" style="174" bestFit="1" customWidth="1"/>
    <col min="12312" max="12312" width="11" style="174" bestFit="1" customWidth="1"/>
    <col min="12313" max="12545" width="9" style="174"/>
    <col min="12546" max="12546" width="4.625" style="174" bestFit="1" customWidth="1"/>
    <col min="12547" max="12547" width="7.5" style="174" bestFit="1" customWidth="1"/>
    <col min="12548" max="12548" width="6.25" style="174" customWidth="1"/>
    <col min="12549" max="12549" width="11" style="174" bestFit="1" customWidth="1"/>
    <col min="12550" max="12551" width="9.625" style="174" bestFit="1" customWidth="1"/>
    <col min="12552" max="12552" width="8.25" style="174" bestFit="1" customWidth="1"/>
    <col min="12553" max="12554" width="9.625" style="174" bestFit="1" customWidth="1"/>
    <col min="12555" max="12555" width="8.25" style="174" bestFit="1" customWidth="1"/>
    <col min="12556" max="12557" width="9.625" style="174" bestFit="1" customWidth="1"/>
    <col min="12558" max="12559" width="8.25" style="174" bestFit="1" customWidth="1"/>
    <col min="12560" max="12560" width="11" style="174" bestFit="1" customWidth="1"/>
    <col min="12561" max="12561" width="8" style="174" bestFit="1" customWidth="1"/>
    <col min="12562" max="12562" width="7.75" style="174" bestFit="1" customWidth="1"/>
    <col min="12563" max="12564" width="9.625" style="174" bestFit="1" customWidth="1"/>
    <col min="12565" max="12566" width="9.625" style="174" customWidth="1"/>
    <col min="12567" max="12567" width="9.25" style="174" bestFit="1" customWidth="1"/>
    <col min="12568" max="12568" width="11" style="174" bestFit="1" customWidth="1"/>
    <col min="12569" max="12801" width="9" style="174"/>
    <col min="12802" max="12802" width="4.625" style="174" bestFit="1" customWidth="1"/>
    <col min="12803" max="12803" width="7.5" style="174" bestFit="1" customWidth="1"/>
    <col min="12804" max="12804" width="6.25" style="174" customWidth="1"/>
    <col min="12805" max="12805" width="11" style="174" bestFit="1" customWidth="1"/>
    <col min="12806" max="12807" width="9.625" style="174" bestFit="1" customWidth="1"/>
    <col min="12808" max="12808" width="8.25" style="174" bestFit="1" customWidth="1"/>
    <col min="12809" max="12810" width="9.625" style="174" bestFit="1" customWidth="1"/>
    <col min="12811" max="12811" width="8.25" style="174" bestFit="1" customWidth="1"/>
    <col min="12812" max="12813" width="9.625" style="174" bestFit="1" customWidth="1"/>
    <col min="12814" max="12815" width="8.25" style="174" bestFit="1" customWidth="1"/>
    <col min="12816" max="12816" width="11" style="174" bestFit="1" customWidth="1"/>
    <col min="12817" max="12817" width="8" style="174" bestFit="1" customWidth="1"/>
    <col min="12818" max="12818" width="7.75" style="174" bestFit="1" customWidth="1"/>
    <col min="12819" max="12820" width="9.625" style="174" bestFit="1" customWidth="1"/>
    <col min="12821" max="12822" width="9.625" style="174" customWidth="1"/>
    <col min="12823" max="12823" width="9.25" style="174" bestFit="1" customWidth="1"/>
    <col min="12824" max="12824" width="11" style="174" bestFit="1" customWidth="1"/>
    <col min="12825" max="13057" width="9" style="174"/>
    <col min="13058" max="13058" width="4.625" style="174" bestFit="1" customWidth="1"/>
    <col min="13059" max="13059" width="7.5" style="174" bestFit="1" customWidth="1"/>
    <col min="13060" max="13060" width="6.25" style="174" customWidth="1"/>
    <col min="13061" max="13061" width="11" style="174" bestFit="1" customWidth="1"/>
    <col min="13062" max="13063" width="9.625" style="174" bestFit="1" customWidth="1"/>
    <col min="13064" max="13064" width="8.25" style="174" bestFit="1" customWidth="1"/>
    <col min="13065" max="13066" width="9.625" style="174" bestFit="1" customWidth="1"/>
    <col min="13067" max="13067" width="8.25" style="174" bestFit="1" customWidth="1"/>
    <col min="13068" max="13069" width="9.625" style="174" bestFit="1" customWidth="1"/>
    <col min="13070" max="13071" width="8.25" style="174" bestFit="1" customWidth="1"/>
    <col min="13072" max="13072" width="11" style="174" bestFit="1" customWidth="1"/>
    <col min="13073" max="13073" width="8" style="174" bestFit="1" customWidth="1"/>
    <col min="13074" max="13074" width="7.75" style="174" bestFit="1" customWidth="1"/>
    <col min="13075" max="13076" width="9.625" style="174" bestFit="1" customWidth="1"/>
    <col min="13077" max="13078" width="9.625" style="174" customWidth="1"/>
    <col min="13079" max="13079" width="9.25" style="174" bestFit="1" customWidth="1"/>
    <col min="13080" max="13080" width="11" style="174" bestFit="1" customWidth="1"/>
    <col min="13081" max="13313" width="9" style="174"/>
    <col min="13314" max="13314" width="4.625" style="174" bestFit="1" customWidth="1"/>
    <col min="13315" max="13315" width="7.5" style="174" bestFit="1" customWidth="1"/>
    <col min="13316" max="13316" width="6.25" style="174" customWidth="1"/>
    <col min="13317" max="13317" width="11" style="174" bestFit="1" customWidth="1"/>
    <col min="13318" max="13319" width="9.625" style="174" bestFit="1" customWidth="1"/>
    <col min="13320" max="13320" width="8.25" style="174" bestFit="1" customWidth="1"/>
    <col min="13321" max="13322" width="9.625" style="174" bestFit="1" customWidth="1"/>
    <col min="13323" max="13323" width="8.25" style="174" bestFit="1" customWidth="1"/>
    <col min="13324" max="13325" width="9.625" style="174" bestFit="1" customWidth="1"/>
    <col min="13326" max="13327" width="8.25" style="174" bestFit="1" customWidth="1"/>
    <col min="13328" max="13328" width="11" style="174" bestFit="1" customWidth="1"/>
    <col min="13329" max="13329" width="8" style="174" bestFit="1" customWidth="1"/>
    <col min="13330" max="13330" width="7.75" style="174" bestFit="1" customWidth="1"/>
    <col min="13331" max="13332" width="9.625" style="174" bestFit="1" customWidth="1"/>
    <col min="13333" max="13334" width="9.625" style="174" customWidth="1"/>
    <col min="13335" max="13335" width="9.25" style="174" bestFit="1" customWidth="1"/>
    <col min="13336" max="13336" width="11" style="174" bestFit="1" customWidth="1"/>
    <col min="13337" max="13569" width="9" style="174"/>
    <col min="13570" max="13570" width="4.625" style="174" bestFit="1" customWidth="1"/>
    <col min="13571" max="13571" width="7.5" style="174" bestFit="1" customWidth="1"/>
    <col min="13572" max="13572" width="6.25" style="174" customWidth="1"/>
    <col min="13573" max="13573" width="11" style="174" bestFit="1" customWidth="1"/>
    <col min="13574" max="13575" width="9.625" style="174" bestFit="1" customWidth="1"/>
    <col min="13576" max="13576" width="8.25" style="174" bestFit="1" customWidth="1"/>
    <col min="13577" max="13578" width="9.625" style="174" bestFit="1" customWidth="1"/>
    <col min="13579" max="13579" width="8.25" style="174" bestFit="1" customWidth="1"/>
    <col min="13580" max="13581" width="9.625" style="174" bestFit="1" customWidth="1"/>
    <col min="13582" max="13583" width="8.25" style="174" bestFit="1" customWidth="1"/>
    <col min="13584" max="13584" width="11" style="174" bestFit="1" customWidth="1"/>
    <col min="13585" max="13585" width="8" style="174" bestFit="1" customWidth="1"/>
    <col min="13586" max="13586" width="7.75" style="174" bestFit="1" customWidth="1"/>
    <col min="13587" max="13588" width="9.625" style="174" bestFit="1" customWidth="1"/>
    <col min="13589" max="13590" width="9.625" style="174" customWidth="1"/>
    <col min="13591" max="13591" width="9.25" style="174" bestFit="1" customWidth="1"/>
    <col min="13592" max="13592" width="11" style="174" bestFit="1" customWidth="1"/>
    <col min="13593" max="13825" width="9" style="174"/>
    <col min="13826" max="13826" width="4.625" style="174" bestFit="1" customWidth="1"/>
    <col min="13827" max="13827" width="7.5" style="174" bestFit="1" customWidth="1"/>
    <col min="13828" max="13828" width="6.25" style="174" customWidth="1"/>
    <col min="13829" max="13829" width="11" style="174" bestFit="1" customWidth="1"/>
    <col min="13830" max="13831" width="9.625" style="174" bestFit="1" customWidth="1"/>
    <col min="13832" max="13832" width="8.25" style="174" bestFit="1" customWidth="1"/>
    <col min="13833" max="13834" width="9.625" style="174" bestFit="1" customWidth="1"/>
    <col min="13835" max="13835" width="8.25" style="174" bestFit="1" customWidth="1"/>
    <col min="13836" max="13837" width="9.625" style="174" bestFit="1" customWidth="1"/>
    <col min="13838" max="13839" width="8.25" style="174" bestFit="1" customWidth="1"/>
    <col min="13840" max="13840" width="11" style="174" bestFit="1" customWidth="1"/>
    <col min="13841" max="13841" width="8" style="174" bestFit="1" customWidth="1"/>
    <col min="13842" max="13842" width="7.75" style="174" bestFit="1" customWidth="1"/>
    <col min="13843" max="13844" width="9.625" style="174" bestFit="1" customWidth="1"/>
    <col min="13845" max="13846" width="9.625" style="174" customWidth="1"/>
    <col min="13847" max="13847" width="9.25" style="174" bestFit="1" customWidth="1"/>
    <col min="13848" max="13848" width="11" style="174" bestFit="1" customWidth="1"/>
    <col min="13849" max="14081" width="9" style="174"/>
    <col min="14082" max="14082" width="4.625" style="174" bestFit="1" customWidth="1"/>
    <col min="14083" max="14083" width="7.5" style="174" bestFit="1" customWidth="1"/>
    <col min="14084" max="14084" width="6.25" style="174" customWidth="1"/>
    <col min="14085" max="14085" width="11" style="174" bestFit="1" customWidth="1"/>
    <col min="14086" max="14087" width="9.625" style="174" bestFit="1" customWidth="1"/>
    <col min="14088" max="14088" width="8.25" style="174" bestFit="1" customWidth="1"/>
    <col min="14089" max="14090" width="9.625" style="174" bestFit="1" customWidth="1"/>
    <col min="14091" max="14091" width="8.25" style="174" bestFit="1" customWidth="1"/>
    <col min="14092" max="14093" width="9.625" style="174" bestFit="1" customWidth="1"/>
    <col min="14094" max="14095" width="8.25" style="174" bestFit="1" customWidth="1"/>
    <col min="14096" max="14096" width="11" style="174" bestFit="1" customWidth="1"/>
    <col min="14097" max="14097" width="8" style="174" bestFit="1" customWidth="1"/>
    <col min="14098" max="14098" width="7.75" style="174" bestFit="1" customWidth="1"/>
    <col min="14099" max="14100" width="9.625" style="174" bestFit="1" customWidth="1"/>
    <col min="14101" max="14102" width="9.625" style="174" customWidth="1"/>
    <col min="14103" max="14103" width="9.25" style="174" bestFit="1" customWidth="1"/>
    <col min="14104" max="14104" width="11" style="174" bestFit="1" customWidth="1"/>
    <col min="14105" max="14337" width="9" style="174"/>
    <col min="14338" max="14338" width="4.625" style="174" bestFit="1" customWidth="1"/>
    <col min="14339" max="14339" width="7.5" style="174" bestFit="1" customWidth="1"/>
    <col min="14340" max="14340" width="6.25" style="174" customWidth="1"/>
    <col min="14341" max="14341" width="11" style="174" bestFit="1" customWidth="1"/>
    <col min="14342" max="14343" width="9.625" style="174" bestFit="1" customWidth="1"/>
    <col min="14344" max="14344" width="8.25" style="174" bestFit="1" customWidth="1"/>
    <col min="14345" max="14346" width="9.625" style="174" bestFit="1" customWidth="1"/>
    <col min="14347" max="14347" width="8.25" style="174" bestFit="1" customWidth="1"/>
    <col min="14348" max="14349" width="9.625" style="174" bestFit="1" customWidth="1"/>
    <col min="14350" max="14351" width="8.25" style="174" bestFit="1" customWidth="1"/>
    <col min="14352" max="14352" width="11" style="174" bestFit="1" customWidth="1"/>
    <col min="14353" max="14353" width="8" style="174" bestFit="1" customWidth="1"/>
    <col min="14354" max="14354" width="7.75" style="174" bestFit="1" customWidth="1"/>
    <col min="14355" max="14356" width="9.625" style="174" bestFit="1" customWidth="1"/>
    <col min="14357" max="14358" width="9.625" style="174" customWidth="1"/>
    <col min="14359" max="14359" width="9.25" style="174" bestFit="1" customWidth="1"/>
    <col min="14360" max="14360" width="11" style="174" bestFit="1" customWidth="1"/>
    <col min="14361" max="14593" width="9" style="174"/>
    <col min="14594" max="14594" width="4.625" style="174" bestFit="1" customWidth="1"/>
    <col min="14595" max="14595" width="7.5" style="174" bestFit="1" customWidth="1"/>
    <col min="14596" max="14596" width="6.25" style="174" customWidth="1"/>
    <col min="14597" max="14597" width="11" style="174" bestFit="1" customWidth="1"/>
    <col min="14598" max="14599" width="9.625" style="174" bestFit="1" customWidth="1"/>
    <col min="14600" max="14600" width="8.25" style="174" bestFit="1" customWidth="1"/>
    <col min="14601" max="14602" width="9.625" style="174" bestFit="1" customWidth="1"/>
    <col min="14603" max="14603" width="8.25" style="174" bestFit="1" customWidth="1"/>
    <col min="14604" max="14605" width="9.625" style="174" bestFit="1" customWidth="1"/>
    <col min="14606" max="14607" width="8.25" style="174" bestFit="1" customWidth="1"/>
    <col min="14608" max="14608" width="11" style="174" bestFit="1" customWidth="1"/>
    <col min="14609" max="14609" width="8" style="174" bestFit="1" customWidth="1"/>
    <col min="14610" max="14610" width="7.75" style="174" bestFit="1" customWidth="1"/>
    <col min="14611" max="14612" width="9.625" style="174" bestFit="1" customWidth="1"/>
    <col min="14613" max="14614" width="9.625" style="174" customWidth="1"/>
    <col min="14615" max="14615" width="9.25" style="174" bestFit="1" customWidth="1"/>
    <col min="14616" max="14616" width="11" style="174" bestFit="1" customWidth="1"/>
    <col min="14617" max="14849" width="9" style="174"/>
    <col min="14850" max="14850" width="4.625" style="174" bestFit="1" customWidth="1"/>
    <col min="14851" max="14851" width="7.5" style="174" bestFit="1" customWidth="1"/>
    <col min="14852" max="14852" width="6.25" style="174" customWidth="1"/>
    <col min="14853" max="14853" width="11" style="174" bestFit="1" customWidth="1"/>
    <col min="14854" max="14855" width="9.625" style="174" bestFit="1" customWidth="1"/>
    <col min="14856" max="14856" width="8.25" style="174" bestFit="1" customWidth="1"/>
    <col min="14857" max="14858" width="9.625" style="174" bestFit="1" customWidth="1"/>
    <col min="14859" max="14859" width="8.25" style="174" bestFit="1" customWidth="1"/>
    <col min="14860" max="14861" width="9.625" style="174" bestFit="1" customWidth="1"/>
    <col min="14862" max="14863" width="8.25" style="174" bestFit="1" customWidth="1"/>
    <col min="14864" max="14864" width="11" style="174" bestFit="1" customWidth="1"/>
    <col min="14865" max="14865" width="8" style="174" bestFit="1" customWidth="1"/>
    <col min="14866" max="14866" width="7.75" style="174" bestFit="1" customWidth="1"/>
    <col min="14867" max="14868" width="9.625" style="174" bestFit="1" customWidth="1"/>
    <col min="14869" max="14870" width="9.625" style="174" customWidth="1"/>
    <col min="14871" max="14871" width="9.25" style="174" bestFit="1" customWidth="1"/>
    <col min="14872" max="14872" width="11" style="174" bestFit="1" customWidth="1"/>
    <col min="14873" max="15105" width="9" style="174"/>
    <col min="15106" max="15106" width="4.625" style="174" bestFit="1" customWidth="1"/>
    <col min="15107" max="15107" width="7.5" style="174" bestFit="1" customWidth="1"/>
    <col min="15108" max="15108" width="6.25" style="174" customWidth="1"/>
    <col min="15109" max="15109" width="11" style="174" bestFit="1" customWidth="1"/>
    <col min="15110" max="15111" width="9.625" style="174" bestFit="1" customWidth="1"/>
    <col min="15112" max="15112" width="8.25" style="174" bestFit="1" customWidth="1"/>
    <col min="15113" max="15114" width="9.625" style="174" bestFit="1" customWidth="1"/>
    <col min="15115" max="15115" width="8.25" style="174" bestFit="1" customWidth="1"/>
    <col min="15116" max="15117" width="9.625" style="174" bestFit="1" customWidth="1"/>
    <col min="15118" max="15119" width="8.25" style="174" bestFit="1" customWidth="1"/>
    <col min="15120" max="15120" width="11" style="174" bestFit="1" customWidth="1"/>
    <col min="15121" max="15121" width="8" style="174" bestFit="1" customWidth="1"/>
    <col min="15122" max="15122" width="7.75" style="174" bestFit="1" customWidth="1"/>
    <col min="15123" max="15124" width="9.625" style="174" bestFit="1" customWidth="1"/>
    <col min="15125" max="15126" width="9.625" style="174" customWidth="1"/>
    <col min="15127" max="15127" width="9.25" style="174" bestFit="1" customWidth="1"/>
    <col min="15128" max="15128" width="11" style="174" bestFit="1" customWidth="1"/>
    <col min="15129" max="15361" width="9" style="174"/>
    <col min="15362" max="15362" width="4.625" style="174" bestFit="1" customWidth="1"/>
    <col min="15363" max="15363" width="7.5" style="174" bestFit="1" customWidth="1"/>
    <col min="15364" max="15364" width="6.25" style="174" customWidth="1"/>
    <col min="15365" max="15365" width="11" style="174" bestFit="1" customWidth="1"/>
    <col min="15366" max="15367" width="9.625" style="174" bestFit="1" customWidth="1"/>
    <col min="15368" max="15368" width="8.25" style="174" bestFit="1" customWidth="1"/>
    <col min="15369" max="15370" width="9.625" style="174" bestFit="1" customWidth="1"/>
    <col min="15371" max="15371" width="8.25" style="174" bestFit="1" customWidth="1"/>
    <col min="15372" max="15373" width="9.625" style="174" bestFit="1" customWidth="1"/>
    <col min="15374" max="15375" width="8.25" style="174" bestFit="1" customWidth="1"/>
    <col min="15376" max="15376" width="11" style="174" bestFit="1" customWidth="1"/>
    <col min="15377" max="15377" width="8" style="174" bestFit="1" customWidth="1"/>
    <col min="15378" max="15378" width="7.75" style="174" bestFit="1" customWidth="1"/>
    <col min="15379" max="15380" width="9.625" style="174" bestFit="1" customWidth="1"/>
    <col min="15381" max="15382" width="9.625" style="174" customWidth="1"/>
    <col min="15383" max="15383" width="9.25" style="174" bestFit="1" customWidth="1"/>
    <col min="15384" max="15384" width="11" style="174" bestFit="1" customWidth="1"/>
    <col min="15385" max="15617" width="9" style="174"/>
    <col min="15618" max="15618" width="4.625" style="174" bestFit="1" customWidth="1"/>
    <col min="15619" max="15619" width="7.5" style="174" bestFit="1" customWidth="1"/>
    <col min="15620" max="15620" width="6.25" style="174" customWidth="1"/>
    <col min="15621" max="15621" width="11" style="174" bestFit="1" customWidth="1"/>
    <col min="15622" max="15623" width="9.625" style="174" bestFit="1" customWidth="1"/>
    <col min="15624" max="15624" width="8.25" style="174" bestFit="1" customWidth="1"/>
    <col min="15625" max="15626" width="9.625" style="174" bestFit="1" customWidth="1"/>
    <col min="15627" max="15627" width="8.25" style="174" bestFit="1" customWidth="1"/>
    <col min="15628" max="15629" width="9.625" style="174" bestFit="1" customWidth="1"/>
    <col min="15630" max="15631" width="8.25" style="174" bestFit="1" customWidth="1"/>
    <col min="15632" max="15632" width="11" style="174" bestFit="1" customWidth="1"/>
    <col min="15633" max="15633" width="8" style="174" bestFit="1" customWidth="1"/>
    <col min="15634" max="15634" width="7.75" style="174" bestFit="1" customWidth="1"/>
    <col min="15635" max="15636" width="9.625" style="174" bestFit="1" customWidth="1"/>
    <col min="15637" max="15638" width="9.625" style="174" customWidth="1"/>
    <col min="15639" max="15639" width="9.25" style="174" bestFit="1" customWidth="1"/>
    <col min="15640" max="15640" width="11" style="174" bestFit="1" customWidth="1"/>
    <col min="15641" max="15873" width="9" style="174"/>
    <col min="15874" max="15874" width="4.625" style="174" bestFit="1" customWidth="1"/>
    <col min="15875" max="15875" width="7.5" style="174" bestFit="1" customWidth="1"/>
    <col min="15876" max="15876" width="6.25" style="174" customWidth="1"/>
    <col min="15877" max="15877" width="11" style="174" bestFit="1" customWidth="1"/>
    <col min="15878" max="15879" width="9.625" style="174" bestFit="1" customWidth="1"/>
    <col min="15880" max="15880" width="8.25" style="174" bestFit="1" customWidth="1"/>
    <col min="15881" max="15882" width="9.625" style="174" bestFit="1" customWidth="1"/>
    <col min="15883" max="15883" width="8.25" style="174" bestFit="1" customWidth="1"/>
    <col min="15884" max="15885" width="9.625" style="174" bestFit="1" customWidth="1"/>
    <col min="15886" max="15887" width="8.25" style="174" bestFit="1" customWidth="1"/>
    <col min="15888" max="15888" width="11" style="174" bestFit="1" customWidth="1"/>
    <col min="15889" max="15889" width="8" style="174" bestFit="1" customWidth="1"/>
    <col min="15890" max="15890" width="7.75" style="174" bestFit="1" customWidth="1"/>
    <col min="15891" max="15892" width="9.625" style="174" bestFit="1" customWidth="1"/>
    <col min="15893" max="15894" width="9.625" style="174" customWidth="1"/>
    <col min="15895" max="15895" width="9.25" style="174" bestFit="1" customWidth="1"/>
    <col min="15896" max="15896" width="11" style="174" bestFit="1" customWidth="1"/>
    <col min="15897" max="16129" width="9" style="174"/>
    <col min="16130" max="16130" width="4.625" style="174" bestFit="1" customWidth="1"/>
    <col min="16131" max="16131" width="7.5" style="174" bestFit="1" customWidth="1"/>
    <col min="16132" max="16132" width="6.25" style="174" customWidth="1"/>
    <col min="16133" max="16133" width="11" style="174" bestFit="1" customWidth="1"/>
    <col min="16134" max="16135" width="9.625" style="174" bestFit="1" customWidth="1"/>
    <col min="16136" max="16136" width="8.25" style="174" bestFit="1" customWidth="1"/>
    <col min="16137" max="16138" width="9.625" style="174" bestFit="1" customWidth="1"/>
    <col min="16139" max="16139" width="8.25" style="174" bestFit="1" customWidth="1"/>
    <col min="16140" max="16141" width="9.625" style="174" bestFit="1" customWidth="1"/>
    <col min="16142" max="16143" width="8.25" style="174" bestFit="1" customWidth="1"/>
    <col min="16144" max="16144" width="11" style="174" bestFit="1" customWidth="1"/>
    <col min="16145" max="16145" width="8" style="174" bestFit="1" customWidth="1"/>
    <col min="16146" max="16146" width="7.75" style="174" bestFit="1" customWidth="1"/>
    <col min="16147" max="16148" width="9.625" style="174" bestFit="1" customWidth="1"/>
    <col min="16149" max="16150" width="9.625" style="174" customWidth="1"/>
    <col min="16151" max="16151" width="9.25" style="174" bestFit="1" customWidth="1"/>
    <col min="16152" max="16152" width="11" style="174" bestFit="1" customWidth="1"/>
    <col min="16153" max="16384" width="9" style="174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320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75"/>
      <c r="V4" s="252"/>
      <c r="W4" s="252"/>
      <c r="X4" s="252"/>
    </row>
    <row r="5" spans="2:29" ht="20.25" customHeight="1" x14ac:dyDescent="0.3">
      <c r="B5" s="253" t="s">
        <v>321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76"/>
      <c r="Q5" s="69"/>
      <c r="R5" s="69"/>
      <c r="S5" s="69"/>
      <c r="T5" s="252"/>
      <c r="U5" s="175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4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5" si="2">ROUNDDOWN(Q9*10%,-1)</f>
        <v>2590</v>
      </c>
      <c r="S9" s="95"/>
      <c r="T9" s="95">
        <f t="shared" ref="T9:T25" si="3">IFERROR(ROUNDDOWN((P9-AC9)*3.43%,-1),)</f>
        <v>75460</v>
      </c>
      <c r="U9" s="96">
        <f t="shared" ref="U9:U25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130290</v>
      </c>
      <c r="X9" s="97">
        <f t="shared" ref="X9:X24" si="7">P9-W9</f>
        <v>2369710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/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130290</v>
      </c>
      <c r="X10" s="128">
        <f t="shared" si="7"/>
        <v>2369710</v>
      </c>
      <c r="Z10" s="98">
        <v>1</v>
      </c>
      <c r="AA10" s="99"/>
      <c r="AC10" s="100">
        <f t="shared" ref="AC10:AC13" si="8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8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8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8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:P20" si="9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0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:V18" si="11">IFERROR(IF(D15&lt;&gt;"대표이사",ROUNDDOWN((P15-AC15)*고용보험율,-1),0),)</f>
        <v>17600</v>
      </c>
      <c r="W15" s="124">
        <f t="shared" ref="W15:W24" si="12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25" si="13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251</v>
      </c>
      <c r="D16" s="88" t="s">
        <v>50</v>
      </c>
      <c r="E16" s="89">
        <v>2100000</v>
      </c>
      <c r="F16" s="106"/>
      <c r="G16" s="106"/>
      <c r="H16" s="106"/>
      <c r="I16" s="106"/>
      <c r="J16" s="107"/>
      <c r="K16" s="107"/>
      <c r="L16" s="107"/>
      <c r="M16" s="107"/>
      <c r="N16" s="89">
        <v>200000</v>
      </c>
      <c r="O16" s="130">
        <v>200000</v>
      </c>
      <c r="P16" s="124">
        <f t="shared" si="9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 t="shared" si="11"/>
        <v>17600</v>
      </c>
      <c r="W16" s="124">
        <f t="shared" si="12"/>
        <v>130290</v>
      </c>
      <c r="X16" s="128">
        <f t="shared" si="7"/>
        <v>2369710</v>
      </c>
      <c r="Z16" s="98">
        <v>1</v>
      </c>
      <c r="AA16" s="99"/>
      <c r="AC16" s="100">
        <f t="shared" si="13"/>
        <v>300000</v>
      </c>
    </row>
    <row r="17" spans="2:29" ht="20.100000000000001" customHeight="1" x14ac:dyDescent="0.3">
      <c r="B17" s="101">
        <v>9</v>
      </c>
      <c r="C17" s="169" t="s">
        <v>307</v>
      </c>
      <c r="D17" s="88" t="s">
        <v>50</v>
      </c>
      <c r="E17" s="89">
        <v>1050000</v>
      </c>
      <c r="F17" s="102"/>
      <c r="G17" s="102"/>
      <c r="H17" s="102"/>
      <c r="I17" s="102"/>
      <c r="J17" s="103"/>
      <c r="K17" s="103"/>
      <c r="L17" s="103"/>
      <c r="M17" s="103"/>
      <c r="N17" s="89">
        <v>100000</v>
      </c>
      <c r="O17" s="123">
        <v>100000</v>
      </c>
      <c r="P17" s="124">
        <f t="shared" si="9"/>
        <v>1250000</v>
      </c>
      <c r="Q17" s="125">
        <f t="shared" si="1"/>
        <v>0</v>
      </c>
      <c r="R17" s="126">
        <f t="shared" si="2"/>
        <v>0</v>
      </c>
      <c r="S17" s="126">
        <f t="shared" ref="S17" si="14">IFERROR(IF(AND(P17-AC17&gt;=월액최저,P17-AC17&lt;=월액최고),ROUNDDOWN((P17-AC17)*국민연금,-1),IF(P17-AC17&gt;=월액최고,최고연금,IF(AND(P17-AC17&lt;=월액최저,P17-AC17&gt;=1),최저연금,))),)</f>
        <v>47250</v>
      </c>
      <c r="T17" s="95">
        <f t="shared" si="3"/>
        <v>36010</v>
      </c>
      <c r="U17" s="96">
        <f t="shared" si="4"/>
        <v>4140</v>
      </c>
      <c r="V17" s="127">
        <f t="shared" si="11"/>
        <v>8400</v>
      </c>
      <c r="W17" s="124">
        <f t="shared" si="12"/>
        <v>95800</v>
      </c>
      <c r="X17" s="128">
        <f t="shared" si="7"/>
        <v>1154200</v>
      </c>
      <c r="Z17" s="98">
        <v>1</v>
      </c>
      <c r="AA17" s="99"/>
      <c r="AC17" s="100">
        <f t="shared" si="13"/>
        <v>200000</v>
      </c>
    </row>
    <row r="18" spans="2:29" ht="20.100000000000001" customHeight="1" x14ac:dyDescent="0.3">
      <c r="B18" s="101">
        <v>10</v>
      </c>
      <c r="C18" s="170" t="s">
        <v>289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9"/>
        <v>2500000</v>
      </c>
      <c r="Q18" s="125">
        <f t="shared" si="1"/>
        <v>25950</v>
      </c>
      <c r="R18" s="126">
        <f t="shared" si="2"/>
        <v>2590</v>
      </c>
      <c r="S18" s="126"/>
      <c r="T18" s="95">
        <f t="shared" si="3"/>
        <v>75460</v>
      </c>
      <c r="U18" s="96">
        <f t="shared" si="4"/>
        <v>8690</v>
      </c>
      <c r="V18" s="127">
        <f t="shared" si="11"/>
        <v>17600</v>
      </c>
      <c r="W18" s="124">
        <f t="shared" si="12"/>
        <v>130290</v>
      </c>
      <c r="X18" s="128">
        <f t="shared" si="7"/>
        <v>2369710</v>
      </c>
      <c r="Z18" s="98">
        <v>1</v>
      </c>
      <c r="AA18" s="99"/>
      <c r="AC18" s="100">
        <f t="shared" si="13"/>
        <v>300000</v>
      </c>
    </row>
    <row r="19" spans="2:29" ht="20.100000000000001" customHeight="1" x14ac:dyDescent="0.3">
      <c r="B19" s="101">
        <v>11</v>
      </c>
      <c r="C19" s="170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9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3"/>
        <v>300000</v>
      </c>
    </row>
    <row r="20" spans="2:29" ht="20.100000000000001" customHeight="1" x14ac:dyDescent="0.3">
      <c r="B20" s="101">
        <v>12</v>
      </c>
      <c r="C20" s="170" t="s">
        <v>311</v>
      </c>
      <c r="D20" s="88" t="s">
        <v>90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23">
        <v>200000</v>
      </c>
      <c r="P20" s="124">
        <f t="shared" si="9"/>
        <v>2500000</v>
      </c>
      <c r="Q20" s="125">
        <f t="shared" si="1"/>
        <v>25950</v>
      </c>
      <c r="R20" s="126">
        <f t="shared" si="2"/>
        <v>2590</v>
      </c>
      <c r="S20" s="126">
        <f t="shared" ref="S20:S21" si="15">IFERROR(IF(AND(P20-AC20&gt;=월액최저,P20-AC20&lt;=월액최고),ROUNDDOWN((P20-AC20)*국민연금,-1),IF(P20-AC20&gt;=월액최고,최고연금,IF(AND(P20-AC20&lt;=월액최저,P20-AC20&gt;=1),최저연금,))),)</f>
        <v>99000</v>
      </c>
      <c r="T20" s="95">
        <f t="shared" si="3"/>
        <v>75460</v>
      </c>
      <c r="U20" s="96">
        <f t="shared" si="4"/>
        <v>8690</v>
      </c>
      <c r="V20" s="127">
        <f t="shared" ref="V20:V21" si="16">IFERROR(IF(D20&lt;&gt;"대표이사",ROUNDDOWN((P20-AC20)*고용보험율,-1),0),)</f>
        <v>17600</v>
      </c>
      <c r="W20" s="124">
        <f t="shared" ref="W20:W21" si="17">SUM(Q20:V20)</f>
        <v>229290</v>
      </c>
      <c r="X20" s="128">
        <f t="shared" si="7"/>
        <v>2270710</v>
      </c>
      <c r="Z20" s="98">
        <v>1</v>
      </c>
      <c r="AA20" s="99"/>
      <c r="AC20" s="100">
        <f t="shared" si="13"/>
        <v>300000</v>
      </c>
    </row>
    <row r="21" spans="2:29" ht="20.100000000000001" customHeight="1" x14ac:dyDescent="0.3">
      <c r="B21" s="101">
        <v>13</v>
      </c>
      <c r="C21" s="169" t="s">
        <v>297</v>
      </c>
      <c r="D21" s="88" t="s">
        <v>50</v>
      </c>
      <c r="E21" s="89">
        <v>2100000</v>
      </c>
      <c r="F21" s="102"/>
      <c r="G21" s="102"/>
      <c r="H21" s="102"/>
      <c r="I21" s="102"/>
      <c r="J21" s="103"/>
      <c r="K21" s="103"/>
      <c r="L21" s="103"/>
      <c r="M21" s="103"/>
      <c r="N21" s="89">
        <v>200000</v>
      </c>
      <c r="O21" s="123">
        <v>200000</v>
      </c>
      <c r="P21" s="124">
        <f t="shared" ref="P21" si="18">SUM(E21:O21)</f>
        <v>2500000</v>
      </c>
      <c r="Q21" s="125">
        <f t="shared" si="1"/>
        <v>25950</v>
      </c>
      <c r="R21" s="126">
        <f t="shared" si="2"/>
        <v>2590</v>
      </c>
      <c r="S21" s="126">
        <f t="shared" si="15"/>
        <v>99000</v>
      </c>
      <c r="T21" s="95">
        <f t="shared" si="3"/>
        <v>75460</v>
      </c>
      <c r="U21" s="96">
        <f t="shared" si="4"/>
        <v>8690</v>
      </c>
      <c r="V21" s="127">
        <f t="shared" si="16"/>
        <v>17600</v>
      </c>
      <c r="W21" s="124">
        <f t="shared" si="17"/>
        <v>229290</v>
      </c>
      <c r="X21" s="128">
        <f t="shared" si="7"/>
        <v>2270710</v>
      </c>
      <c r="Z21" s="98">
        <v>1</v>
      </c>
      <c r="AA21" s="99"/>
      <c r="AC21" s="100">
        <f t="shared" si="13"/>
        <v>300000</v>
      </c>
    </row>
    <row r="22" spans="2:29" ht="20.100000000000001" customHeight="1" x14ac:dyDescent="0.3">
      <c r="B22" s="101">
        <v>14</v>
      </c>
      <c r="C22" s="87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2" si="19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ht="20.100000000000001" customHeight="1" x14ac:dyDescent="0.3">
      <c r="B23" s="101">
        <v>15</v>
      </c>
      <c r="C23" s="169" t="s">
        <v>302</v>
      </c>
      <c r="D23" s="88" t="s">
        <v>222</v>
      </c>
      <c r="E23" s="89">
        <v>1050000</v>
      </c>
      <c r="F23" s="106"/>
      <c r="G23" s="106"/>
      <c r="H23" s="106"/>
      <c r="I23" s="106"/>
      <c r="J23" s="107"/>
      <c r="K23" s="107"/>
      <c r="L23" s="107"/>
      <c r="M23" s="107"/>
      <c r="N23" s="89">
        <v>100000</v>
      </c>
      <c r="O23" s="130">
        <v>100000</v>
      </c>
      <c r="P23" s="124">
        <f t="shared" ref="P23:P25" si="20">SUM(E23:O23)</f>
        <v>1250000</v>
      </c>
      <c r="Q23" s="125">
        <f t="shared" ref="Q23:Q25" si="21">IFERROR(IF(P23-AC23&lt;=10000000,VLOOKUP((P23-AC23)/1000,간이세액표,IF(11&lt;Z23+AA23,13,2+Z23+AA23),TRUE),IF(P23-AC23&gt;14000000,VLOOKUP((P23-AC23)/1000,간이세액표,IF(11&lt;Z23+AA23,13,2+Z23+AA23),TRUE)+1372000+ROUNDDOWN(((P23-AC23-14000000)*98%)*38%,-1),VLOOKUP((P23-AC23)/1000,간이세액표,IF(11&lt;Z23+AA23,13,2+Z23+AA23),TRUE)+ROUNDDOWN(((P23-AC23-10000000)*98%)*35%,-1))),)</f>
        <v>0</v>
      </c>
      <c r="R23" s="126">
        <f t="shared" si="2"/>
        <v>0</v>
      </c>
      <c r="S23" s="126">
        <f t="shared" ref="S23:S25" si="22">IFERROR(IF(AND(P23-AC23&gt;=월액최저,P23-AC23&lt;=월액최고),ROUNDDOWN((P23-AC23)*국민연금,-1),IF(P23-AC23&gt;=월액최고,최고연금,IF(AND(P23-AC23&lt;=월액최저,P23-AC23&gt;=1),최저연금,))),)</f>
        <v>47250</v>
      </c>
      <c r="T23" s="95">
        <f t="shared" ref="T23" si="23">IFERROR(ROUNDDOWN((P23-AC23)*3.43%,-1),)</f>
        <v>36010</v>
      </c>
      <c r="U23" s="96">
        <f t="shared" si="4"/>
        <v>4140</v>
      </c>
      <c r="V23" s="127">
        <f t="shared" ref="V23:V25" si="24">IFERROR(IF(D23&lt;&gt;"대표이사",ROUNDDOWN((P23-AC23)*고용보험율,-1),0),)</f>
        <v>8400</v>
      </c>
      <c r="W23" s="124">
        <f t="shared" ref="W23:W25" si="25">SUM(Q23:V23)</f>
        <v>95800</v>
      </c>
      <c r="X23" s="128">
        <f t="shared" si="7"/>
        <v>1154200</v>
      </c>
      <c r="Z23" s="98">
        <v>1</v>
      </c>
      <c r="AA23" s="99"/>
      <c r="AC23" s="100">
        <f t="shared" ref="AC23" si="26">IF(N23&gt;=100000,100000,N23)+IF(O23&gt;=200000,200000,O23)</f>
        <v>200000</v>
      </c>
    </row>
    <row r="24" spans="2:29" ht="20.100000000000001" customHeight="1" x14ac:dyDescent="0.3">
      <c r="B24" s="101">
        <v>16</v>
      </c>
      <c r="C24" s="87" t="s">
        <v>318</v>
      </c>
      <c r="D24" s="88" t="s">
        <v>319</v>
      </c>
      <c r="E24" s="89">
        <v>4500000</v>
      </c>
      <c r="F24" s="106"/>
      <c r="G24" s="106"/>
      <c r="H24" s="106"/>
      <c r="I24" s="106"/>
      <c r="J24" s="107"/>
      <c r="K24" s="107"/>
      <c r="L24" s="107"/>
      <c r="M24" s="107"/>
      <c r="N24" s="89">
        <v>200000</v>
      </c>
      <c r="O24" s="130">
        <v>200000</v>
      </c>
      <c r="P24" s="124">
        <f t="shared" si="20"/>
        <v>4900000</v>
      </c>
      <c r="Q24" s="125">
        <f t="shared" si="1"/>
        <v>297810</v>
      </c>
      <c r="R24" s="126">
        <f t="shared" si="2"/>
        <v>29780</v>
      </c>
      <c r="S24" s="126">
        <f t="shared" si="22"/>
        <v>207000</v>
      </c>
      <c r="T24" s="95">
        <f t="shared" si="3"/>
        <v>157780</v>
      </c>
      <c r="U24" s="96">
        <f t="shared" si="4"/>
        <v>18170</v>
      </c>
      <c r="V24" s="127">
        <f>IFERROR(IF(D24&lt;&gt;"대표이사",ROUNDDOWN((P24-AC24)*고용보험율,-1),0),)</f>
        <v>36800</v>
      </c>
      <c r="W24" s="124">
        <f t="shared" si="12"/>
        <v>747340</v>
      </c>
      <c r="X24" s="128">
        <f t="shared" si="7"/>
        <v>4152660</v>
      </c>
      <c r="Z24" s="98">
        <v>1</v>
      </c>
      <c r="AA24" s="99"/>
      <c r="AC24" s="100">
        <f t="shared" si="13"/>
        <v>300000</v>
      </c>
    </row>
    <row r="25" spans="2:29" s="177" customFormat="1" ht="20.100000000000001" customHeight="1" x14ac:dyDescent="0.3">
      <c r="B25" s="181">
        <v>17</v>
      </c>
      <c r="C25" s="193" t="s">
        <v>330</v>
      </c>
      <c r="D25" s="182" t="s">
        <v>335</v>
      </c>
      <c r="E25" s="183">
        <v>1050000</v>
      </c>
      <c r="F25" s="184"/>
      <c r="G25" s="184"/>
      <c r="H25" s="184"/>
      <c r="I25" s="184"/>
      <c r="J25" s="185"/>
      <c r="K25" s="185"/>
      <c r="L25" s="185"/>
      <c r="M25" s="185"/>
      <c r="N25" s="183">
        <v>100000</v>
      </c>
      <c r="O25" s="186">
        <v>100000</v>
      </c>
      <c r="P25" s="187">
        <f t="shared" si="20"/>
        <v>1250000</v>
      </c>
      <c r="Q25" s="125">
        <f t="shared" si="21"/>
        <v>1055</v>
      </c>
      <c r="R25" s="126">
        <f t="shared" si="2"/>
        <v>100</v>
      </c>
      <c r="S25" s="126">
        <f t="shared" si="22"/>
        <v>47250</v>
      </c>
      <c r="T25" s="188">
        <f t="shared" si="3"/>
        <v>36010</v>
      </c>
      <c r="U25" s="189">
        <f t="shared" si="4"/>
        <v>4140</v>
      </c>
      <c r="V25" s="127">
        <f t="shared" si="24"/>
        <v>8400</v>
      </c>
      <c r="W25" s="124">
        <f t="shared" si="25"/>
        <v>96955</v>
      </c>
      <c r="X25" s="190"/>
      <c r="Z25" s="191"/>
      <c r="AA25" s="192"/>
      <c r="AC25" s="100">
        <f t="shared" si="13"/>
        <v>200000</v>
      </c>
    </row>
    <row r="26" spans="2:29" ht="20.100000000000001" customHeight="1" x14ac:dyDescent="0.3">
      <c r="B26" s="216" t="s">
        <v>93</v>
      </c>
      <c r="C26" s="217"/>
      <c r="D26" s="218"/>
      <c r="E26" s="131">
        <f>SUM(E9:E25)</f>
        <v>34950000</v>
      </c>
      <c r="F26" s="132">
        <f t="shared" ref="F26:X26" si="27">SUM(F9:F24)</f>
        <v>0</v>
      </c>
      <c r="G26" s="132">
        <f t="shared" si="27"/>
        <v>0</v>
      </c>
      <c r="H26" s="132">
        <f t="shared" si="27"/>
        <v>0</v>
      </c>
      <c r="I26" s="132">
        <f t="shared" si="27"/>
        <v>0</v>
      </c>
      <c r="J26" s="132">
        <f t="shared" si="27"/>
        <v>0</v>
      </c>
      <c r="K26" s="132">
        <f t="shared" si="27"/>
        <v>0</v>
      </c>
      <c r="L26" s="132">
        <f t="shared" si="27"/>
        <v>0</v>
      </c>
      <c r="M26" s="133">
        <f t="shared" si="27"/>
        <v>0</v>
      </c>
      <c r="N26" s="131">
        <f>SUM(N9:N25)</f>
        <v>3100000</v>
      </c>
      <c r="O26" s="134">
        <f>SUM(O9:O25)</f>
        <v>3100000</v>
      </c>
      <c r="P26" s="135">
        <f>SUM(P9:P25)</f>
        <v>41150000</v>
      </c>
      <c r="Q26" s="131">
        <f t="shared" si="27"/>
        <v>635160</v>
      </c>
      <c r="R26" s="132">
        <f t="shared" si="27"/>
        <v>63450</v>
      </c>
      <c r="S26" s="132">
        <f t="shared" si="27"/>
        <v>697500</v>
      </c>
      <c r="T26" s="132">
        <f>SUM(T9:T25)</f>
        <v>1246790</v>
      </c>
      <c r="U26" s="133">
        <f>SUM(U9:U25)</f>
        <v>143560</v>
      </c>
      <c r="V26" s="133">
        <f t="shared" si="27"/>
        <v>282400</v>
      </c>
      <c r="W26" s="135">
        <f t="shared" si="27"/>
        <v>3028710</v>
      </c>
      <c r="X26" s="136">
        <f t="shared" si="27"/>
        <v>36871290</v>
      </c>
    </row>
    <row r="27" spans="2:29" ht="20.25" customHeight="1" thickBot="1" x14ac:dyDescent="0.35">
      <c r="B27" s="219" t="s">
        <v>94</v>
      </c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</row>
    <row r="28" spans="2:29" ht="15" customHeight="1" x14ac:dyDescent="0.3">
      <c r="B28" s="118"/>
      <c r="C28" s="119" t="s">
        <v>122</v>
      </c>
      <c r="D28" s="220" t="s">
        <v>123</v>
      </c>
      <c r="E28" s="221"/>
      <c r="F28" s="220" t="s">
        <v>124</v>
      </c>
      <c r="G28" s="221"/>
      <c r="H28" s="222" t="s">
        <v>95</v>
      </c>
      <c r="I28" s="223"/>
      <c r="J28" s="223"/>
      <c r="K28" s="223"/>
      <c r="L28" s="223"/>
      <c r="M28" s="223"/>
      <c r="N28" s="223"/>
      <c r="O28" s="223"/>
      <c r="P28" s="224"/>
      <c r="Q28" s="64"/>
      <c r="R28" s="64"/>
      <c r="S28" s="64"/>
      <c r="T28" s="64"/>
      <c r="U28" s="64"/>
      <c r="V28" s="64"/>
    </row>
    <row r="29" spans="2:29" ht="15" customHeight="1" x14ac:dyDescent="0.3">
      <c r="B29" s="225" t="s">
        <v>96</v>
      </c>
      <c r="C29" s="120" t="s">
        <v>333</v>
      </c>
      <c r="D29" s="197" t="s">
        <v>192</v>
      </c>
      <c r="E29" s="198"/>
      <c r="F29" s="204" t="s">
        <v>334</v>
      </c>
      <c r="G29" s="205"/>
      <c r="H29" s="206" t="s">
        <v>336</v>
      </c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20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x14ac:dyDescent="0.3">
      <c r="B31" s="195"/>
      <c r="C31" s="147"/>
      <c r="D31" s="197"/>
      <c r="E31" s="198"/>
      <c r="F31" s="204"/>
      <c r="G31" s="205"/>
      <c r="H31" s="206"/>
      <c r="I31" s="207"/>
      <c r="J31" s="207"/>
      <c r="K31" s="207"/>
      <c r="L31" s="207"/>
      <c r="M31" s="207"/>
      <c r="N31" s="207"/>
      <c r="O31" s="207"/>
      <c r="P31" s="208"/>
      <c r="Q31" s="64"/>
      <c r="R31" s="64"/>
      <c r="S31" s="64"/>
      <c r="T31" s="64"/>
      <c r="U31" s="64"/>
      <c r="V31" s="64"/>
    </row>
    <row r="32" spans="2:29" ht="15" customHeight="1" thickBot="1" x14ac:dyDescent="0.35">
      <c r="B32" s="226"/>
      <c r="C32" s="121"/>
      <c r="D32" s="227"/>
      <c r="E32" s="228"/>
      <c r="F32" s="229"/>
      <c r="G32" s="230"/>
      <c r="H32" s="231"/>
      <c r="I32" s="232"/>
      <c r="J32" s="232"/>
      <c r="K32" s="232"/>
      <c r="L32" s="232"/>
      <c r="M32" s="232"/>
      <c r="N32" s="232"/>
      <c r="O32" s="232"/>
      <c r="P32" s="233"/>
      <c r="Q32" s="64"/>
      <c r="R32" s="64"/>
      <c r="S32" s="64"/>
      <c r="T32" s="64"/>
      <c r="U32" s="64"/>
      <c r="V32" s="64"/>
    </row>
    <row r="33" spans="2:22" ht="15" customHeight="1" thickTop="1" thickBot="1" x14ac:dyDescent="0.35">
      <c r="B33" s="195" t="s">
        <v>97</v>
      </c>
      <c r="C33" s="121" t="s">
        <v>324</v>
      </c>
      <c r="D33" s="197" t="s">
        <v>314</v>
      </c>
      <c r="E33" s="198"/>
      <c r="F33" s="199" t="s">
        <v>325</v>
      </c>
      <c r="G33" s="200"/>
      <c r="H33" s="201" t="s">
        <v>329</v>
      </c>
      <c r="I33" s="202"/>
      <c r="J33" s="202"/>
      <c r="K33" s="202"/>
      <c r="L33" s="202"/>
      <c r="M33" s="202"/>
      <c r="N33" s="202"/>
      <c r="O33" s="202"/>
      <c r="P33" s="203"/>
      <c r="Q33" s="64"/>
      <c r="R33" s="64"/>
      <c r="S33" s="64"/>
      <c r="T33" s="64"/>
      <c r="U33" s="64"/>
      <c r="V33" s="64"/>
    </row>
    <row r="34" spans="2:22" ht="15" customHeight="1" thickTop="1" x14ac:dyDescent="0.3">
      <c r="B34" s="195"/>
      <c r="C34" s="120" t="s">
        <v>326</v>
      </c>
      <c r="D34" s="197" t="s">
        <v>313</v>
      </c>
      <c r="E34" s="198"/>
      <c r="F34" s="204" t="s">
        <v>327</v>
      </c>
      <c r="G34" s="205"/>
      <c r="H34" s="206" t="s">
        <v>330</v>
      </c>
      <c r="I34" s="207"/>
      <c r="J34" s="207"/>
      <c r="K34" s="207"/>
      <c r="L34" s="207"/>
      <c r="M34" s="207"/>
      <c r="N34" s="207"/>
      <c r="O34" s="207"/>
      <c r="P34" s="208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5"/>
      <c r="C35" s="147" t="s">
        <v>331</v>
      </c>
      <c r="D35" s="257" t="s">
        <v>281</v>
      </c>
      <c r="E35" s="198"/>
      <c r="F35" s="204" t="s">
        <v>332</v>
      </c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15" customHeight="1" thickBot="1" x14ac:dyDescent="0.35">
      <c r="B36" s="196"/>
      <c r="C36" s="122"/>
      <c r="D36" s="197"/>
      <c r="E36" s="198"/>
      <c r="F36" s="204"/>
      <c r="G36" s="205"/>
      <c r="H36" s="213"/>
      <c r="I36" s="214"/>
      <c r="J36" s="214"/>
      <c r="K36" s="214"/>
      <c r="L36" s="214"/>
      <c r="M36" s="214"/>
      <c r="N36" s="214"/>
      <c r="O36" s="214"/>
      <c r="P36" s="215"/>
      <c r="Q36" s="64"/>
      <c r="R36" s="64"/>
      <c r="S36" s="64"/>
      <c r="T36" s="64"/>
      <c r="U36" s="64"/>
      <c r="V36" s="64"/>
    </row>
    <row r="37" spans="2:22" ht="20.100000000000001" customHeight="1" x14ac:dyDescent="0.3">
      <c r="Q37" s="64"/>
      <c r="R37" s="64"/>
      <c r="S37" s="64"/>
      <c r="T37" s="64"/>
      <c r="U37" s="64"/>
      <c r="V37" s="64"/>
    </row>
    <row r="38" spans="2:22" s="64" customFormat="1" ht="20.100000000000001" customHeight="1" x14ac:dyDescent="0.3">
      <c r="B38" s="174"/>
      <c r="C38" s="174"/>
      <c r="D38" s="174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74"/>
      <c r="C39" s="174"/>
      <c r="D39" s="174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74"/>
      <c r="C40" s="174"/>
      <c r="D40" s="174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74"/>
      <c r="C41" s="174"/>
      <c r="D41" s="174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74"/>
      <c r="C42" s="174"/>
      <c r="D42" s="174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74"/>
      <c r="C43" s="174"/>
      <c r="D43" s="174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74"/>
      <c r="C44" s="174"/>
      <c r="D44" s="174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74"/>
      <c r="C45" s="174"/>
      <c r="D45" s="174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74"/>
      <c r="C46" s="174"/>
      <c r="D46" s="174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74"/>
      <c r="C47" s="174"/>
      <c r="D47" s="174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74"/>
      <c r="C48" s="174"/>
      <c r="D48" s="174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74"/>
      <c r="C49" s="174"/>
      <c r="D49" s="174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74"/>
      <c r="C50" s="174"/>
      <c r="D50" s="174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74"/>
      <c r="C51" s="174"/>
      <c r="D51" s="174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74"/>
      <c r="C52" s="174"/>
      <c r="D52" s="174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74"/>
      <c r="C53" s="174"/>
      <c r="D53" s="174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74"/>
      <c r="C54" s="174"/>
      <c r="D54" s="174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74"/>
      <c r="C55" s="174"/>
      <c r="D55" s="174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74"/>
      <c r="C56" s="174"/>
      <c r="D56" s="174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74"/>
      <c r="C57" s="174"/>
      <c r="D57" s="174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74"/>
      <c r="C58" s="174"/>
      <c r="D58" s="174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74"/>
      <c r="C59" s="174"/>
      <c r="D59" s="174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74"/>
      <c r="C60" s="174"/>
      <c r="D60" s="174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74"/>
      <c r="C61" s="174"/>
      <c r="D61" s="174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74"/>
      <c r="C62" s="174"/>
      <c r="D62" s="174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74"/>
      <c r="C63" s="174"/>
      <c r="D63" s="174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74"/>
      <c r="C64" s="174"/>
      <c r="D64" s="174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74"/>
      <c r="C65" s="174"/>
      <c r="D65" s="174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74"/>
      <c r="C66" s="174"/>
      <c r="D66" s="17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74"/>
      <c r="C67" s="174"/>
      <c r="D67" s="174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74"/>
      <c r="C68" s="174"/>
      <c r="D68" s="17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74"/>
      <c r="C69" s="174"/>
      <c r="D69" s="174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74"/>
      <c r="C70" s="174"/>
      <c r="D70" s="174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74"/>
      <c r="C71" s="174"/>
      <c r="D71" s="174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74"/>
      <c r="C72" s="174"/>
      <c r="D72" s="174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74"/>
      <c r="C73" s="174"/>
      <c r="D73" s="174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74"/>
      <c r="C74" s="174"/>
      <c r="D74" s="174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74"/>
      <c r="C75" s="174"/>
      <c r="D75" s="17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74"/>
      <c r="C76" s="174"/>
      <c r="D76" s="174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74"/>
      <c r="C77" s="174"/>
      <c r="D77" s="174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74"/>
      <c r="C78" s="174"/>
      <c r="D78" s="174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74"/>
      <c r="C79" s="174"/>
      <c r="D79" s="174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74"/>
      <c r="C80" s="174"/>
      <c r="D80" s="174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74"/>
      <c r="C81" s="174"/>
      <c r="D81" s="174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74"/>
      <c r="C82" s="174"/>
      <c r="D82" s="174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74"/>
      <c r="C83" s="174"/>
      <c r="D83" s="174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74"/>
      <c r="C84" s="174"/>
      <c r="D84" s="174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74"/>
      <c r="C85" s="174"/>
      <c r="D85" s="174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74"/>
      <c r="C86" s="174"/>
      <c r="D86" s="174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74"/>
      <c r="C87" s="174"/>
      <c r="D87" s="174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74"/>
      <c r="C88" s="174"/>
      <c r="D88" s="174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74"/>
      <c r="C89" s="174"/>
      <c r="D89" s="174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74"/>
      <c r="C90" s="174"/>
      <c r="D90" s="174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74"/>
      <c r="C91" s="174"/>
      <c r="D91" s="174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74"/>
      <c r="C92" s="174"/>
      <c r="D92" s="174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74"/>
      <c r="C93" s="174"/>
      <c r="D93" s="174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74"/>
      <c r="C94" s="174"/>
      <c r="D94" s="174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74"/>
      <c r="C95" s="174"/>
      <c r="D95" s="174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74"/>
      <c r="C96" s="174"/>
      <c r="D96" s="174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74"/>
      <c r="C97" s="174"/>
      <c r="D97" s="174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74"/>
      <c r="C98" s="174"/>
      <c r="D98" s="174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74"/>
      <c r="C99" s="174"/>
      <c r="D99" s="174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74"/>
      <c r="C100" s="174"/>
      <c r="D100" s="174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74"/>
      <c r="C101" s="174"/>
      <c r="D101" s="174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74"/>
      <c r="C102" s="174"/>
      <c r="D102" s="174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74"/>
      <c r="C103" s="174"/>
      <c r="D103" s="174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74"/>
      <c r="C104" s="174"/>
      <c r="D104" s="174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74"/>
      <c r="C105" s="174"/>
      <c r="D105" s="174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74"/>
      <c r="C106" s="174"/>
      <c r="D106" s="174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74"/>
      <c r="C107" s="174"/>
      <c r="D107" s="174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74"/>
      <c r="C108" s="174"/>
      <c r="D108" s="174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74"/>
      <c r="C109" s="174"/>
      <c r="D109" s="174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74"/>
      <c r="C110" s="174"/>
      <c r="D110" s="174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74"/>
      <c r="C111" s="174"/>
      <c r="D111" s="174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74"/>
      <c r="C112" s="174"/>
      <c r="D112" s="174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74"/>
      <c r="C113" s="174"/>
      <c r="D113" s="174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74"/>
      <c r="C114" s="174"/>
      <c r="D114" s="174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74"/>
      <c r="C115" s="174"/>
      <c r="D115" s="174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74"/>
      <c r="C116" s="174"/>
      <c r="D116" s="174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74"/>
      <c r="C117" s="174"/>
      <c r="D117" s="174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74"/>
      <c r="C118" s="174"/>
      <c r="D118" s="174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74"/>
      <c r="C119" s="174"/>
      <c r="D119" s="174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74"/>
      <c r="C120" s="174"/>
      <c r="D120" s="174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74"/>
      <c r="C121" s="174"/>
      <c r="D121" s="174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74"/>
      <c r="C122" s="174"/>
      <c r="D122" s="174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74"/>
      <c r="C123" s="174"/>
      <c r="D123" s="174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74"/>
      <c r="C124" s="174"/>
      <c r="D124" s="174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74"/>
      <c r="C125" s="174"/>
      <c r="D125" s="174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74"/>
      <c r="C126" s="174"/>
      <c r="D126" s="174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74"/>
      <c r="C127" s="174"/>
      <c r="D127" s="174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74"/>
      <c r="C128" s="174"/>
      <c r="D128" s="174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74"/>
      <c r="C129" s="174"/>
      <c r="D129" s="174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74"/>
      <c r="C130" s="174"/>
      <c r="D130" s="174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74"/>
      <c r="C131" s="174"/>
      <c r="D131" s="174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74"/>
      <c r="C132" s="174"/>
      <c r="D132" s="174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74"/>
      <c r="C133" s="174"/>
      <c r="D133" s="174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74"/>
      <c r="C134" s="174"/>
      <c r="D134" s="174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74"/>
      <c r="C135" s="174"/>
      <c r="D135" s="174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74"/>
      <c r="C136" s="174"/>
      <c r="D136" s="174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74"/>
      <c r="C137" s="174"/>
      <c r="D137" s="174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74"/>
      <c r="C138" s="174"/>
      <c r="D138" s="174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74"/>
      <c r="C139" s="174"/>
      <c r="D139" s="174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74"/>
      <c r="C140" s="174"/>
      <c r="D140" s="174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74"/>
      <c r="C141" s="174"/>
      <c r="D141" s="174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74"/>
      <c r="C142" s="174"/>
      <c r="D142" s="174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74"/>
      <c r="C143" s="174"/>
      <c r="D143" s="174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74"/>
      <c r="C144" s="174"/>
      <c r="D144" s="174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74"/>
      <c r="C145" s="174"/>
      <c r="D145" s="174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74"/>
      <c r="C146" s="174"/>
      <c r="D146" s="174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74"/>
      <c r="C147" s="174"/>
      <c r="D147" s="174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74"/>
      <c r="C148" s="174"/>
      <c r="D148" s="174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74"/>
      <c r="C149" s="174"/>
      <c r="D149" s="174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74"/>
      <c r="C150" s="174"/>
      <c r="D150" s="174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74"/>
      <c r="C151" s="174"/>
      <c r="D151" s="174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74"/>
      <c r="C152" s="174"/>
      <c r="D152" s="174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74"/>
      <c r="C153" s="174"/>
      <c r="D153" s="174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74"/>
      <c r="C154" s="174"/>
      <c r="D154" s="174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74"/>
      <c r="C155" s="174"/>
      <c r="D155" s="174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74"/>
      <c r="C156" s="174"/>
      <c r="D156" s="174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74"/>
      <c r="C157" s="174"/>
      <c r="D157" s="174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74"/>
      <c r="C158" s="174"/>
      <c r="D158" s="174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74"/>
      <c r="C159" s="174"/>
      <c r="D159" s="174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74"/>
      <c r="C160" s="174"/>
      <c r="D160" s="174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74"/>
      <c r="C161" s="174"/>
      <c r="D161" s="174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74"/>
      <c r="C162" s="174"/>
      <c r="D162" s="174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74"/>
      <c r="C163" s="174"/>
      <c r="D163" s="174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74"/>
      <c r="C164" s="174"/>
      <c r="D164" s="174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74"/>
      <c r="C165" s="174"/>
      <c r="D165" s="174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74"/>
      <c r="C166" s="174"/>
      <c r="D166" s="174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74"/>
      <c r="C167" s="174"/>
      <c r="D167" s="174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74"/>
      <c r="C168" s="174"/>
      <c r="D168" s="174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74"/>
      <c r="C169" s="174"/>
      <c r="D169" s="174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74"/>
      <c r="C170" s="174"/>
      <c r="D170" s="174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74"/>
      <c r="C171" s="174"/>
      <c r="D171" s="174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74"/>
      <c r="C172" s="174"/>
      <c r="D172" s="174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74"/>
      <c r="C173" s="174"/>
      <c r="D173" s="174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74"/>
      <c r="C174" s="174"/>
      <c r="D174" s="174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74"/>
      <c r="C175" s="174"/>
      <c r="D175" s="174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74"/>
      <c r="C176" s="174"/>
      <c r="D176" s="174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74"/>
      <c r="C177" s="174"/>
      <c r="D177" s="174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74"/>
      <c r="C178" s="174"/>
      <c r="D178" s="174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74"/>
      <c r="C179" s="174"/>
      <c r="D179" s="174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74"/>
      <c r="C180" s="174"/>
      <c r="D180" s="174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74"/>
      <c r="C181" s="174"/>
      <c r="D181" s="174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74"/>
      <c r="C182" s="174"/>
      <c r="D182" s="174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74"/>
      <c r="C183" s="174"/>
      <c r="D183" s="174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74"/>
      <c r="C184" s="174"/>
      <c r="D184" s="174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74"/>
      <c r="C185" s="174"/>
      <c r="D185" s="174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74"/>
      <c r="C186" s="174"/>
      <c r="D186" s="174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74"/>
      <c r="C187" s="174"/>
      <c r="D187" s="174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74"/>
      <c r="C188" s="174"/>
      <c r="D188" s="174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74"/>
      <c r="C189" s="174"/>
      <c r="D189" s="174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74"/>
      <c r="C190" s="174"/>
      <c r="D190" s="174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74"/>
      <c r="C191" s="174"/>
      <c r="D191" s="174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74"/>
      <c r="C192" s="174"/>
      <c r="D192" s="174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74"/>
      <c r="C193" s="174"/>
      <c r="D193" s="174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74"/>
      <c r="C194" s="174"/>
      <c r="D194" s="174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74"/>
      <c r="C195" s="174"/>
      <c r="D195" s="174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74"/>
      <c r="C196" s="174"/>
      <c r="D196" s="174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74"/>
      <c r="C197" s="174"/>
      <c r="D197" s="174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74"/>
      <c r="C198" s="174"/>
      <c r="D198" s="174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74"/>
      <c r="C199" s="174"/>
      <c r="D199" s="174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74"/>
      <c r="C200" s="174"/>
      <c r="D200" s="174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74"/>
      <c r="C201" s="174"/>
      <c r="D201" s="174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74"/>
      <c r="C202" s="174"/>
      <c r="D202" s="174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74"/>
      <c r="C203" s="174"/>
      <c r="D203" s="174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74"/>
      <c r="C204" s="174"/>
      <c r="D204" s="174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74"/>
      <c r="C205" s="174"/>
      <c r="D205" s="174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74"/>
      <c r="C206" s="174"/>
      <c r="D206" s="174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74"/>
      <c r="C207" s="174"/>
      <c r="D207" s="174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74"/>
      <c r="C208" s="174"/>
      <c r="D208" s="174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74"/>
      <c r="C209" s="174"/>
      <c r="D209" s="174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74"/>
      <c r="C210" s="174"/>
      <c r="D210" s="174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74"/>
      <c r="C211" s="174"/>
      <c r="D211" s="174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74"/>
      <c r="C212" s="174"/>
      <c r="D212" s="174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74"/>
      <c r="C213" s="174"/>
      <c r="D213" s="174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74"/>
      <c r="C214" s="174"/>
      <c r="D214" s="174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74"/>
      <c r="C215" s="174"/>
      <c r="D215" s="174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74"/>
      <c r="C216" s="174"/>
      <c r="D216" s="174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74"/>
      <c r="C217" s="174"/>
      <c r="D217" s="174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74"/>
      <c r="C218" s="174"/>
      <c r="D218" s="174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74"/>
      <c r="C219" s="174"/>
      <c r="D219" s="174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74"/>
      <c r="C220" s="174"/>
      <c r="D220" s="174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74"/>
      <c r="C221" s="174"/>
      <c r="D221" s="174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74"/>
      <c r="C222" s="174"/>
      <c r="D222" s="174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74"/>
      <c r="C223" s="174"/>
      <c r="D223" s="174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74"/>
      <c r="C224" s="174"/>
      <c r="D224" s="174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74"/>
      <c r="C225" s="174"/>
      <c r="D225" s="174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74"/>
      <c r="C226" s="174"/>
      <c r="D226" s="174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74"/>
      <c r="C227" s="174"/>
      <c r="D227" s="174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74"/>
      <c r="C228" s="174"/>
      <c r="D228" s="174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74"/>
      <c r="C229" s="174"/>
      <c r="D229" s="174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74"/>
      <c r="C230" s="174"/>
      <c r="D230" s="174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74"/>
      <c r="C231" s="174"/>
      <c r="D231" s="174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74"/>
      <c r="C232" s="174"/>
      <c r="D232" s="174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74"/>
      <c r="C233" s="174"/>
      <c r="D233" s="174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74"/>
      <c r="C234" s="174"/>
      <c r="D234" s="174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74"/>
      <c r="C235" s="174"/>
      <c r="D235" s="174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74"/>
      <c r="C236" s="174"/>
      <c r="D236" s="174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74"/>
      <c r="C237" s="174"/>
      <c r="D237" s="174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74"/>
      <c r="C238" s="174"/>
      <c r="D238" s="174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74"/>
      <c r="C239" s="174"/>
      <c r="D239" s="174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74"/>
      <c r="C240" s="174"/>
      <c r="D240" s="174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74"/>
      <c r="C241" s="174"/>
      <c r="D241" s="174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74"/>
      <c r="C242" s="174"/>
      <c r="D242" s="174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74"/>
      <c r="C243" s="174"/>
      <c r="D243" s="174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74"/>
      <c r="C244" s="174"/>
      <c r="D244" s="174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74"/>
      <c r="C245" s="174"/>
      <c r="D245" s="174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74"/>
      <c r="C246" s="174"/>
      <c r="D246" s="174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74"/>
      <c r="C247" s="174"/>
      <c r="D247" s="174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74"/>
      <c r="C248" s="174"/>
      <c r="D248" s="174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74"/>
      <c r="C249" s="174"/>
      <c r="D249" s="174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74"/>
      <c r="C250" s="174"/>
      <c r="D250" s="174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74"/>
      <c r="C251" s="174"/>
      <c r="D251" s="174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74"/>
      <c r="C252" s="174"/>
      <c r="D252" s="174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74"/>
      <c r="C253" s="174"/>
      <c r="D253" s="174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74"/>
      <c r="C254" s="174"/>
      <c r="D254" s="174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74"/>
      <c r="C255" s="174"/>
      <c r="D255" s="174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74"/>
      <c r="C256" s="174"/>
      <c r="D256" s="174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74"/>
      <c r="C257" s="174"/>
      <c r="D257" s="174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74"/>
      <c r="C258" s="174"/>
      <c r="D258" s="174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74"/>
      <c r="C259" s="174"/>
      <c r="D259" s="174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74"/>
      <c r="C260" s="174"/>
      <c r="D260" s="174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74"/>
      <c r="C261" s="174"/>
      <c r="D261" s="174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74"/>
      <c r="C262" s="174"/>
      <c r="D262" s="174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74"/>
      <c r="C263" s="174"/>
      <c r="D263" s="174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74"/>
      <c r="C264" s="174"/>
      <c r="D264" s="174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74"/>
      <c r="C265" s="174"/>
      <c r="D265" s="174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74"/>
      <c r="C266" s="174"/>
      <c r="D266" s="174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74"/>
      <c r="C267" s="174"/>
      <c r="D267" s="174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74"/>
      <c r="C268" s="174"/>
      <c r="D268" s="174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74"/>
      <c r="C269" s="174"/>
      <c r="D269" s="174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74"/>
      <c r="C270" s="174"/>
      <c r="D270" s="174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74"/>
      <c r="C271" s="174"/>
      <c r="D271" s="174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74"/>
      <c r="C272" s="174"/>
      <c r="D272" s="174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74"/>
      <c r="C273" s="174"/>
      <c r="D273" s="174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74"/>
      <c r="C274" s="174"/>
      <c r="D274" s="174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74"/>
      <c r="C275" s="174"/>
      <c r="D275" s="174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74"/>
      <c r="C276" s="174"/>
      <c r="D276" s="174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74"/>
      <c r="C277" s="174"/>
      <c r="D277" s="174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74"/>
      <c r="C278" s="174"/>
      <c r="D278" s="174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74"/>
      <c r="C279" s="174"/>
      <c r="D279" s="174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74"/>
      <c r="C280" s="174"/>
      <c r="D280" s="174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74"/>
      <c r="C281" s="174"/>
      <c r="D281" s="174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74"/>
      <c r="C282" s="174"/>
      <c r="D282" s="174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74"/>
      <c r="C283" s="174"/>
      <c r="D283" s="174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  <row r="284" spans="2:15" s="64" customFormat="1" ht="20.100000000000001" customHeight="1" x14ac:dyDescent="0.3">
      <c r="B284" s="174"/>
      <c r="C284" s="174"/>
      <c r="D284" s="174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</row>
  </sheetData>
  <mergeCells count="51">
    <mergeCell ref="X4:X5"/>
    <mergeCell ref="B5:E5"/>
    <mergeCell ref="F5:G5"/>
    <mergeCell ref="B3:E4"/>
    <mergeCell ref="L3:P3"/>
    <mergeCell ref="T4:T5"/>
    <mergeCell ref="V4:V5"/>
    <mergeCell ref="W4:W5"/>
    <mergeCell ref="AC7:AC8"/>
    <mergeCell ref="B7:B8"/>
    <mergeCell ref="C7:C8"/>
    <mergeCell ref="D7:D8"/>
    <mergeCell ref="E7:M7"/>
    <mergeCell ref="N7:O7"/>
    <mergeCell ref="P7:P8"/>
    <mergeCell ref="Q7:V7"/>
    <mergeCell ref="W7:W8"/>
    <mergeCell ref="X7:X8"/>
    <mergeCell ref="Z7:Z8"/>
    <mergeCell ref="AA7:AA8"/>
    <mergeCell ref="B29:B32"/>
    <mergeCell ref="D29:E29"/>
    <mergeCell ref="F29:G29"/>
    <mergeCell ref="H29:P29"/>
    <mergeCell ref="D30:E30"/>
    <mergeCell ref="F30:G30"/>
    <mergeCell ref="H30:P30"/>
    <mergeCell ref="D31:E31"/>
    <mergeCell ref="B26:D26"/>
    <mergeCell ref="B27:X27"/>
    <mergeCell ref="D28:E28"/>
    <mergeCell ref="F28:G28"/>
    <mergeCell ref="H28:P28"/>
    <mergeCell ref="F31:G31"/>
    <mergeCell ref="H31:P31"/>
    <mergeCell ref="D36:E36"/>
    <mergeCell ref="F36:G36"/>
    <mergeCell ref="H36:P36"/>
    <mergeCell ref="D32:E32"/>
    <mergeCell ref="F32:G32"/>
    <mergeCell ref="H32:P32"/>
    <mergeCell ref="B33:B36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</mergeCells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84"/>
  <sheetViews>
    <sheetView topLeftCell="A7" workbookViewId="0">
      <selection activeCell="Q29" sqref="Q29"/>
    </sheetView>
  </sheetViews>
  <sheetFormatPr defaultRowHeight="13.5" x14ac:dyDescent="0.3"/>
  <cols>
    <col min="1" max="1" width="1.625" style="180" customWidth="1"/>
    <col min="2" max="2" width="4.625" style="180" bestFit="1" customWidth="1"/>
    <col min="3" max="3" width="7.625" style="180" bestFit="1" customWidth="1"/>
    <col min="4" max="4" width="8" style="180" bestFit="1" customWidth="1"/>
    <col min="5" max="13" width="7.625" style="63" customWidth="1"/>
    <col min="14" max="14" width="8.75" style="63" bestFit="1" customWidth="1"/>
    <col min="15" max="15" width="7.625" style="63" customWidth="1"/>
    <col min="16" max="16" width="8.625" style="64" customWidth="1"/>
    <col min="17" max="22" width="7.625" style="63" customWidth="1"/>
    <col min="23" max="23" width="7.625" style="64" customWidth="1"/>
    <col min="24" max="24" width="8.625" style="64" customWidth="1"/>
    <col min="25" max="25" width="1.25" style="180" customWidth="1"/>
    <col min="26" max="26" width="8.375" style="180" customWidth="1"/>
    <col min="27" max="27" width="7.25" style="180" customWidth="1"/>
    <col min="28" max="28" width="3.875" style="180" customWidth="1"/>
    <col min="29" max="29" width="0.5" style="180" customWidth="1"/>
    <col min="30" max="257" width="9" style="180"/>
    <col min="258" max="258" width="4.625" style="180" bestFit="1" customWidth="1"/>
    <col min="259" max="259" width="7.5" style="180" bestFit="1" customWidth="1"/>
    <col min="260" max="260" width="6.25" style="180" customWidth="1"/>
    <col min="261" max="261" width="11" style="180" bestFit="1" customWidth="1"/>
    <col min="262" max="263" width="9.625" style="180" bestFit="1" customWidth="1"/>
    <col min="264" max="264" width="8.25" style="180" bestFit="1" customWidth="1"/>
    <col min="265" max="266" width="9.625" style="180" bestFit="1" customWidth="1"/>
    <col min="267" max="267" width="8.25" style="180" bestFit="1" customWidth="1"/>
    <col min="268" max="269" width="9.625" style="180" bestFit="1" customWidth="1"/>
    <col min="270" max="271" width="8.25" style="180" bestFit="1" customWidth="1"/>
    <col min="272" max="272" width="11" style="180" bestFit="1" customWidth="1"/>
    <col min="273" max="273" width="8" style="180" bestFit="1" customWidth="1"/>
    <col min="274" max="274" width="7.75" style="180" bestFit="1" customWidth="1"/>
    <col min="275" max="276" width="9.625" style="180" bestFit="1" customWidth="1"/>
    <col min="277" max="278" width="9.625" style="180" customWidth="1"/>
    <col min="279" max="279" width="9.25" style="180" bestFit="1" customWidth="1"/>
    <col min="280" max="280" width="11" style="180" bestFit="1" customWidth="1"/>
    <col min="281" max="513" width="9" style="180"/>
    <col min="514" max="514" width="4.625" style="180" bestFit="1" customWidth="1"/>
    <col min="515" max="515" width="7.5" style="180" bestFit="1" customWidth="1"/>
    <col min="516" max="516" width="6.25" style="180" customWidth="1"/>
    <col min="517" max="517" width="11" style="180" bestFit="1" customWidth="1"/>
    <col min="518" max="519" width="9.625" style="180" bestFit="1" customWidth="1"/>
    <col min="520" max="520" width="8.25" style="180" bestFit="1" customWidth="1"/>
    <col min="521" max="522" width="9.625" style="180" bestFit="1" customWidth="1"/>
    <col min="523" max="523" width="8.25" style="180" bestFit="1" customWidth="1"/>
    <col min="524" max="525" width="9.625" style="180" bestFit="1" customWidth="1"/>
    <col min="526" max="527" width="8.25" style="180" bestFit="1" customWidth="1"/>
    <col min="528" max="528" width="11" style="180" bestFit="1" customWidth="1"/>
    <col min="529" max="529" width="8" style="180" bestFit="1" customWidth="1"/>
    <col min="530" max="530" width="7.75" style="180" bestFit="1" customWidth="1"/>
    <col min="531" max="532" width="9.625" style="180" bestFit="1" customWidth="1"/>
    <col min="533" max="534" width="9.625" style="180" customWidth="1"/>
    <col min="535" max="535" width="9.25" style="180" bestFit="1" customWidth="1"/>
    <col min="536" max="536" width="11" style="180" bestFit="1" customWidth="1"/>
    <col min="537" max="769" width="9" style="180"/>
    <col min="770" max="770" width="4.625" style="180" bestFit="1" customWidth="1"/>
    <col min="771" max="771" width="7.5" style="180" bestFit="1" customWidth="1"/>
    <col min="772" max="772" width="6.25" style="180" customWidth="1"/>
    <col min="773" max="773" width="11" style="180" bestFit="1" customWidth="1"/>
    <col min="774" max="775" width="9.625" style="180" bestFit="1" customWidth="1"/>
    <col min="776" max="776" width="8.25" style="180" bestFit="1" customWidth="1"/>
    <col min="777" max="778" width="9.625" style="180" bestFit="1" customWidth="1"/>
    <col min="779" max="779" width="8.25" style="180" bestFit="1" customWidth="1"/>
    <col min="780" max="781" width="9.625" style="180" bestFit="1" customWidth="1"/>
    <col min="782" max="783" width="8.25" style="180" bestFit="1" customWidth="1"/>
    <col min="784" max="784" width="11" style="180" bestFit="1" customWidth="1"/>
    <col min="785" max="785" width="8" style="180" bestFit="1" customWidth="1"/>
    <col min="786" max="786" width="7.75" style="180" bestFit="1" customWidth="1"/>
    <col min="787" max="788" width="9.625" style="180" bestFit="1" customWidth="1"/>
    <col min="789" max="790" width="9.625" style="180" customWidth="1"/>
    <col min="791" max="791" width="9.25" style="180" bestFit="1" customWidth="1"/>
    <col min="792" max="792" width="11" style="180" bestFit="1" customWidth="1"/>
    <col min="793" max="1025" width="9" style="180"/>
    <col min="1026" max="1026" width="4.625" style="180" bestFit="1" customWidth="1"/>
    <col min="1027" max="1027" width="7.5" style="180" bestFit="1" customWidth="1"/>
    <col min="1028" max="1028" width="6.25" style="180" customWidth="1"/>
    <col min="1029" max="1029" width="11" style="180" bestFit="1" customWidth="1"/>
    <col min="1030" max="1031" width="9.625" style="180" bestFit="1" customWidth="1"/>
    <col min="1032" max="1032" width="8.25" style="180" bestFit="1" customWidth="1"/>
    <col min="1033" max="1034" width="9.625" style="180" bestFit="1" customWidth="1"/>
    <col min="1035" max="1035" width="8.25" style="180" bestFit="1" customWidth="1"/>
    <col min="1036" max="1037" width="9.625" style="180" bestFit="1" customWidth="1"/>
    <col min="1038" max="1039" width="8.25" style="180" bestFit="1" customWidth="1"/>
    <col min="1040" max="1040" width="11" style="180" bestFit="1" customWidth="1"/>
    <col min="1041" max="1041" width="8" style="180" bestFit="1" customWidth="1"/>
    <col min="1042" max="1042" width="7.75" style="180" bestFit="1" customWidth="1"/>
    <col min="1043" max="1044" width="9.625" style="180" bestFit="1" customWidth="1"/>
    <col min="1045" max="1046" width="9.625" style="180" customWidth="1"/>
    <col min="1047" max="1047" width="9.25" style="180" bestFit="1" customWidth="1"/>
    <col min="1048" max="1048" width="11" style="180" bestFit="1" customWidth="1"/>
    <col min="1049" max="1281" width="9" style="180"/>
    <col min="1282" max="1282" width="4.625" style="180" bestFit="1" customWidth="1"/>
    <col min="1283" max="1283" width="7.5" style="180" bestFit="1" customWidth="1"/>
    <col min="1284" max="1284" width="6.25" style="180" customWidth="1"/>
    <col min="1285" max="1285" width="11" style="180" bestFit="1" customWidth="1"/>
    <col min="1286" max="1287" width="9.625" style="180" bestFit="1" customWidth="1"/>
    <col min="1288" max="1288" width="8.25" style="180" bestFit="1" customWidth="1"/>
    <col min="1289" max="1290" width="9.625" style="180" bestFit="1" customWidth="1"/>
    <col min="1291" max="1291" width="8.25" style="180" bestFit="1" customWidth="1"/>
    <col min="1292" max="1293" width="9.625" style="180" bestFit="1" customWidth="1"/>
    <col min="1294" max="1295" width="8.25" style="180" bestFit="1" customWidth="1"/>
    <col min="1296" max="1296" width="11" style="180" bestFit="1" customWidth="1"/>
    <col min="1297" max="1297" width="8" style="180" bestFit="1" customWidth="1"/>
    <col min="1298" max="1298" width="7.75" style="180" bestFit="1" customWidth="1"/>
    <col min="1299" max="1300" width="9.625" style="180" bestFit="1" customWidth="1"/>
    <col min="1301" max="1302" width="9.625" style="180" customWidth="1"/>
    <col min="1303" max="1303" width="9.25" style="180" bestFit="1" customWidth="1"/>
    <col min="1304" max="1304" width="11" style="180" bestFit="1" customWidth="1"/>
    <col min="1305" max="1537" width="9" style="180"/>
    <col min="1538" max="1538" width="4.625" style="180" bestFit="1" customWidth="1"/>
    <col min="1539" max="1539" width="7.5" style="180" bestFit="1" customWidth="1"/>
    <col min="1540" max="1540" width="6.25" style="180" customWidth="1"/>
    <col min="1541" max="1541" width="11" style="180" bestFit="1" customWidth="1"/>
    <col min="1542" max="1543" width="9.625" style="180" bestFit="1" customWidth="1"/>
    <col min="1544" max="1544" width="8.25" style="180" bestFit="1" customWidth="1"/>
    <col min="1545" max="1546" width="9.625" style="180" bestFit="1" customWidth="1"/>
    <col min="1547" max="1547" width="8.25" style="180" bestFit="1" customWidth="1"/>
    <col min="1548" max="1549" width="9.625" style="180" bestFit="1" customWidth="1"/>
    <col min="1550" max="1551" width="8.25" style="180" bestFit="1" customWidth="1"/>
    <col min="1552" max="1552" width="11" style="180" bestFit="1" customWidth="1"/>
    <col min="1553" max="1553" width="8" style="180" bestFit="1" customWidth="1"/>
    <col min="1554" max="1554" width="7.75" style="180" bestFit="1" customWidth="1"/>
    <col min="1555" max="1556" width="9.625" style="180" bestFit="1" customWidth="1"/>
    <col min="1557" max="1558" width="9.625" style="180" customWidth="1"/>
    <col min="1559" max="1559" width="9.25" style="180" bestFit="1" customWidth="1"/>
    <col min="1560" max="1560" width="11" style="180" bestFit="1" customWidth="1"/>
    <col min="1561" max="1793" width="9" style="180"/>
    <col min="1794" max="1794" width="4.625" style="180" bestFit="1" customWidth="1"/>
    <col min="1795" max="1795" width="7.5" style="180" bestFit="1" customWidth="1"/>
    <col min="1796" max="1796" width="6.25" style="180" customWidth="1"/>
    <col min="1797" max="1797" width="11" style="180" bestFit="1" customWidth="1"/>
    <col min="1798" max="1799" width="9.625" style="180" bestFit="1" customWidth="1"/>
    <col min="1800" max="1800" width="8.25" style="180" bestFit="1" customWidth="1"/>
    <col min="1801" max="1802" width="9.625" style="180" bestFit="1" customWidth="1"/>
    <col min="1803" max="1803" width="8.25" style="180" bestFit="1" customWidth="1"/>
    <col min="1804" max="1805" width="9.625" style="180" bestFit="1" customWidth="1"/>
    <col min="1806" max="1807" width="8.25" style="180" bestFit="1" customWidth="1"/>
    <col min="1808" max="1808" width="11" style="180" bestFit="1" customWidth="1"/>
    <col min="1809" max="1809" width="8" style="180" bestFit="1" customWidth="1"/>
    <col min="1810" max="1810" width="7.75" style="180" bestFit="1" customWidth="1"/>
    <col min="1811" max="1812" width="9.625" style="180" bestFit="1" customWidth="1"/>
    <col min="1813" max="1814" width="9.625" style="180" customWidth="1"/>
    <col min="1815" max="1815" width="9.25" style="180" bestFit="1" customWidth="1"/>
    <col min="1816" max="1816" width="11" style="180" bestFit="1" customWidth="1"/>
    <col min="1817" max="2049" width="9" style="180"/>
    <col min="2050" max="2050" width="4.625" style="180" bestFit="1" customWidth="1"/>
    <col min="2051" max="2051" width="7.5" style="180" bestFit="1" customWidth="1"/>
    <col min="2052" max="2052" width="6.25" style="180" customWidth="1"/>
    <col min="2053" max="2053" width="11" style="180" bestFit="1" customWidth="1"/>
    <col min="2054" max="2055" width="9.625" style="180" bestFit="1" customWidth="1"/>
    <col min="2056" max="2056" width="8.25" style="180" bestFit="1" customWidth="1"/>
    <col min="2057" max="2058" width="9.625" style="180" bestFit="1" customWidth="1"/>
    <col min="2059" max="2059" width="8.25" style="180" bestFit="1" customWidth="1"/>
    <col min="2060" max="2061" width="9.625" style="180" bestFit="1" customWidth="1"/>
    <col min="2062" max="2063" width="8.25" style="180" bestFit="1" customWidth="1"/>
    <col min="2064" max="2064" width="11" style="180" bestFit="1" customWidth="1"/>
    <col min="2065" max="2065" width="8" style="180" bestFit="1" customWidth="1"/>
    <col min="2066" max="2066" width="7.75" style="180" bestFit="1" customWidth="1"/>
    <col min="2067" max="2068" width="9.625" style="180" bestFit="1" customWidth="1"/>
    <col min="2069" max="2070" width="9.625" style="180" customWidth="1"/>
    <col min="2071" max="2071" width="9.25" style="180" bestFit="1" customWidth="1"/>
    <col min="2072" max="2072" width="11" style="180" bestFit="1" customWidth="1"/>
    <col min="2073" max="2305" width="9" style="180"/>
    <col min="2306" max="2306" width="4.625" style="180" bestFit="1" customWidth="1"/>
    <col min="2307" max="2307" width="7.5" style="180" bestFit="1" customWidth="1"/>
    <col min="2308" max="2308" width="6.25" style="180" customWidth="1"/>
    <col min="2309" max="2309" width="11" style="180" bestFit="1" customWidth="1"/>
    <col min="2310" max="2311" width="9.625" style="180" bestFit="1" customWidth="1"/>
    <col min="2312" max="2312" width="8.25" style="180" bestFit="1" customWidth="1"/>
    <col min="2313" max="2314" width="9.625" style="180" bestFit="1" customWidth="1"/>
    <col min="2315" max="2315" width="8.25" style="180" bestFit="1" customWidth="1"/>
    <col min="2316" max="2317" width="9.625" style="180" bestFit="1" customWidth="1"/>
    <col min="2318" max="2319" width="8.25" style="180" bestFit="1" customWidth="1"/>
    <col min="2320" max="2320" width="11" style="180" bestFit="1" customWidth="1"/>
    <col min="2321" max="2321" width="8" style="180" bestFit="1" customWidth="1"/>
    <col min="2322" max="2322" width="7.75" style="180" bestFit="1" customWidth="1"/>
    <col min="2323" max="2324" width="9.625" style="180" bestFit="1" customWidth="1"/>
    <col min="2325" max="2326" width="9.625" style="180" customWidth="1"/>
    <col min="2327" max="2327" width="9.25" style="180" bestFit="1" customWidth="1"/>
    <col min="2328" max="2328" width="11" style="180" bestFit="1" customWidth="1"/>
    <col min="2329" max="2561" width="9" style="180"/>
    <col min="2562" max="2562" width="4.625" style="180" bestFit="1" customWidth="1"/>
    <col min="2563" max="2563" width="7.5" style="180" bestFit="1" customWidth="1"/>
    <col min="2564" max="2564" width="6.25" style="180" customWidth="1"/>
    <col min="2565" max="2565" width="11" style="180" bestFit="1" customWidth="1"/>
    <col min="2566" max="2567" width="9.625" style="180" bestFit="1" customWidth="1"/>
    <col min="2568" max="2568" width="8.25" style="180" bestFit="1" customWidth="1"/>
    <col min="2569" max="2570" width="9.625" style="180" bestFit="1" customWidth="1"/>
    <col min="2571" max="2571" width="8.25" style="180" bestFit="1" customWidth="1"/>
    <col min="2572" max="2573" width="9.625" style="180" bestFit="1" customWidth="1"/>
    <col min="2574" max="2575" width="8.25" style="180" bestFit="1" customWidth="1"/>
    <col min="2576" max="2576" width="11" style="180" bestFit="1" customWidth="1"/>
    <col min="2577" max="2577" width="8" style="180" bestFit="1" customWidth="1"/>
    <col min="2578" max="2578" width="7.75" style="180" bestFit="1" customWidth="1"/>
    <col min="2579" max="2580" width="9.625" style="180" bestFit="1" customWidth="1"/>
    <col min="2581" max="2582" width="9.625" style="180" customWidth="1"/>
    <col min="2583" max="2583" width="9.25" style="180" bestFit="1" customWidth="1"/>
    <col min="2584" max="2584" width="11" style="180" bestFit="1" customWidth="1"/>
    <col min="2585" max="2817" width="9" style="180"/>
    <col min="2818" max="2818" width="4.625" style="180" bestFit="1" customWidth="1"/>
    <col min="2819" max="2819" width="7.5" style="180" bestFit="1" customWidth="1"/>
    <col min="2820" max="2820" width="6.25" style="180" customWidth="1"/>
    <col min="2821" max="2821" width="11" style="180" bestFit="1" customWidth="1"/>
    <col min="2822" max="2823" width="9.625" style="180" bestFit="1" customWidth="1"/>
    <col min="2824" max="2824" width="8.25" style="180" bestFit="1" customWidth="1"/>
    <col min="2825" max="2826" width="9.625" style="180" bestFit="1" customWidth="1"/>
    <col min="2827" max="2827" width="8.25" style="180" bestFit="1" customWidth="1"/>
    <col min="2828" max="2829" width="9.625" style="180" bestFit="1" customWidth="1"/>
    <col min="2830" max="2831" width="8.25" style="180" bestFit="1" customWidth="1"/>
    <col min="2832" max="2832" width="11" style="180" bestFit="1" customWidth="1"/>
    <col min="2833" max="2833" width="8" style="180" bestFit="1" customWidth="1"/>
    <col min="2834" max="2834" width="7.75" style="180" bestFit="1" customWidth="1"/>
    <col min="2835" max="2836" width="9.625" style="180" bestFit="1" customWidth="1"/>
    <col min="2837" max="2838" width="9.625" style="180" customWidth="1"/>
    <col min="2839" max="2839" width="9.25" style="180" bestFit="1" customWidth="1"/>
    <col min="2840" max="2840" width="11" style="180" bestFit="1" customWidth="1"/>
    <col min="2841" max="3073" width="9" style="180"/>
    <col min="3074" max="3074" width="4.625" style="180" bestFit="1" customWidth="1"/>
    <col min="3075" max="3075" width="7.5" style="180" bestFit="1" customWidth="1"/>
    <col min="3076" max="3076" width="6.25" style="180" customWidth="1"/>
    <col min="3077" max="3077" width="11" style="180" bestFit="1" customWidth="1"/>
    <col min="3078" max="3079" width="9.625" style="180" bestFit="1" customWidth="1"/>
    <col min="3080" max="3080" width="8.25" style="180" bestFit="1" customWidth="1"/>
    <col min="3081" max="3082" width="9.625" style="180" bestFit="1" customWidth="1"/>
    <col min="3083" max="3083" width="8.25" style="180" bestFit="1" customWidth="1"/>
    <col min="3084" max="3085" width="9.625" style="180" bestFit="1" customWidth="1"/>
    <col min="3086" max="3087" width="8.25" style="180" bestFit="1" customWidth="1"/>
    <col min="3088" max="3088" width="11" style="180" bestFit="1" customWidth="1"/>
    <col min="3089" max="3089" width="8" style="180" bestFit="1" customWidth="1"/>
    <col min="3090" max="3090" width="7.75" style="180" bestFit="1" customWidth="1"/>
    <col min="3091" max="3092" width="9.625" style="180" bestFit="1" customWidth="1"/>
    <col min="3093" max="3094" width="9.625" style="180" customWidth="1"/>
    <col min="3095" max="3095" width="9.25" style="180" bestFit="1" customWidth="1"/>
    <col min="3096" max="3096" width="11" style="180" bestFit="1" customWidth="1"/>
    <col min="3097" max="3329" width="9" style="180"/>
    <col min="3330" max="3330" width="4.625" style="180" bestFit="1" customWidth="1"/>
    <col min="3331" max="3331" width="7.5" style="180" bestFit="1" customWidth="1"/>
    <col min="3332" max="3332" width="6.25" style="180" customWidth="1"/>
    <col min="3333" max="3333" width="11" style="180" bestFit="1" customWidth="1"/>
    <col min="3334" max="3335" width="9.625" style="180" bestFit="1" customWidth="1"/>
    <col min="3336" max="3336" width="8.25" style="180" bestFit="1" customWidth="1"/>
    <col min="3337" max="3338" width="9.625" style="180" bestFit="1" customWidth="1"/>
    <col min="3339" max="3339" width="8.25" style="180" bestFit="1" customWidth="1"/>
    <col min="3340" max="3341" width="9.625" style="180" bestFit="1" customWidth="1"/>
    <col min="3342" max="3343" width="8.25" style="180" bestFit="1" customWidth="1"/>
    <col min="3344" max="3344" width="11" style="180" bestFit="1" customWidth="1"/>
    <col min="3345" max="3345" width="8" style="180" bestFit="1" customWidth="1"/>
    <col min="3346" max="3346" width="7.75" style="180" bestFit="1" customWidth="1"/>
    <col min="3347" max="3348" width="9.625" style="180" bestFit="1" customWidth="1"/>
    <col min="3349" max="3350" width="9.625" style="180" customWidth="1"/>
    <col min="3351" max="3351" width="9.25" style="180" bestFit="1" customWidth="1"/>
    <col min="3352" max="3352" width="11" style="180" bestFit="1" customWidth="1"/>
    <col min="3353" max="3585" width="9" style="180"/>
    <col min="3586" max="3586" width="4.625" style="180" bestFit="1" customWidth="1"/>
    <col min="3587" max="3587" width="7.5" style="180" bestFit="1" customWidth="1"/>
    <col min="3588" max="3588" width="6.25" style="180" customWidth="1"/>
    <col min="3589" max="3589" width="11" style="180" bestFit="1" customWidth="1"/>
    <col min="3590" max="3591" width="9.625" style="180" bestFit="1" customWidth="1"/>
    <col min="3592" max="3592" width="8.25" style="180" bestFit="1" customWidth="1"/>
    <col min="3593" max="3594" width="9.625" style="180" bestFit="1" customWidth="1"/>
    <col min="3595" max="3595" width="8.25" style="180" bestFit="1" customWidth="1"/>
    <col min="3596" max="3597" width="9.625" style="180" bestFit="1" customWidth="1"/>
    <col min="3598" max="3599" width="8.25" style="180" bestFit="1" customWidth="1"/>
    <col min="3600" max="3600" width="11" style="180" bestFit="1" customWidth="1"/>
    <col min="3601" max="3601" width="8" style="180" bestFit="1" customWidth="1"/>
    <col min="3602" max="3602" width="7.75" style="180" bestFit="1" customWidth="1"/>
    <col min="3603" max="3604" width="9.625" style="180" bestFit="1" customWidth="1"/>
    <col min="3605" max="3606" width="9.625" style="180" customWidth="1"/>
    <col min="3607" max="3607" width="9.25" style="180" bestFit="1" customWidth="1"/>
    <col min="3608" max="3608" width="11" style="180" bestFit="1" customWidth="1"/>
    <col min="3609" max="3841" width="9" style="180"/>
    <col min="3842" max="3842" width="4.625" style="180" bestFit="1" customWidth="1"/>
    <col min="3843" max="3843" width="7.5" style="180" bestFit="1" customWidth="1"/>
    <col min="3844" max="3844" width="6.25" style="180" customWidth="1"/>
    <col min="3845" max="3845" width="11" style="180" bestFit="1" customWidth="1"/>
    <col min="3846" max="3847" width="9.625" style="180" bestFit="1" customWidth="1"/>
    <col min="3848" max="3848" width="8.25" style="180" bestFit="1" customWidth="1"/>
    <col min="3849" max="3850" width="9.625" style="180" bestFit="1" customWidth="1"/>
    <col min="3851" max="3851" width="8.25" style="180" bestFit="1" customWidth="1"/>
    <col min="3852" max="3853" width="9.625" style="180" bestFit="1" customWidth="1"/>
    <col min="3854" max="3855" width="8.25" style="180" bestFit="1" customWidth="1"/>
    <col min="3856" max="3856" width="11" style="180" bestFit="1" customWidth="1"/>
    <col min="3857" max="3857" width="8" style="180" bestFit="1" customWidth="1"/>
    <col min="3858" max="3858" width="7.75" style="180" bestFit="1" customWidth="1"/>
    <col min="3859" max="3860" width="9.625" style="180" bestFit="1" customWidth="1"/>
    <col min="3861" max="3862" width="9.625" style="180" customWidth="1"/>
    <col min="3863" max="3863" width="9.25" style="180" bestFit="1" customWidth="1"/>
    <col min="3864" max="3864" width="11" style="180" bestFit="1" customWidth="1"/>
    <col min="3865" max="4097" width="9" style="180"/>
    <col min="4098" max="4098" width="4.625" style="180" bestFit="1" customWidth="1"/>
    <col min="4099" max="4099" width="7.5" style="180" bestFit="1" customWidth="1"/>
    <col min="4100" max="4100" width="6.25" style="180" customWidth="1"/>
    <col min="4101" max="4101" width="11" style="180" bestFit="1" customWidth="1"/>
    <col min="4102" max="4103" width="9.625" style="180" bestFit="1" customWidth="1"/>
    <col min="4104" max="4104" width="8.25" style="180" bestFit="1" customWidth="1"/>
    <col min="4105" max="4106" width="9.625" style="180" bestFit="1" customWidth="1"/>
    <col min="4107" max="4107" width="8.25" style="180" bestFit="1" customWidth="1"/>
    <col min="4108" max="4109" width="9.625" style="180" bestFit="1" customWidth="1"/>
    <col min="4110" max="4111" width="8.25" style="180" bestFit="1" customWidth="1"/>
    <col min="4112" max="4112" width="11" style="180" bestFit="1" customWidth="1"/>
    <col min="4113" max="4113" width="8" style="180" bestFit="1" customWidth="1"/>
    <col min="4114" max="4114" width="7.75" style="180" bestFit="1" customWidth="1"/>
    <col min="4115" max="4116" width="9.625" style="180" bestFit="1" customWidth="1"/>
    <col min="4117" max="4118" width="9.625" style="180" customWidth="1"/>
    <col min="4119" max="4119" width="9.25" style="180" bestFit="1" customWidth="1"/>
    <col min="4120" max="4120" width="11" style="180" bestFit="1" customWidth="1"/>
    <col min="4121" max="4353" width="9" style="180"/>
    <col min="4354" max="4354" width="4.625" style="180" bestFit="1" customWidth="1"/>
    <col min="4355" max="4355" width="7.5" style="180" bestFit="1" customWidth="1"/>
    <col min="4356" max="4356" width="6.25" style="180" customWidth="1"/>
    <col min="4357" max="4357" width="11" style="180" bestFit="1" customWidth="1"/>
    <col min="4358" max="4359" width="9.625" style="180" bestFit="1" customWidth="1"/>
    <col min="4360" max="4360" width="8.25" style="180" bestFit="1" customWidth="1"/>
    <col min="4361" max="4362" width="9.625" style="180" bestFit="1" customWidth="1"/>
    <col min="4363" max="4363" width="8.25" style="180" bestFit="1" customWidth="1"/>
    <col min="4364" max="4365" width="9.625" style="180" bestFit="1" customWidth="1"/>
    <col min="4366" max="4367" width="8.25" style="180" bestFit="1" customWidth="1"/>
    <col min="4368" max="4368" width="11" style="180" bestFit="1" customWidth="1"/>
    <col min="4369" max="4369" width="8" style="180" bestFit="1" customWidth="1"/>
    <col min="4370" max="4370" width="7.75" style="180" bestFit="1" customWidth="1"/>
    <col min="4371" max="4372" width="9.625" style="180" bestFit="1" customWidth="1"/>
    <col min="4373" max="4374" width="9.625" style="180" customWidth="1"/>
    <col min="4375" max="4375" width="9.25" style="180" bestFit="1" customWidth="1"/>
    <col min="4376" max="4376" width="11" style="180" bestFit="1" customWidth="1"/>
    <col min="4377" max="4609" width="9" style="180"/>
    <col min="4610" max="4610" width="4.625" style="180" bestFit="1" customWidth="1"/>
    <col min="4611" max="4611" width="7.5" style="180" bestFit="1" customWidth="1"/>
    <col min="4612" max="4612" width="6.25" style="180" customWidth="1"/>
    <col min="4613" max="4613" width="11" style="180" bestFit="1" customWidth="1"/>
    <col min="4614" max="4615" width="9.625" style="180" bestFit="1" customWidth="1"/>
    <col min="4616" max="4616" width="8.25" style="180" bestFit="1" customWidth="1"/>
    <col min="4617" max="4618" width="9.625" style="180" bestFit="1" customWidth="1"/>
    <col min="4619" max="4619" width="8.25" style="180" bestFit="1" customWidth="1"/>
    <col min="4620" max="4621" width="9.625" style="180" bestFit="1" customWidth="1"/>
    <col min="4622" max="4623" width="8.25" style="180" bestFit="1" customWidth="1"/>
    <col min="4624" max="4624" width="11" style="180" bestFit="1" customWidth="1"/>
    <col min="4625" max="4625" width="8" style="180" bestFit="1" customWidth="1"/>
    <col min="4626" max="4626" width="7.75" style="180" bestFit="1" customWidth="1"/>
    <col min="4627" max="4628" width="9.625" style="180" bestFit="1" customWidth="1"/>
    <col min="4629" max="4630" width="9.625" style="180" customWidth="1"/>
    <col min="4631" max="4631" width="9.25" style="180" bestFit="1" customWidth="1"/>
    <col min="4632" max="4632" width="11" style="180" bestFit="1" customWidth="1"/>
    <col min="4633" max="4865" width="9" style="180"/>
    <col min="4866" max="4866" width="4.625" style="180" bestFit="1" customWidth="1"/>
    <col min="4867" max="4867" width="7.5" style="180" bestFit="1" customWidth="1"/>
    <col min="4868" max="4868" width="6.25" style="180" customWidth="1"/>
    <col min="4869" max="4869" width="11" style="180" bestFit="1" customWidth="1"/>
    <col min="4870" max="4871" width="9.625" style="180" bestFit="1" customWidth="1"/>
    <col min="4872" max="4872" width="8.25" style="180" bestFit="1" customWidth="1"/>
    <col min="4873" max="4874" width="9.625" style="180" bestFit="1" customWidth="1"/>
    <col min="4875" max="4875" width="8.25" style="180" bestFit="1" customWidth="1"/>
    <col min="4876" max="4877" width="9.625" style="180" bestFit="1" customWidth="1"/>
    <col min="4878" max="4879" width="8.25" style="180" bestFit="1" customWidth="1"/>
    <col min="4880" max="4880" width="11" style="180" bestFit="1" customWidth="1"/>
    <col min="4881" max="4881" width="8" style="180" bestFit="1" customWidth="1"/>
    <col min="4882" max="4882" width="7.75" style="180" bestFit="1" customWidth="1"/>
    <col min="4883" max="4884" width="9.625" style="180" bestFit="1" customWidth="1"/>
    <col min="4885" max="4886" width="9.625" style="180" customWidth="1"/>
    <col min="4887" max="4887" width="9.25" style="180" bestFit="1" customWidth="1"/>
    <col min="4888" max="4888" width="11" style="180" bestFit="1" customWidth="1"/>
    <col min="4889" max="5121" width="9" style="180"/>
    <col min="5122" max="5122" width="4.625" style="180" bestFit="1" customWidth="1"/>
    <col min="5123" max="5123" width="7.5" style="180" bestFit="1" customWidth="1"/>
    <col min="5124" max="5124" width="6.25" style="180" customWidth="1"/>
    <col min="5125" max="5125" width="11" style="180" bestFit="1" customWidth="1"/>
    <col min="5126" max="5127" width="9.625" style="180" bestFit="1" customWidth="1"/>
    <col min="5128" max="5128" width="8.25" style="180" bestFit="1" customWidth="1"/>
    <col min="5129" max="5130" width="9.625" style="180" bestFit="1" customWidth="1"/>
    <col min="5131" max="5131" width="8.25" style="180" bestFit="1" customWidth="1"/>
    <col min="5132" max="5133" width="9.625" style="180" bestFit="1" customWidth="1"/>
    <col min="5134" max="5135" width="8.25" style="180" bestFit="1" customWidth="1"/>
    <col min="5136" max="5136" width="11" style="180" bestFit="1" customWidth="1"/>
    <col min="5137" max="5137" width="8" style="180" bestFit="1" customWidth="1"/>
    <col min="5138" max="5138" width="7.75" style="180" bestFit="1" customWidth="1"/>
    <col min="5139" max="5140" width="9.625" style="180" bestFit="1" customWidth="1"/>
    <col min="5141" max="5142" width="9.625" style="180" customWidth="1"/>
    <col min="5143" max="5143" width="9.25" style="180" bestFit="1" customWidth="1"/>
    <col min="5144" max="5144" width="11" style="180" bestFit="1" customWidth="1"/>
    <col min="5145" max="5377" width="9" style="180"/>
    <col min="5378" max="5378" width="4.625" style="180" bestFit="1" customWidth="1"/>
    <col min="5379" max="5379" width="7.5" style="180" bestFit="1" customWidth="1"/>
    <col min="5380" max="5380" width="6.25" style="180" customWidth="1"/>
    <col min="5381" max="5381" width="11" style="180" bestFit="1" customWidth="1"/>
    <col min="5382" max="5383" width="9.625" style="180" bestFit="1" customWidth="1"/>
    <col min="5384" max="5384" width="8.25" style="180" bestFit="1" customWidth="1"/>
    <col min="5385" max="5386" width="9.625" style="180" bestFit="1" customWidth="1"/>
    <col min="5387" max="5387" width="8.25" style="180" bestFit="1" customWidth="1"/>
    <col min="5388" max="5389" width="9.625" style="180" bestFit="1" customWidth="1"/>
    <col min="5390" max="5391" width="8.25" style="180" bestFit="1" customWidth="1"/>
    <col min="5392" max="5392" width="11" style="180" bestFit="1" customWidth="1"/>
    <col min="5393" max="5393" width="8" style="180" bestFit="1" customWidth="1"/>
    <col min="5394" max="5394" width="7.75" style="180" bestFit="1" customWidth="1"/>
    <col min="5395" max="5396" width="9.625" style="180" bestFit="1" customWidth="1"/>
    <col min="5397" max="5398" width="9.625" style="180" customWidth="1"/>
    <col min="5399" max="5399" width="9.25" style="180" bestFit="1" customWidth="1"/>
    <col min="5400" max="5400" width="11" style="180" bestFit="1" customWidth="1"/>
    <col min="5401" max="5633" width="9" style="180"/>
    <col min="5634" max="5634" width="4.625" style="180" bestFit="1" customWidth="1"/>
    <col min="5635" max="5635" width="7.5" style="180" bestFit="1" customWidth="1"/>
    <col min="5636" max="5636" width="6.25" style="180" customWidth="1"/>
    <col min="5637" max="5637" width="11" style="180" bestFit="1" customWidth="1"/>
    <col min="5638" max="5639" width="9.625" style="180" bestFit="1" customWidth="1"/>
    <col min="5640" max="5640" width="8.25" style="180" bestFit="1" customWidth="1"/>
    <col min="5641" max="5642" width="9.625" style="180" bestFit="1" customWidth="1"/>
    <col min="5643" max="5643" width="8.25" style="180" bestFit="1" customWidth="1"/>
    <col min="5644" max="5645" width="9.625" style="180" bestFit="1" customWidth="1"/>
    <col min="5646" max="5647" width="8.25" style="180" bestFit="1" customWidth="1"/>
    <col min="5648" max="5648" width="11" style="180" bestFit="1" customWidth="1"/>
    <col min="5649" max="5649" width="8" style="180" bestFit="1" customWidth="1"/>
    <col min="5650" max="5650" width="7.75" style="180" bestFit="1" customWidth="1"/>
    <col min="5651" max="5652" width="9.625" style="180" bestFit="1" customWidth="1"/>
    <col min="5653" max="5654" width="9.625" style="180" customWidth="1"/>
    <col min="5655" max="5655" width="9.25" style="180" bestFit="1" customWidth="1"/>
    <col min="5656" max="5656" width="11" style="180" bestFit="1" customWidth="1"/>
    <col min="5657" max="5889" width="9" style="180"/>
    <col min="5890" max="5890" width="4.625" style="180" bestFit="1" customWidth="1"/>
    <col min="5891" max="5891" width="7.5" style="180" bestFit="1" customWidth="1"/>
    <col min="5892" max="5892" width="6.25" style="180" customWidth="1"/>
    <col min="5893" max="5893" width="11" style="180" bestFit="1" customWidth="1"/>
    <col min="5894" max="5895" width="9.625" style="180" bestFit="1" customWidth="1"/>
    <col min="5896" max="5896" width="8.25" style="180" bestFit="1" customWidth="1"/>
    <col min="5897" max="5898" width="9.625" style="180" bestFit="1" customWidth="1"/>
    <col min="5899" max="5899" width="8.25" style="180" bestFit="1" customWidth="1"/>
    <col min="5900" max="5901" width="9.625" style="180" bestFit="1" customWidth="1"/>
    <col min="5902" max="5903" width="8.25" style="180" bestFit="1" customWidth="1"/>
    <col min="5904" max="5904" width="11" style="180" bestFit="1" customWidth="1"/>
    <col min="5905" max="5905" width="8" style="180" bestFit="1" customWidth="1"/>
    <col min="5906" max="5906" width="7.75" style="180" bestFit="1" customWidth="1"/>
    <col min="5907" max="5908" width="9.625" style="180" bestFit="1" customWidth="1"/>
    <col min="5909" max="5910" width="9.625" style="180" customWidth="1"/>
    <col min="5911" max="5911" width="9.25" style="180" bestFit="1" customWidth="1"/>
    <col min="5912" max="5912" width="11" style="180" bestFit="1" customWidth="1"/>
    <col min="5913" max="6145" width="9" style="180"/>
    <col min="6146" max="6146" width="4.625" style="180" bestFit="1" customWidth="1"/>
    <col min="6147" max="6147" width="7.5" style="180" bestFit="1" customWidth="1"/>
    <col min="6148" max="6148" width="6.25" style="180" customWidth="1"/>
    <col min="6149" max="6149" width="11" style="180" bestFit="1" customWidth="1"/>
    <col min="6150" max="6151" width="9.625" style="180" bestFit="1" customWidth="1"/>
    <col min="6152" max="6152" width="8.25" style="180" bestFit="1" customWidth="1"/>
    <col min="6153" max="6154" width="9.625" style="180" bestFit="1" customWidth="1"/>
    <col min="6155" max="6155" width="8.25" style="180" bestFit="1" customWidth="1"/>
    <col min="6156" max="6157" width="9.625" style="180" bestFit="1" customWidth="1"/>
    <col min="6158" max="6159" width="8.25" style="180" bestFit="1" customWidth="1"/>
    <col min="6160" max="6160" width="11" style="180" bestFit="1" customWidth="1"/>
    <col min="6161" max="6161" width="8" style="180" bestFit="1" customWidth="1"/>
    <col min="6162" max="6162" width="7.75" style="180" bestFit="1" customWidth="1"/>
    <col min="6163" max="6164" width="9.625" style="180" bestFit="1" customWidth="1"/>
    <col min="6165" max="6166" width="9.625" style="180" customWidth="1"/>
    <col min="6167" max="6167" width="9.25" style="180" bestFit="1" customWidth="1"/>
    <col min="6168" max="6168" width="11" style="180" bestFit="1" customWidth="1"/>
    <col min="6169" max="6401" width="9" style="180"/>
    <col min="6402" max="6402" width="4.625" style="180" bestFit="1" customWidth="1"/>
    <col min="6403" max="6403" width="7.5" style="180" bestFit="1" customWidth="1"/>
    <col min="6404" max="6404" width="6.25" style="180" customWidth="1"/>
    <col min="6405" max="6405" width="11" style="180" bestFit="1" customWidth="1"/>
    <col min="6406" max="6407" width="9.625" style="180" bestFit="1" customWidth="1"/>
    <col min="6408" max="6408" width="8.25" style="180" bestFit="1" customWidth="1"/>
    <col min="6409" max="6410" width="9.625" style="180" bestFit="1" customWidth="1"/>
    <col min="6411" max="6411" width="8.25" style="180" bestFit="1" customWidth="1"/>
    <col min="6412" max="6413" width="9.625" style="180" bestFit="1" customWidth="1"/>
    <col min="6414" max="6415" width="8.25" style="180" bestFit="1" customWidth="1"/>
    <col min="6416" max="6416" width="11" style="180" bestFit="1" customWidth="1"/>
    <col min="6417" max="6417" width="8" style="180" bestFit="1" customWidth="1"/>
    <col min="6418" max="6418" width="7.75" style="180" bestFit="1" customWidth="1"/>
    <col min="6419" max="6420" width="9.625" style="180" bestFit="1" customWidth="1"/>
    <col min="6421" max="6422" width="9.625" style="180" customWidth="1"/>
    <col min="6423" max="6423" width="9.25" style="180" bestFit="1" customWidth="1"/>
    <col min="6424" max="6424" width="11" style="180" bestFit="1" customWidth="1"/>
    <col min="6425" max="6657" width="9" style="180"/>
    <col min="6658" max="6658" width="4.625" style="180" bestFit="1" customWidth="1"/>
    <col min="6659" max="6659" width="7.5" style="180" bestFit="1" customWidth="1"/>
    <col min="6660" max="6660" width="6.25" style="180" customWidth="1"/>
    <col min="6661" max="6661" width="11" style="180" bestFit="1" customWidth="1"/>
    <col min="6662" max="6663" width="9.625" style="180" bestFit="1" customWidth="1"/>
    <col min="6664" max="6664" width="8.25" style="180" bestFit="1" customWidth="1"/>
    <col min="6665" max="6666" width="9.625" style="180" bestFit="1" customWidth="1"/>
    <col min="6667" max="6667" width="8.25" style="180" bestFit="1" customWidth="1"/>
    <col min="6668" max="6669" width="9.625" style="180" bestFit="1" customWidth="1"/>
    <col min="6670" max="6671" width="8.25" style="180" bestFit="1" customWidth="1"/>
    <col min="6672" max="6672" width="11" style="180" bestFit="1" customWidth="1"/>
    <col min="6673" max="6673" width="8" style="180" bestFit="1" customWidth="1"/>
    <col min="6674" max="6674" width="7.75" style="180" bestFit="1" customWidth="1"/>
    <col min="6675" max="6676" width="9.625" style="180" bestFit="1" customWidth="1"/>
    <col min="6677" max="6678" width="9.625" style="180" customWidth="1"/>
    <col min="6679" max="6679" width="9.25" style="180" bestFit="1" customWidth="1"/>
    <col min="6680" max="6680" width="11" style="180" bestFit="1" customWidth="1"/>
    <col min="6681" max="6913" width="9" style="180"/>
    <col min="6914" max="6914" width="4.625" style="180" bestFit="1" customWidth="1"/>
    <col min="6915" max="6915" width="7.5" style="180" bestFit="1" customWidth="1"/>
    <col min="6916" max="6916" width="6.25" style="180" customWidth="1"/>
    <col min="6917" max="6917" width="11" style="180" bestFit="1" customWidth="1"/>
    <col min="6918" max="6919" width="9.625" style="180" bestFit="1" customWidth="1"/>
    <col min="6920" max="6920" width="8.25" style="180" bestFit="1" customWidth="1"/>
    <col min="6921" max="6922" width="9.625" style="180" bestFit="1" customWidth="1"/>
    <col min="6923" max="6923" width="8.25" style="180" bestFit="1" customWidth="1"/>
    <col min="6924" max="6925" width="9.625" style="180" bestFit="1" customWidth="1"/>
    <col min="6926" max="6927" width="8.25" style="180" bestFit="1" customWidth="1"/>
    <col min="6928" max="6928" width="11" style="180" bestFit="1" customWidth="1"/>
    <col min="6929" max="6929" width="8" style="180" bestFit="1" customWidth="1"/>
    <col min="6930" max="6930" width="7.75" style="180" bestFit="1" customWidth="1"/>
    <col min="6931" max="6932" width="9.625" style="180" bestFit="1" customWidth="1"/>
    <col min="6933" max="6934" width="9.625" style="180" customWidth="1"/>
    <col min="6935" max="6935" width="9.25" style="180" bestFit="1" customWidth="1"/>
    <col min="6936" max="6936" width="11" style="180" bestFit="1" customWidth="1"/>
    <col min="6937" max="7169" width="9" style="180"/>
    <col min="7170" max="7170" width="4.625" style="180" bestFit="1" customWidth="1"/>
    <col min="7171" max="7171" width="7.5" style="180" bestFit="1" customWidth="1"/>
    <col min="7172" max="7172" width="6.25" style="180" customWidth="1"/>
    <col min="7173" max="7173" width="11" style="180" bestFit="1" customWidth="1"/>
    <col min="7174" max="7175" width="9.625" style="180" bestFit="1" customWidth="1"/>
    <col min="7176" max="7176" width="8.25" style="180" bestFit="1" customWidth="1"/>
    <col min="7177" max="7178" width="9.625" style="180" bestFit="1" customWidth="1"/>
    <col min="7179" max="7179" width="8.25" style="180" bestFit="1" customWidth="1"/>
    <col min="7180" max="7181" width="9.625" style="180" bestFit="1" customWidth="1"/>
    <col min="7182" max="7183" width="8.25" style="180" bestFit="1" customWidth="1"/>
    <col min="7184" max="7184" width="11" style="180" bestFit="1" customWidth="1"/>
    <col min="7185" max="7185" width="8" style="180" bestFit="1" customWidth="1"/>
    <col min="7186" max="7186" width="7.75" style="180" bestFit="1" customWidth="1"/>
    <col min="7187" max="7188" width="9.625" style="180" bestFit="1" customWidth="1"/>
    <col min="7189" max="7190" width="9.625" style="180" customWidth="1"/>
    <col min="7191" max="7191" width="9.25" style="180" bestFit="1" customWidth="1"/>
    <col min="7192" max="7192" width="11" style="180" bestFit="1" customWidth="1"/>
    <col min="7193" max="7425" width="9" style="180"/>
    <col min="7426" max="7426" width="4.625" style="180" bestFit="1" customWidth="1"/>
    <col min="7427" max="7427" width="7.5" style="180" bestFit="1" customWidth="1"/>
    <col min="7428" max="7428" width="6.25" style="180" customWidth="1"/>
    <col min="7429" max="7429" width="11" style="180" bestFit="1" customWidth="1"/>
    <col min="7430" max="7431" width="9.625" style="180" bestFit="1" customWidth="1"/>
    <col min="7432" max="7432" width="8.25" style="180" bestFit="1" customWidth="1"/>
    <col min="7433" max="7434" width="9.625" style="180" bestFit="1" customWidth="1"/>
    <col min="7435" max="7435" width="8.25" style="180" bestFit="1" customWidth="1"/>
    <col min="7436" max="7437" width="9.625" style="180" bestFit="1" customWidth="1"/>
    <col min="7438" max="7439" width="8.25" style="180" bestFit="1" customWidth="1"/>
    <col min="7440" max="7440" width="11" style="180" bestFit="1" customWidth="1"/>
    <col min="7441" max="7441" width="8" style="180" bestFit="1" customWidth="1"/>
    <col min="7442" max="7442" width="7.75" style="180" bestFit="1" customWidth="1"/>
    <col min="7443" max="7444" width="9.625" style="180" bestFit="1" customWidth="1"/>
    <col min="7445" max="7446" width="9.625" style="180" customWidth="1"/>
    <col min="7447" max="7447" width="9.25" style="180" bestFit="1" customWidth="1"/>
    <col min="7448" max="7448" width="11" style="180" bestFit="1" customWidth="1"/>
    <col min="7449" max="7681" width="9" style="180"/>
    <col min="7682" max="7682" width="4.625" style="180" bestFit="1" customWidth="1"/>
    <col min="7683" max="7683" width="7.5" style="180" bestFit="1" customWidth="1"/>
    <col min="7684" max="7684" width="6.25" style="180" customWidth="1"/>
    <col min="7685" max="7685" width="11" style="180" bestFit="1" customWidth="1"/>
    <col min="7686" max="7687" width="9.625" style="180" bestFit="1" customWidth="1"/>
    <col min="7688" max="7688" width="8.25" style="180" bestFit="1" customWidth="1"/>
    <col min="7689" max="7690" width="9.625" style="180" bestFit="1" customWidth="1"/>
    <col min="7691" max="7691" width="8.25" style="180" bestFit="1" customWidth="1"/>
    <col min="7692" max="7693" width="9.625" style="180" bestFit="1" customWidth="1"/>
    <col min="7694" max="7695" width="8.25" style="180" bestFit="1" customWidth="1"/>
    <col min="7696" max="7696" width="11" style="180" bestFit="1" customWidth="1"/>
    <col min="7697" max="7697" width="8" style="180" bestFit="1" customWidth="1"/>
    <col min="7698" max="7698" width="7.75" style="180" bestFit="1" customWidth="1"/>
    <col min="7699" max="7700" width="9.625" style="180" bestFit="1" customWidth="1"/>
    <col min="7701" max="7702" width="9.625" style="180" customWidth="1"/>
    <col min="7703" max="7703" width="9.25" style="180" bestFit="1" customWidth="1"/>
    <col min="7704" max="7704" width="11" style="180" bestFit="1" customWidth="1"/>
    <col min="7705" max="7937" width="9" style="180"/>
    <col min="7938" max="7938" width="4.625" style="180" bestFit="1" customWidth="1"/>
    <col min="7939" max="7939" width="7.5" style="180" bestFit="1" customWidth="1"/>
    <col min="7940" max="7940" width="6.25" style="180" customWidth="1"/>
    <col min="7941" max="7941" width="11" style="180" bestFit="1" customWidth="1"/>
    <col min="7942" max="7943" width="9.625" style="180" bestFit="1" customWidth="1"/>
    <col min="7944" max="7944" width="8.25" style="180" bestFit="1" customWidth="1"/>
    <col min="7945" max="7946" width="9.625" style="180" bestFit="1" customWidth="1"/>
    <col min="7947" max="7947" width="8.25" style="180" bestFit="1" customWidth="1"/>
    <col min="7948" max="7949" width="9.625" style="180" bestFit="1" customWidth="1"/>
    <col min="7950" max="7951" width="8.25" style="180" bestFit="1" customWidth="1"/>
    <col min="7952" max="7952" width="11" style="180" bestFit="1" customWidth="1"/>
    <col min="7953" max="7953" width="8" style="180" bestFit="1" customWidth="1"/>
    <col min="7954" max="7954" width="7.75" style="180" bestFit="1" customWidth="1"/>
    <col min="7955" max="7956" width="9.625" style="180" bestFit="1" customWidth="1"/>
    <col min="7957" max="7958" width="9.625" style="180" customWidth="1"/>
    <col min="7959" max="7959" width="9.25" style="180" bestFit="1" customWidth="1"/>
    <col min="7960" max="7960" width="11" style="180" bestFit="1" customWidth="1"/>
    <col min="7961" max="8193" width="9" style="180"/>
    <col min="8194" max="8194" width="4.625" style="180" bestFit="1" customWidth="1"/>
    <col min="8195" max="8195" width="7.5" style="180" bestFit="1" customWidth="1"/>
    <col min="8196" max="8196" width="6.25" style="180" customWidth="1"/>
    <col min="8197" max="8197" width="11" style="180" bestFit="1" customWidth="1"/>
    <col min="8198" max="8199" width="9.625" style="180" bestFit="1" customWidth="1"/>
    <col min="8200" max="8200" width="8.25" style="180" bestFit="1" customWidth="1"/>
    <col min="8201" max="8202" width="9.625" style="180" bestFit="1" customWidth="1"/>
    <col min="8203" max="8203" width="8.25" style="180" bestFit="1" customWidth="1"/>
    <col min="8204" max="8205" width="9.625" style="180" bestFit="1" customWidth="1"/>
    <col min="8206" max="8207" width="8.25" style="180" bestFit="1" customWidth="1"/>
    <col min="8208" max="8208" width="11" style="180" bestFit="1" customWidth="1"/>
    <col min="8209" max="8209" width="8" style="180" bestFit="1" customWidth="1"/>
    <col min="8210" max="8210" width="7.75" style="180" bestFit="1" customWidth="1"/>
    <col min="8211" max="8212" width="9.625" style="180" bestFit="1" customWidth="1"/>
    <col min="8213" max="8214" width="9.625" style="180" customWidth="1"/>
    <col min="8215" max="8215" width="9.25" style="180" bestFit="1" customWidth="1"/>
    <col min="8216" max="8216" width="11" style="180" bestFit="1" customWidth="1"/>
    <col min="8217" max="8449" width="9" style="180"/>
    <col min="8450" max="8450" width="4.625" style="180" bestFit="1" customWidth="1"/>
    <col min="8451" max="8451" width="7.5" style="180" bestFit="1" customWidth="1"/>
    <col min="8452" max="8452" width="6.25" style="180" customWidth="1"/>
    <col min="8453" max="8453" width="11" style="180" bestFit="1" customWidth="1"/>
    <col min="8454" max="8455" width="9.625" style="180" bestFit="1" customWidth="1"/>
    <col min="8456" max="8456" width="8.25" style="180" bestFit="1" customWidth="1"/>
    <col min="8457" max="8458" width="9.625" style="180" bestFit="1" customWidth="1"/>
    <col min="8459" max="8459" width="8.25" style="180" bestFit="1" customWidth="1"/>
    <col min="8460" max="8461" width="9.625" style="180" bestFit="1" customWidth="1"/>
    <col min="8462" max="8463" width="8.25" style="180" bestFit="1" customWidth="1"/>
    <col min="8464" max="8464" width="11" style="180" bestFit="1" customWidth="1"/>
    <col min="8465" max="8465" width="8" style="180" bestFit="1" customWidth="1"/>
    <col min="8466" max="8466" width="7.75" style="180" bestFit="1" customWidth="1"/>
    <col min="8467" max="8468" width="9.625" style="180" bestFit="1" customWidth="1"/>
    <col min="8469" max="8470" width="9.625" style="180" customWidth="1"/>
    <col min="8471" max="8471" width="9.25" style="180" bestFit="1" customWidth="1"/>
    <col min="8472" max="8472" width="11" style="180" bestFit="1" customWidth="1"/>
    <col min="8473" max="8705" width="9" style="180"/>
    <col min="8706" max="8706" width="4.625" style="180" bestFit="1" customWidth="1"/>
    <col min="8707" max="8707" width="7.5" style="180" bestFit="1" customWidth="1"/>
    <col min="8708" max="8708" width="6.25" style="180" customWidth="1"/>
    <col min="8709" max="8709" width="11" style="180" bestFit="1" customWidth="1"/>
    <col min="8710" max="8711" width="9.625" style="180" bestFit="1" customWidth="1"/>
    <col min="8712" max="8712" width="8.25" style="180" bestFit="1" customWidth="1"/>
    <col min="8713" max="8714" width="9.625" style="180" bestFit="1" customWidth="1"/>
    <col min="8715" max="8715" width="8.25" style="180" bestFit="1" customWidth="1"/>
    <col min="8716" max="8717" width="9.625" style="180" bestFit="1" customWidth="1"/>
    <col min="8718" max="8719" width="8.25" style="180" bestFit="1" customWidth="1"/>
    <col min="8720" max="8720" width="11" style="180" bestFit="1" customWidth="1"/>
    <col min="8721" max="8721" width="8" style="180" bestFit="1" customWidth="1"/>
    <col min="8722" max="8722" width="7.75" style="180" bestFit="1" customWidth="1"/>
    <col min="8723" max="8724" width="9.625" style="180" bestFit="1" customWidth="1"/>
    <col min="8725" max="8726" width="9.625" style="180" customWidth="1"/>
    <col min="8727" max="8727" width="9.25" style="180" bestFit="1" customWidth="1"/>
    <col min="8728" max="8728" width="11" style="180" bestFit="1" customWidth="1"/>
    <col min="8729" max="8961" width="9" style="180"/>
    <col min="8962" max="8962" width="4.625" style="180" bestFit="1" customWidth="1"/>
    <col min="8963" max="8963" width="7.5" style="180" bestFit="1" customWidth="1"/>
    <col min="8964" max="8964" width="6.25" style="180" customWidth="1"/>
    <col min="8965" max="8965" width="11" style="180" bestFit="1" customWidth="1"/>
    <col min="8966" max="8967" width="9.625" style="180" bestFit="1" customWidth="1"/>
    <col min="8968" max="8968" width="8.25" style="180" bestFit="1" customWidth="1"/>
    <col min="8969" max="8970" width="9.625" style="180" bestFit="1" customWidth="1"/>
    <col min="8971" max="8971" width="8.25" style="180" bestFit="1" customWidth="1"/>
    <col min="8972" max="8973" width="9.625" style="180" bestFit="1" customWidth="1"/>
    <col min="8974" max="8975" width="8.25" style="180" bestFit="1" customWidth="1"/>
    <col min="8976" max="8976" width="11" style="180" bestFit="1" customWidth="1"/>
    <col min="8977" max="8977" width="8" style="180" bestFit="1" customWidth="1"/>
    <col min="8978" max="8978" width="7.75" style="180" bestFit="1" customWidth="1"/>
    <col min="8979" max="8980" width="9.625" style="180" bestFit="1" customWidth="1"/>
    <col min="8981" max="8982" width="9.625" style="180" customWidth="1"/>
    <col min="8983" max="8983" width="9.25" style="180" bestFit="1" customWidth="1"/>
    <col min="8984" max="8984" width="11" style="180" bestFit="1" customWidth="1"/>
    <col min="8985" max="9217" width="9" style="180"/>
    <col min="9218" max="9218" width="4.625" style="180" bestFit="1" customWidth="1"/>
    <col min="9219" max="9219" width="7.5" style="180" bestFit="1" customWidth="1"/>
    <col min="9220" max="9220" width="6.25" style="180" customWidth="1"/>
    <col min="9221" max="9221" width="11" style="180" bestFit="1" customWidth="1"/>
    <col min="9222" max="9223" width="9.625" style="180" bestFit="1" customWidth="1"/>
    <col min="9224" max="9224" width="8.25" style="180" bestFit="1" customWidth="1"/>
    <col min="9225" max="9226" width="9.625" style="180" bestFit="1" customWidth="1"/>
    <col min="9227" max="9227" width="8.25" style="180" bestFit="1" customWidth="1"/>
    <col min="9228" max="9229" width="9.625" style="180" bestFit="1" customWidth="1"/>
    <col min="9230" max="9231" width="8.25" style="180" bestFit="1" customWidth="1"/>
    <col min="9232" max="9232" width="11" style="180" bestFit="1" customWidth="1"/>
    <col min="9233" max="9233" width="8" style="180" bestFit="1" customWidth="1"/>
    <col min="9234" max="9234" width="7.75" style="180" bestFit="1" customWidth="1"/>
    <col min="9235" max="9236" width="9.625" style="180" bestFit="1" customWidth="1"/>
    <col min="9237" max="9238" width="9.625" style="180" customWidth="1"/>
    <col min="9239" max="9239" width="9.25" style="180" bestFit="1" customWidth="1"/>
    <col min="9240" max="9240" width="11" style="180" bestFit="1" customWidth="1"/>
    <col min="9241" max="9473" width="9" style="180"/>
    <col min="9474" max="9474" width="4.625" style="180" bestFit="1" customWidth="1"/>
    <col min="9475" max="9475" width="7.5" style="180" bestFit="1" customWidth="1"/>
    <col min="9476" max="9476" width="6.25" style="180" customWidth="1"/>
    <col min="9477" max="9477" width="11" style="180" bestFit="1" customWidth="1"/>
    <col min="9478" max="9479" width="9.625" style="180" bestFit="1" customWidth="1"/>
    <col min="9480" max="9480" width="8.25" style="180" bestFit="1" customWidth="1"/>
    <col min="9481" max="9482" width="9.625" style="180" bestFit="1" customWidth="1"/>
    <col min="9483" max="9483" width="8.25" style="180" bestFit="1" customWidth="1"/>
    <col min="9484" max="9485" width="9.625" style="180" bestFit="1" customWidth="1"/>
    <col min="9486" max="9487" width="8.25" style="180" bestFit="1" customWidth="1"/>
    <col min="9488" max="9488" width="11" style="180" bestFit="1" customWidth="1"/>
    <col min="9489" max="9489" width="8" style="180" bestFit="1" customWidth="1"/>
    <col min="9490" max="9490" width="7.75" style="180" bestFit="1" customWidth="1"/>
    <col min="9491" max="9492" width="9.625" style="180" bestFit="1" customWidth="1"/>
    <col min="9493" max="9494" width="9.625" style="180" customWidth="1"/>
    <col min="9495" max="9495" width="9.25" style="180" bestFit="1" customWidth="1"/>
    <col min="9496" max="9496" width="11" style="180" bestFit="1" customWidth="1"/>
    <col min="9497" max="9729" width="9" style="180"/>
    <col min="9730" max="9730" width="4.625" style="180" bestFit="1" customWidth="1"/>
    <col min="9731" max="9731" width="7.5" style="180" bestFit="1" customWidth="1"/>
    <col min="9732" max="9732" width="6.25" style="180" customWidth="1"/>
    <col min="9733" max="9733" width="11" style="180" bestFit="1" customWidth="1"/>
    <col min="9734" max="9735" width="9.625" style="180" bestFit="1" customWidth="1"/>
    <col min="9736" max="9736" width="8.25" style="180" bestFit="1" customWidth="1"/>
    <col min="9737" max="9738" width="9.625" style="180" bestFit="1" customWidth="1"/>
    <col min="9739" max="9739" width="8.25" style="180" bestFit="1" customWidth="1"/>
    <col min="9740" max="9741" width="9.625" style="180" bestFit="1" customWidth="1"/>
    <col min="9742" max="9743" width="8.25" style="180" bestFit="1" customWidth="1"/>
    <col min="9744" max="9744" width="11" style="180" bestFit="1" customWidth="1"/>
    <col min="9745" max="9745" width="8" style="180" bestFit="1" customWidth="1"/>
    <col min="9746" max="9746" width="7.75" style="180" bestFit="1" customWidth="1"/>
    <col min="9747" max="9748" width="9.625" style="180" bestFit="1" customWidth="1"/>
    <col min="9749" max="9750" width="9.625" style="180" customWidth="1"/>
    <col min="9751" max="9751" width="9.25" style="180" bestFit="1" customWidth="1"/>
    <col min="9752" max="9752" width="11" style="180" bestFit="1" customWidth="1"/>
    <col min="9753" max="9985" width="9" style="180"/>
    <col min="9986" max="9986" width="4.625" style="180" bestFit="1" customWidth="1"/>
    <col min="9987" max="9987" width="7.5" style="180" bestFit="1" customWidth="1"/>
    <col min="9988" max="9988" width="6.25" style="180" customWidth="1"/>
    <col min="9989" max="9989" width="11" style="180" bestFit="1" customWidth="1"/>
    <col min="9990" max="9991" width="9.625" style="180" bestFit="1" customWidth="1"/>
    <col min="9992" max="9992" width="8.25" style="180" bestFit="1" customWidth="1"/>
    <col min="9993" max="9994" width="9.625" style="180" bestFit="1" customWidth="1"/>
    <col min="9995" max="9995" width="8.25" style="180" bestFit="1" customWidth="1"/>
    <col min="9996" max="9997" width="9.625" style="180" bestFit="1" customWidth="1"/>
    <col min="9998" max="9999" width="8.25" style="180" bestFit="1" customWidth="1"/>
    <col min="10000" max="10000" width="11" style="180" bestFit="1" customWidth="1"/>
    <col min="10001" max="10001" width="8" style="180" bestFit="1" customWidth="1"/>
    <col min="10002" max="10002" width="7.75" style="180" bestFit="1" customWidth="1"/>
    <col min="10003" max="10004" width="9.625" style="180" bestFit="1" customWidth="1"/>
    <col min="10005" max="10006" width="9.625" style="180" customWidth="1"/>
    <col min="10007" max="10007" width="9.25" style="180" bestFit="1" customWidth="1"/>
    <col min="10008" max="10008" width="11" style="180" bestFit="1" customWidth="1"/>
    <col min="10009" max="10241" width="9" style="180"/>
    <col min="10242" max="10242" width="4.625" style="180" bestFit="1" customWidth="1"/>
    <col min="10243" max="10243" width="7.5" style="180" bestFit="1" customWidth="1"/>
    <col min="10244" max="10244" width="6.25" style="180" customWidth="1"/>
    <col min="10245" max="10245" width="11" style="180" bestFit="1" customWidth="1"/>
    <col min="10246" max="10247" width="9.625" style="180" bestFit="1" customWidth="1"/>
    <col min="10248" max="10248" width="8.25" style="180" bestFit="1" customWidth="1"/>
    <col min="10249" max="10250" width="9.625" style="180" bestFit="1" customWidth="1"/>
    <col min="10251" max="10251" width="8.25" style="180" bestFit="1" customWidth="1"/>
    <col min="10252" max="10253" width="9.625" style="180" bestFit="1" customWidth="1"/>
    <col min="10254" max="10255" width="8.25" style="180" bestFit="1" customWidth="1"/>
    <col min="10256" max="10256" width="11" style="180" bestFit="1" customWidth="1"/>
    <col min="10257" max="10257" width="8" style="180" bestFit="1" customWidth="1"/>
    <col min="10258" max="10258" width="7.75" style="180" bestFit="1" customWidth="1"/>
    <col min="10259" max="10260" width="9.625" style="180" bestFit="1" customWidth="1"/>
    <col min="10261" max="10262" width="9.625" style="180" customWidth="1"/>
    <col min="10263" max="10263" width="9.25" style="180" bestFit="1" customWidth="1"/>
    <col min="10264" max="10264" width="11" style="180" bestFit="1" customWidth="1"/>
    <col min="10265" max="10497" width="9" style="180"/>
    <col min="10498" max="10498" width="4.625" style="180" bestFit="1" customWidth="1"/>
    <col min="10499" max="10499" width="7.5" style="180" bestFit="1" customWidth="1"/>
    <col min="10500" max="10500" width="6.25" style="180" customWidth="1"/>
    <col min="10501" max="10501" width="11" style="180" bestFit="1" customWidth="1"/>
    <col min="10502" max="10503" width="9.625" style="180" bestFit="1" customWidth="1"/>
    <col min="10504" max="10504" width="8.25" style="180" bestFit="1" customWidth="1"/>
    <col min="10505" max="10506" width="9.625" style="180" bestFit="1" customWidth="1"/>
    <col min="10507" max="10507" width="8.25" style="180" bestFit="1" customWidth="1"/>
    <col min="10508" max="10509" width="9.625" style="180" bestFit="1" customWidth="1"/>
    <col min="10510" max="10511" width="8.25" style="180" bestFit="1" customWidth="1"/>
    <col min="10512" max="10512" width="11" style="180" bestFit="1" customWidth="1"/>
    <col min="10513" max="10513" width="8" style="180" bestFit="1" customWidth="1"/>
    <col min="10514" max="10514" width="7.75" style="180" bestFit="1" customWidth="1"/>
    <col min="10515" max="10516" width="9.625" style="180" bestFit="1" customWidth="1"/>
    <col min="10517" max="10518" width="9.625" style="180" customWidth="1"/>
    <col min="10519" max="10519" width="9.25" style="180" bestFit="1" customWidth="1"/>
    <col min="10520" max="10520" width="11" style="180" bestFit="1" customWidth="1"/>
    <col min="10521" max="10753" width="9" style="180"/>
    <col min="10754" max="10754" width="4.625" style="180" bestFit="1" customWidth="1"/>
    <col min="10755" max="10755" width="7.5" style="180" bestFit="1" customWidth="1"/>
    <col min="10756" max="10756" width="6.25" style="180" customWidth="1"/>
    <col min="10757" max="10757" width="11" style="180" bestFit="1" customWidth="1"/>
    <col min="10758" max="10759" width="9.625" style="180" bestFit="1" customWidth="1"/>
    <col min="10760" max="10760" width="8.25" style="180" bestFit="1" customWidth="1"/>
    <col min="10761" max="10762" width="9.625" style="180" bestFit="1" customWidth="1"/>
    <col min="10763" max="10763" width="8.25" style="180" bestFit="1" customWidth="1"/>
    <col min="10764" max="10765" width="9.625" style="180" bestFit="1" customWidth="1"/>
    <col min="10766" max="10767" width="8.25" style="180" bestFit="1" customWidth="1"/>
    <col min="10768" max="10768" width="11" style="180" bestFit="1" customWidth="1"/>
    <col min="10769" max="10769" width="8" style="180" bestFit="1" customWidth="1"/>
    <col min="10770" max="10770" width="7.75" style="180" bestFit="1" customWidth="1"/>
    <col min="10771" max="10772" width="9.625" style="180" bestFit="1" customWidth="1"/>
    <col min="10773" max="10774" width="9.625" style="180" customWidth="1"/>
    <col min="10775" max="10775" width="9.25" style="180" bestFit="1" customWidth="1"/>
    <col min="10776" max="10776" width="11" style="180" bestFit="1" customWidth="1"/>
    <col min="10777" max="11009" width="9" style="180"/>
    <col min="11010" max="11010" width="4.625" style="180" bestFit="1" customWidth="1"/>
    <col min="11011" max="11011" width="7.5" style="180" bestFit="1" customWidth="1"/>
    <col min="11012" max="11012" width="6.25" style="180" customWidth="1"/>
    <col min="11013" max="11013" width="11" style="180" bestFit="1" customWidth="1"/>
    <col min="11014" max="11015" width="9.625" style="180" bestFit="1" customWidth="1"/>
    <col min="11016" max="11016" width="8.25" style="180" bestFit="1" customWidth="1"/>
    <col min="11017" max="11018" width="9.625" style="180" bestFit="1" customWidth="1"/>
    <col min="11019" max="11019" width="8.25" style="180" bestFit="1" customWidth="1"/>
    <col min="11020" max="11021" width="9.625" style="180" bestFit="1" customWidth="1"/>
    <col min="11022" max="11023" width="8.25" style="180" bestFit="1" customWidth="1"/>
    <col min="11024" max="11024" width="11" style="180" bestFit="1" customWidth="1"/>
    <col min="11025" max="11025" width="8" style="180" bestFit="1" customWidth="1"/>
    <col min="11026" max="11026" width="7.75" style="180" bestFit="1" customWidth="1"/>
    <col min="11027" max="11028" width="9.625" style="180" bestFit="1" customWidth="1"/>
    <col min="11029" max="11030" width="9.625" style="180" customWidth="1"/>
    <col min="11031" max="11031" width="9.25" style="180" bestFit="1" customWidth="1"/>
    <col min="11032" max="11032" width="11" style="180" bestFit="1" customWidth="1"/>
    <col min="11033" max="11265" width="9" style="180"/>
    <col min="11266" max="11266" width="4.625" style="180" bestFit="1" customWidth="1"/>
    <col min="11267" max="11267" width="7.5" style="180" bestFit="1" customWidth="1"/>
    <col min="11268" max="11268" width="6.25" style="180" customWidth="1"/>
    <col min="11269" max="11269" width="11" style="180" bestFit="1" customWidth="1"/>
    <col min="11270" max="11271" width="9.625" style="180" bestFit="1" customWidth="1"/>
    <col min="11272" max="11272" width="8.25" style="180" bestFit="1" customWidth="1"/>
    <col min="11273" max="11274" width="9.625" style="180" bestFit="1" customWidth="1"/>
    <col min="11275" max="11275" width="8.25" style="180" bestFit="1" customWidth="1"/>
    <col min="11276" max="11277" width="9.625" style="180" bestFit="1" customWidth="1"/>
    <col min="11278" max="11279" width="8.25" style="180" bestFit="1" customWidth="1"/>
    <col min="11280" max="11280" width="11" style="180" bestFit="1" customWidth="1"/>
    <col min="11281" max="11281" width="8" style="180" bestFit="1" customWidth="1"/>
    <col min="11282" max="11282" width="7.75" style="180" bestFit="1" customWidth="1"/>
    <col min="11283" max="11284" width="9.625" style="180" bestFit="1" customWidth="1"/>
    <col min="11285" max="11286" width="9.625" style="180" customWidth="1"/>
    <col min="11287" max="11287" width="9.25" style="180" bestFit="1" customWidth="1"/>
    <col min="11288" max="11288" width="11" style="180" bestFit="1" customWidth="1"/>
    <col min="11289" max="11521" width="9" style="180"/>
    <col min="11522" max="11522" width="4.625" style="180" bestFit="1" customWidth="1"/>
    <col min="11523" max="11523" width="7.5" style="180" bestFit="1" customWidth="1"/>
    <col min="11524" max="11524" width="6.25" style="180" customWidth="1"/>
    <col min="11525" max="11525" width="11" style="180" bestFit="1" customWidth="1"/>
    <col min="11526" max="11527" width="9.625" style="180" bestFit="1" customWidth="1"/>
    <col min="11528" max="11528" width="8.25" style="180" bestFit="1" customWidth="1"/>
    <col min="11529" max="11530" width="9.625" style="180" bestFit="1" customWidth="1"/>
    <col min="11531" max="11531" width="8.25" style="180" bestFit="1" customWidth="1"/>
    <col min="11532" max="11533" width="9.625" style="180" bestFit="1" customWidth="1"/>
    <col min="11534" max="11535" width="8.25" style="180" bestFit="1" customWidth="1"/>
    <col min="11536" max="11536" width="11" style="180" bestFit="1" customWidth="1"/>
    <col min="11537" max="11537" width="8" style="180" bestFit="1" customWidth="1"/>
    <col min="11538" max="11538" width="7.75" style="180" bestFit="1" customWidth="1"/>
    <col min="11539" max="11540" width="9.625" style="180" bestFit="1" customWidth="1"/>
    <col min="11541" max="11542" width="9.625" style="180" customWidth="1"/>
    <col min="11543" max="11543" width="9.25" style="180" bestFit="1" customWidth="1"/>
    <col min="11544" max="11544" width="11" style="180" bestFit="1" customWidth="1"/>
    <col min="11545" max="11777" width="9" style="180"/>
    <col min="11778" max="11778" width="4.625" style="180" bestFit="1" customWidth="1"/>
    <col min="11779" max="11779" width="7.5" style="180" bestFit="1" customWidth="1"/>
    <col min="11780" max="11780" width="6.25" style="180" customWidth="1"/>
    <col min="11781" max="11781" width="11" style="180" bestFit="1" customWidth="1"/>
    <col min="11782" max="11783" width="9.625" style="180" bestFit="1" customWidth="1"/>
    <col min="11784" max="11784" width="8.25" style="180" bestFit="1" customWidth="1"/>
    <col min="11785" max="11786" width="9.625" style="180" bestFit="1" customWidth="1"/>
    <col min="11787" max="11787" width="8.25" style="180" bestFit="1" customWidth="1"/>
    <col min="11788" max="11789" width="9.625" style="180" bestFit="1" customWidth="1"/>
    <col min="11790" max="11791" width="8.25" style="180" bestFit="1" customWidth="1"/>
    <col min="11792" max="11792" width="11" style="180" bestFit="1" customWidth="1"/>
    <col min="11793" max="11793" width="8" style="180" bestFit="1" customWidth="1"/>
    <col min="11794" max="11794" width="7.75" style="180" bestFit="1" customWidth="1"/>
    <col min="11795" max="11796" width="9.625" style="180" bestFit="1" customWidth="1"/>
    <col min="11797" max="11798" width="9.625" style="180" customWidth="1"/>
    <col min="11799" max="11799" width="9.25" style="180" bestFit="1" customWidth="1"/>
    <col min="11800" max="11800" width="11" style="180" bestFit="1" customWidth="1"/>
    <col min="11801" max="12033" width="9" style="180"/>
    <col min="12034" max="12034" width="4.625" style="180" bestFit="1" customWidth="1"/>
    <col min="12035" max="12035" width="7.5" style="180" bestFit="1" customWidth="1"/>
    <col min="12036" max="12036" width="6.25" style="180" customWidth="1"/>
    <col min="12037" max="12037" width="11" style="180" bestFit="1" customWidth="1"/>
    <col min="12038" max="12039" width="9.625" style="180" bestFit="1" customWidth="1"/>
    <col min="12040" max="12040" width="8.25" style="180" bestFit="1" customWidth="1"/>
    <col min="12041" max="12042" width="9.625" style="180" bestFit="1" customWidth="1"/>
    <col min="12043" max="12043" width="8.25" style="180" bestFit="1" customWidth="1"/>
    <col min="12044" max="12045" width="9.625" style="180" bestFit="1" customWidth="1"/>
    <col min="12046" max="12047" width="8.25" style="180" bestFit="1" customWidth="1"/>
    <col min="12048" max="12048" width="11" style="180" bestFit="1" customWidth="1"/>
    <col min="12049" max="12049" width="8" style="180" bestFit="1" customWidth="1"/>
    <col min="12050" max="12050" width="7.75" style="180" bestFit="1" customWidth="1"/>
    <col min="12051" max="12052" width="9.625" style="180" bestFit="1" customWidth="1"/>
    <col min="12053" max="12054" width="9.625" style="180" customWidth="1"/>
    <col min="12055" max="12055" width="9.25" style="180" bestFit="1" customWidth="1"/>
    <col min="12056" max="12056" width="11" style="180" bestFit="1" customWidth="1"/>
    <col min="12057" max="12289" width="9" style="180"/>
    <col min="12290" max="12290" width="4.625" style="180" bestFit="1" customWidth="1"/>
    <col min="12291" max="12291" width="7.5" style="180" bestFit="1" customWidth="1"/>
    <col min="12292" max="12292" width="6.25" style="180" customWidth="1"/>
    <col min="12293" max="12293" width="11" style="180" bestFit="1" customWidth="1"/>
    <col min="12294" max="12295" width="9.625" style="180" bestFit="1" customWidth="1"/>
    <col min="12296" max="12296" width="8.25" style="180" bestFit="1" customWidth="1"/>
    <col min="12297" max="12298" width="9.625" style="180" bestFit="1" customWidth="1"/>
    <col min="12299" max="12299" width="8.25" style="180" bestFit="1" customWidth="1"/>
    <col min="12300" max="12301" width="9.625" style="180" bestFit="1" customWidth="1"/>
    <col min="12302" max="12303" width="8.25" style="180" bestFit="1" customWidth="1"/>
    <col min="12304" max="12304" width="11" style="180" bestFit="1" customWidth="1"/>
    <col min="12305" max="12305" width="8" style="180" bestFit="1" customWidth="1"/>
    <col min="12306" max="12306" width="7.75" style="180" bestFit="1" customWidth="1"/>
    <col min="12307" max="12308" width="9.625" style="180" bestFit="1" customWidth="1"/>
    <col min="12309" max="12310" width="9.625" style="180" customWidth="1"/>
    <col min="12311" max="12311" width="9.25" style="180" bestFit="1" customWidth="1"/>
    <col min="12312" max="12312" width="11" style="180" bestFit="1" customWidth="1"/>
    <col min="12313" max="12545" width="9" style="180"/>
    <col min="12546" max="12546" width="4.625" style="180" bestFit="1" customWidth="1"/>
    <col min="12547" max="12547" width="7.5" style="180" bestFit="1" customWidth="1"/>
    <col min="12548" max="12548" width="6.25" style="180" customWidth="1"/>
    <col min="12549" max="12549" width="11" style="180" bestFit="1" customWidth="1"/>
    <col min="12550" max="12551" width="9.625" style="180" bestFit="1" customWidth="1"/>
    <col min="12552" max="12552" width="8.25" style="180" bestFit="1" customWidth="1"/>
    <col min="12553" max="12554" width="9.625" style="180" bestFit="1" customWidth="1"/>
    <col min="12555" max="12555" width="8.25" style="180" bestFit="1" customWidth="1"/>
    <col min="12556" max="12557" width="9.625" style="180" bestFit="1" customWidth="1"/>
    <col min="12558" max="12559" width="8.25" style="180" bestFit="1" customWidth="1"/>
    <col min="12560" max="12560" width="11" style="180" bestFit="1" customWidth="1"/>
    <col min="12561" max="12561" width="8" style="180" bestFit="1" customWidth="1"/>
    <col min="12562" max="12562" width="7.75" style="180" bestFit="1" customWidth="1"/>
    <col min="12563" max="12564" width="9.625" style="180" bestFit="1" customWidth="1"/>
    <col min="12565" max="12566" width="9.625" style="180" customWidth="1"/>
    <col min="12567" max="12567" width="9.25" style="180" bestFit="1" customWidth="1"/>
    <col min="12568" max="12568" width="11" style="180" bestFit="1" customWidth="1"/>
    <col min="12569" max="12801" width="9" style="180"/>
    <col min="12802" max="12802" width="4.625" style="180" bestFit="1" customWidth="1"/>
    <col min="12803" max="12803" width="7.5" style="180" bestFit="1" customWidth="1"/>
    <col min="12804" max="12804" width="6.25" style="180" customWidth="1"/>
    <col min="12805" max="12805" width="11" style="180" bestFit="1" customWidth="1"/>
    <col min="12806" max="12807" width="9.625" style="180" bestFit="1" customWidth="1"/>
    <col min="12808" max="12808" width="8.25" style="180" bestFit="1" customWidth="1"/>
    <col min="12809" max="12810" width="9.625" style="180" bestFit="1" customWidth="1"/>
    <col min="12811" max="12811" width="8.25" style="180" bestFit="1" customWidth="1"/>
    <col min="12812" max="12813" width="9.625" style="180" bestFit="1" customWidth="1"/>
    <col min="12814" max="12815" width="8.25" style="180" bestFit="1" customWidth="1"/>
    <col min="12816" max="12816" width="11" style="180" bestFit="1" customWidth="1"/>
    <col min="12817" max="12817" width="8" style="180" bestFit="1" customWidth="1"/>
    <col min="12818" max="12818" width="7.75" style="180" bestFit="1" customWidth="1"/>
    <col min="12819" max="12820" width="9.625" style="180" bestFit="1" customWidth="1"/>
    <col min="12821" max="12822" width="9.625" style="180" customWidth="1"/>
    <col min="12823" max="12823" width="9.25" style="180" bestFit="1" customWidth="1"/>
    <col min="12824" max="12824" width="11" style="180" bestFit="1" customWidth="1"/>
    <col min="12825" max="13057" width="9" style="180"/>
    <col min="13058" max="13058" width="4.625" style="180" bestFit="1" customWidth="1"/>
    <col min="13059" max="13059" width="7.5" style="180" bestFit="1" customWidth="1"/>
    <col min="13060" max="13060" width="6.25" style="180" customWidth="1"/>
    <col min="13061" max="13061" width="11" style="180" bestFit="1" customWidth="1"/>
    <col min="13062" max="13063" width="9.625" style="180" bestFit="1" customWidth="1"/>
    <col min="13064" max="13064" width="8.25" style="180" bestFit="1" customWidth="1"/>
    <col min="13065" max="13066" width="9.625" style="180" bestFit="1" customWidth="1"/>
    <col min="13067" max="13067" width="8.25" style="180" bestFit="1" customWidth="1"/>
    <col min="13068" max="13069" width="9.625" style="180" bestFit="1" customWidth="1"/>
    <col min="13070" max="13071" width="8.25" style="180" bestFit="1" customWidth="1"/>
    <col min="13072" max="13072" width="11" style="180" bestFit="1" customWidth="1"/>
    <col min="13073" max="13073" width="8" style="180" bestFit="1" customWidth="1"/>
    <col min="13074" max="13074" width="7.75" style="180" bestFit="1" customWidth="1"/>
    <col min="13075" max="13076" width="9.625" style="180" bestFit="1" customWidth="1"/>
    <col min="13077" max="13078" width="9.625" style="180" customWidth="1"/>
    <col min="13079" max="13079" width="9.25" style="180" bestFit="1" customWidth="1"/>
    <col min="13080" max="13080" width="11" style="180" bestFit="1" customWidth="1"/>
    <col min="13081" max="13313" width="9" style="180"/>
    <col min="13314" max="13314" width="4.625" style="180" bestFit="1" customWidth="1"/>
    <col min="13315" max="13315" width="7.5" style="180" bestFit="1" customWidth="1"/>
    <col min="13316" max="13316" width="6.25" style="180" customWidth="1"/>
    <col min="13317" max="13317" width="11" style="180" bestFit="1" customWidth="1"/>
    <col min="13318" max="13319" width="9.625" style="180" bestFit="1" customWidth="1"/>
    <col min="13320" max="13320" width="8.25" style="180" bestFit="1" customWidth="1"/>
    <col min="13321" max="13322" width="9.625" style="180" bestFit="1" customWidth="1"/>
    <col min="13323" max="13323" width="8.25" style="180" bestFit="1" customWidth="1"/>
    <col min="13324" max="13325" width="9.625" style="180" bestFit="1" customWidth="1"/>
    <col min="13326" max="13327" width="8.25" style="180" bestFit="1" customWidth="1"/>
    <col min="13328" max="13328" width="11" style="180" bestFit="1" customWidth="1"/>
    <col min="13329" max="13329" width="8" style="180" bestFit="1" customWidth="1"/>
    <col min="13330" max="13330" width="7.75" style="180" bestFit="1" customWidth="1"/>
    <col min="13331" max="13332" width="9.625" style="180" bestFit="1" customWidth="1"/>
    <col min="13333" max="13334" width="9.625" style="180" customWidth="1"/>
    <col min="13335" max="13335" width="9.25" style="180" bestFit="1" customWidth="1"/>
    <col min="13336" max="13336" width="11" style="180" bestFit="1" customWidth="1"/>
    <col min="13337" max="13569" width="9" style="180"/>
    <col min="13570" max="13570" width="4.625" style="180" bestFit="1" customWidth="1"/>
    <col min="13571" max="13571" width="7.5" style="180" bestFit="1" customWidth="1"/>
    <col min="13572" max="13572" width="6.25" style="180" customWidth="1"/>
    <col min="13573" max="13573" width="11" style="180" bestFit="1" customWidth="1"/>
    <col min="13574" max="13575" width="9.625" style="180" bestFit="1" customWidth="1"/>
    <col min="13576" max="13576" width="8.25" style="180" bestFit="1" customWidth="1"/>
    <col min="13577" max="13578" width="9.625" style="180" bestFit="1" customWidth="1"/>
    <col min="13579" max="13579" width="8.25" style="180" bestFit="1" customWidth="1"/>
    <col min="13580" max="13581" width="9.625" style="180" bestFit="1" customWidth="1"/>
    <col min="13582" max="13583" width="8.25" style="180" bestFit="1" customWidth="1"/>
    <col min="13584" max="13584" width="11" style="180" bestFit="1" customWidth="1"/>
    <col min="13585" max="13585" width="8" style="180" bestFit="1" customWidth="1"/>
    <col min="13586" max="13586" width="7.75" style="180" bestFit="1" customWidth="1"/>
    <col min="13587" max="13588" width="9.625" style="180" bestFit="1" customWidth="1"/>
    <col min="13589" max="13590" width="9.625" style="180" customWidth="1"/>
    <col min="13591" max="13591" width="9.25" style="180" bestFit="1" customWidth="1"/>
    <col min="13592" max="13592" width="11" style="180" bestFit="1" customWidth="1"/>
    <col min="13593" max="13825" width="9" style="180"/>
    <col min="13826" max="13826" width="4.625" style="180" bestFit="1" customWidth="1"/>
    <col min="13827" max="13827" width="7.5" style="180" bestFit="1" customWidth="1"/>
    <col min="13828" max="13828" width="6.25" style="180" customWidth="1"/>
    <col min="13829" max="13829" width="11" style="180" bestFit="1" customWidth="1"/>
    <col min="13830" max="13831" width="9.625" style="180" bestFit="1" customWidth="1"/>
    <col min="13832" max="13832" width="8.25" style="180" bestFit="1" customWidth="1"/>
    <col min="13833" max="13834" width="9.625" style="180" bestFit="1" customWidth="1"/>
    <col min="13835" max="13835" width="8.25" style="180" bestFit="1" customWidth="1"/>
    <col min="13836" max="13837" width="9.625" style="180" bestFit="1" customWidth="1"/>
    <col min="13838" max="13839" width="8.25" style="180" bestFit="1" customWidth="1"/>
    <col min="13840" max="13840" width="11" style="180" bestFit="1" customWidth="1"/>
    <col min="13841" max="13841" width="8" style="180" bestFit="1" customWidth="1"/>
    <col min="13842" max="13842" width="7.75" style="180" bestFit="1" customWidth="1"/>
    <col min="13843" max="13844" width="9.625" style="180" bestFit="1" customWidth="1"/>
    <col min="13845" max="13846" width="9.625" style="180" customWidth="1"/>
    <col min="13847" max="13847" width="9.25" style="180" bestFit="1" customWidth="1"/>
    <col min="13848" max="13848" width="11" style="180" bestFit="1" customWidth="1"/>
    <col min="13849" max="14081" width="9" style="180"/>
    <col min="14082" max="14082" width="4.625" style="180" bestFit="1" customWidth="1"/>
    <col min="14083" max="14083" width="7.5" style="180" bestFit="1" customWidth="1"/>
    <col min="14084" max="14084" width="6.25" style="180" customWidth="1"/>
    <col min="14085" max="14085" width="11" style="180" bestFit="1" customWidth="1"/>
    <col min="14086" max="14087" width="9.625" style="180" bestFit="1" customWidth="1"/>
    <col min="14088" max="14088" width="8.25" style="180" bestFit="1" customWidth="1"/>
    <col min="14089" max="14090" width="9.625" style="180" bestFit="1" customWidth="1"/>
    <col min="14091" max="14091" width="8.25" style="180" bestFit="1" customWidth="1"/>
    <col min="14092" max="14093" width="9.625" style="180" bestFit="1" customWidth="1"/>
    <col min="14094" max="14095" width="8.25" style="180" bestFit="1" customWidth="1"/>
    <col min="14096" max="14096" width="11" style="180" bestFit="1" customWidth="1"/>
    <col min="14097" max="14097" width="8" style="180" bestFit="1" customWidth="1"/>
    <col min="14098" max="14098" width="7.75" style="180" bestFit="1" customWidth="1"/>
    <col min="14099" max="14100" width="9.625" style="180" bestFit="1" customWidth="1"/>
    <col min="14101" max="14102" width="9.625" style="180" customWidth="1"/>
    <col min="14103" max="14103" width="9.25" style="180" bestFit="1" customWidth="1"/>
    <col min="14104" max="14104" width="11" style="180" bestFit="1" customWidth="1"/>
    <col min="14105" max="14337" width="9" style="180"/>
    <col min="14338" max="14338" width="4.625" style="180" bestFit="1" customWidth="1"/>
    <col min="14339" max="14339" width="7.5" style="180" bestFit="1" customWidth="1"/>
    <col min="14340" max="14340" width="6.25" style="180" customWidth="1"/>
    <col min="14341" max="14341" width="11" style="180" bestFit="1" customWidth="1"/>
    <col min="14342" max="14343" width="9.625" style="180" bestFit="1" customWidth="1"/>
    <col min="14344" max="14344" width="8.25" style="180" bestFit="1" customWidth="1"/>
    <col min="14345" max="14346" width="9.625" style="180" bestFit="1" customWidth="1"/>
    <col min="14347" max="14347" width="8.25" style="180" bestFit="1" customWidth="1"/>
    <col min="14348" max="14349" width="9.625" style="180" bestFit="1" customWidth="1"/>
    <col min="14350" max="14351" width="8.25" style="180" bestFit="1" customWidth="1"/>
    <col min="14352" max="14352" width="11" style="180" bestFit="1" customWidth="1"/>
    <col min="14353" max="14353" width="8" style="180" bestFit="1" customWidth="1"/>
    <col min="14354" max="14354" width="7.75" style="180" bestFit="1" customWidth="1"/>
    <col min="14355" max="14356" width="9.625" style="180" bestFit="1" customWidth="1"/>
    <col min="14357" max="14358" width="9.625" style="180" customWidth="1"/>
    <col min="14359" max="14359" width="9.25" style="180" bestFit="1" customWidth="1"/>
    <col min="14360" max="14360" width="11" style="180" bestFit="1" customWidth="1"/>
    <col min="14361" max="14593" width="9" style="180"/>
    <col min="14594" max="14594" width="4.625" style="180" bestFit="1" customWidth="1"/>
    <col min="14595" max="14595" width="7.5" style="180" bestFit="1" customWidth="1"/>
    <col min="14596" max="14596" width="6.25" style="180" customWidth="1"/>
    <col min="14597" max="14597" width="11" style="180" bestFit="1" customWidth="1"/>
    <col min="14598" max="14599" width="9.625" style="180" bestFit="1" customWidth="1"/>
    <col min="14600" max="14600" width="8.25" style="180" bestFit="1" customWidth="1"/>
    <col min="14601" max="14602" width="9.625" style="180" bestFit="1" customWidth="1"/>
    <col min="14603" max="14603" width="8.25" style="180" bestFit="1" customWidth="1"/>
    <col min="14604" max="14605" width="9.625" style="180" bestFit="1" customWidth="1"/>
    <col min="14606" max="14607" width="8.25" style="180" bestFit="1" customWidth="1"/>
    <col min="14608" max="14608" width="11" style="180" bestFit="1" customWidth="1"/>
    <col min="14609" max="14609" width="8" style="180" bestFit="1" customWidth="1"/>
    <col min="14610" max="14610" width="7.75" style="180" bestFit="1" customWidth="1"/>
    <col min="14611" max="14612" width="9.625" style="180" bestFit="1" customWidth="1"/>
    <col min="14613" max="14614" width="9.625" style="180" customWidth="1"/>
    <col min="14615" max="14615" width="9.25" style="180" bestFit="1" customWidth="1"/>
    <col min="14616" max="14616" width="11" style="180" bestFit="1" customWidth="1"/>
    <col min="14617" max="14849" width="9" style="180"/>
    <col min="14850" max="14850" width="4.625" style="180" bestFit="1" customWidth="1"/>
    <col min="14851" max="14851" width="7.5" style="180" bestFit="1" customWidth="1"/>
    <col min="14852" max="14852" width="6.25" style="180" customWidth="1"/>
    <col min="14853" max="14853" width="11" style="180" bestFit="1" customWidth="1"/>
    <col min="14854" max="14855" width="9.625" style="180" bestFit="1" customWidth="1"/>
    <col min="14856" max="14856" width="8.25" style="180" bestFit="1" customWidth="1"/>
    <col min="14857" max="14858" width="9.625" style="180" bestFit="1" customWidth="1"/>
    <col min="14859" max="14859" width="8.25" style="180" bestFit="1" customWidth="1"/>
    <col min="14860" max="14861" width="9.625" style="180" bestFit="1" customWidth="1"/>
    <col min="14862" max="14863" width="8.25" style="180" bestFit="1" customWidth="1"/>
    <col min="14864" max="14864" width="11" style="180" bestFit="1" customWidth="1"/>
    <col min="14865" max="14865" width="8" style="180" bestFit="1" customWidth="1"/>
    <col min="14866" max="14866" width="7.75" style="180" bestFit="1" customWidth="1"/>
    <col min="14867" max="14868" width="9.625" style="180" bestFit="1" customWidth="1"/>
    <col min="14869" max="14870" width="9.625" style="180" customWidth="1"/>
    <col min="14871" max="14871" width="9.25" style="180" bestFit="1" customWidth="1"/>
    <col min="14872" max="14872" width="11" style="180" bestFit="1" customWidth="1"/>
    <col min="14873" max="15105" width="9" style="180"/>
    <col min="15106" max="15106" width="4.625" style="180" bestFit="1" customWidth="1"/>
    <col min="15107" max="15107" width="7.5" style="180" bestFit="1" customWidth="1"/>
    <col min="15108" max="15108" width="6.25" style="180" customWidth="1"/>
    <col min="15109" max="15109" width="11" style="180" bestFit="1" customWidth="1"/>
    <col min="15110" max="15111" width="9.625" style="180" bestFit="1" customWidth="1"/>
    <col min="15112" max="15112" width="8.25" style="180" bestFit="1" customWidth="1"/>
    <col min="15113" max="15114" width="9.625" style="180" bestFit="1" customWidth="1"/>
    <col min="15115" max="15115" width="8.25" style="180" bestFit="1" customWidth="1"/>
    <col min="15116" max="15117" width="9.625" style="180" bestFit="1" customWidth="1"/>
    <col min="15118" max="15119" width="8.25" style="180" bestFit="1" customWidth="1"/>
    <col min="15120" max="15120" width="11" style="180" bestFit="1" customWidth="1"/>
    <col min="15121" max="15121" width="8" style="180" bestFit="1" customWidth="1"/>
    <col min="15122" max="15122" width="7.75" style="180" bestFit="1" customWidth="1"/>
    <col min="15123" max="15124" width="9.625" style="180" bestFit="1" customWidth="1"/>
    <col min="15125" max="15126" width="9.625" style="180" customWidth="1"/>
    <col min="15127" max="15127" width="9.25" style="180" bestFit="1" customWidth="1"/>
    <col min="15128" max="15128" width="11" style="180" bestFit="1" customWidth="1"/>
    <col min="15129" max="15361" width="9" style="180"/>
    <col min="15362" max="15362" width="4.625" style="180" bestFit="1" customWidth="1"/>
    <col min="15363" max="15363" width="7.5" style="180" bestFit="1" customWidth="1"/>
    <col min="15364" max="15364" width="6.25" style="180" customWidth="1"/>
    <col min="15365" max="15365" width="11" style="180" bestFit="1" customWidth="1"/>
    <col min="15366" max="15367" width="9.625" style="180" bestFit="1" customWidth="1"/>
    <col min="15368" max="15368" width="8.25" style="180" bestFit="1" customWidth="1"/>
    <col min="15369" max="15370" width="9.625" style="180" bestFit="1" customWidth="1"/>
    <col min="15371" max="15371" width="8.25" style="180" bestFit="1" customWidth="1"/>
    <col min="15372" max="15373" width="9.625" style="180" bestFit="1" customWidth="1"/>
    <col min="15374" max="15375" width="8.25" style="180" bestFit="1" customWidth="1"/>
    <col min="15376" max="15376" width="11" style="180" bestFit="1" customWidth="1"/>
    <col min="15377" max="15377" width="8" style="180" bestFit="1" customWidth="1"/>
    <col min="15378" max="15378" width="7.75" style="180" bestFit="1" customWidth="1"/>
    <col min="15379" max="15380" width="9.625" style="180" bestFit="1" customWidth="1"/>
    <col min="15381" max="15382" width="9.625" style="180" customWidth="1"/>
    <col min="15383" max="15383" width="9.25" style="180" bestFit="1" customWidth="1"/>
    <col min="15384" max="15384" width="11" style="180" bestFit="1" customWidth="1"/>
    <col min="15385" max="15617" width="9" style="180"/>
    <col min="15618" max="15618" width="4.625" style="180" bestFit="1" customWidth="1"/>
    <col min="15619" max="15619" width="7.5" style="180" bestFit="1" customWidth="1"/>
    <col min="15620" max="15620" width="6.25" style="180" customWidth="1"/>
    <col min="15621" max="15621" width="11" style="180" bestFit="1" customWidth="1"/>
    <col min="15622" max="15623" width="9.625" style="180" bestFit="1" customWidth="1"/>
    <col min="15624" max="15624" width="8.25" style="180" bestFit="1" customWidth="1"/>
    <col min="15625" max="15626" width="9.625" style="180" bestFit="1" customWidth="1"/>
    <col min="15627" max="15627" width="8.25" style="180" bestFit="1" customWidth="1"/>
    <col min="15628" max="15629" width="9.625" style="180" bestFit="1" customWidth="1"/>
    <col min="15630" max="15631" width="8.25" style="180" bestFit="1" customWidth="1"/>
    <col min="15632" max="15632" width="11" style="180" bestFit="1" customWidth="1"/>
    <col min="15633" max="15633" width="8" style="180" bestFit="1" customWidth="1"/>
    <col min="15634" max="15634" width="7.75" style="180" bestFit="1" customWidth="1"/>
    <col min="15635" max="15636" width="9.625" style="180" bestFit="1" customWidth="1"/>
    <col min="15637" max="15638" width="9.625" style="180" customWidth="1"/>
    <col min="15639" max="15639" width="9.25" style="180" bestFit="1" customWidth="1"/>
    <col min="15640" max="15640" width="11" style="180" bestFit="1" customWidth="1"/>
    <col min="15641" max="15873" width="9" style="180"/>
    <col min="15874" max="15874" width="4.625" style="180" bestFit="1" customWidth="1"/>
    <col min="15875" max="15875" width="7.5" style="180" bestFit="1" customWidth="1"/>
    <col min="15876" max="15876" width="6.25" style="180" customWidth="1"/>
    <col min="15877" max="15877" width="11" style="180" bestFit="1" customWidth="1"/>
    <col min="15878" max="15879" width="9.625" style="180" bestFit="1" customWidth="1"/>
    <col min="15880" max="15880" width="8.25" style="180" bestFit="1" customWidth="1"/>
    <col min="15881" max="15882" width="9.625" style="180" bestFit="1" customWidth="1"/>
    <col min="15883" max="15883" width="8.25" style="180" bestFit="1" customWidth="1"/>
    <col min="15884" max="15885" width="9.625" style="180" bestFit="1" customWidth="1"/>
    <col min="15886" max="15887" width="8.25" style="180" bestFit="1" customWidth="1"/>
    <col min="15888" max="15888" width="11" style="180" bestFit="1" customWidth="1"/>
    <col min="15889" max="15889" width="8" style="180" bestFit="1" customWidth="1"/>
    <col min="15890" max="15890" width="7.75" style="180" bestFit="1" customWidth="1"/>
    <col min="15891" max="15892" width="9.625" style="180" bestFit="1" customWidth="1"/>
    <col min="15893" max="15894" width="9.625" style="180" customWidth="1"/>
    <col min="15895" max="15895" width="9.25" style="180" bestFit="1" customWidth="1"/>
    <col min="15896" max="15896" width="11" style="180" bestFit="1" customWidth="1"/>
    <col min="15897" max="16129" width="9" style="180"/>
    <col min="16130" max="16130" width="4.625" style="180" bestFit="1" customWidth="1"/>
    <col min="16131" max="16131" width="7.5" style="180" bestFit="1" customWidth="1"/>
    <col min="16132" max="16132" width="6.25" style="180" customWidth="1"/>
    <col min="16133" max="16133" width="11" style="180" bestFit="1" customWidth="1"/>
    <col min="16134" max="16135" width="9.625" style="180" bestFit="1" customWidth="1"/>
    <col min="16136" max="16136" width="8.25" style="180" bestFit="1" customWidth="1"/>
    <col min="16137" max="16138" width="9.625" style="180" bestFit="1" customWidth="1"/>
    <col min="16139" max="16139" width="8.25" style="180" bestFit="1" customWidth="1"/>
    <col min="16140" max="16141" width="9.625" style="180" bestFit="1" customWidth="1"/>
    <col min="16142" max="16143" width="8.25" style="180" bestFit="1" customWidth="1"/>
    <col min="16144" max="16144" width="11" style="180" bestFit="1" customWidth="1"/>
    <col min="16145" max="16145" width="8" style="180" bestFit="1" customWidth="1"/>
    <col min="16146" max="16146" width="7.75" style="180" bestFit="1" customWidth="1"/>
    <col min="16147" max="16148" width="9.625" style="180" bestFit="1" customWidth="1"/>
    <col min="16149" max="16150" width="9.625" style="180" customWidth="1"/>
    <col min="16151" max="16151" width="9.25" style="180" bestFit="1" customWidth="1"/>
    <col min="16152" max="16152" width="11" style="180" bestFit="1" customWidth="1"/>
    <col min="16153" max="16384" width="9" style="180"/>
  </cols>
  <sheetData>
    <row r="1" spans="2:29" ht="13.5" customHeight="1" x14ac:dyDescent="0.3"/>
    <row r="2" spans="2:29" ht="34.5" customHeight="1" x14ac:dyDescent="0.3">
      <c r="J2" s="65"/>
    </row>
    <row r="3" spans="2:29" ht="32.25" customHeight="1" x14ac:dyDescent="0.3">
      <c r="B3" s="255" t="s">
        <v>59</v>
      </c>
      <c r="C3" s="255"/>
      <c r="D3" s="255"/>
      <c r="E3" s="255"/>
      <c r="F3" s="66"/>
      <c r="G3" s="66"/>
      <c r="H3" s="66"/>
      <c r="I3" s="66"/>
      <c r="J3" s="66"/>
      <c r="K3" s="66"/>
      <c r="L3" s="256" t="s">
        <v>337</v>
      </c>
      <c r="M3" s="256"/>
      <c r="N3" s="256"/>
      <c r="O3" s="256"/>
      <c r="P3" s="256"/>
      <c r="Q3" s="66"/>
      <c r="R3" s="66"/>
      <c r="S3" s="66"/>
      <c r="T3" s="67"/>
      <c r="U3" s="67"/>
      <c r="V3" s="67"/>
      <c r="W3" s="67"/>
      <c r="X3" s="67"/>
    </row>
    <row r="4" spans="2:29" ht="45" customHeight="1" x14ac:dyDescent="0.3">
      <c r="B4" s="255"/>
      <c r="C4" s="255"/>
      <c r="D4" s="255"/>
      <c r="E4" s="25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252"/>
      <c r="U4" s="178"/>
      <c r="V4" s="252"/>
      <c r="W4" s="252"/>
      <c r="X4" s="252"/>
    </row>
    <row r="5" spans="2:29" ht="20.25" customHeight="1" x14ac:dyDescent="0.3">
      <c r="B5" s="253" t="s">
        <v>338</v>
      </c>
      <c r="C5" s="253"/>
      <c r="D5" s="253"/>
      <c r="E5" s="253"/>
      <c r="F5" s="254"/>
      <c r="G5" s="254"/>
      <c r="H5" s="69"/>
      <c r="I5" s="70"/>
      <c r="J5" s="70"/>
      <c r="K5" s="70"/>
      <c r="L5" s="70"/>
      <c r="M5" s="71"/>
      <c r="N5" s="72"/>
      <c r="O5" s="72"/>
      <c r="P5" s="179"/>
      <c r="Q5" s="69"/>
      <c r="R5" s="69"/>
      <c r="S5" s="69"/>
      <c r="T5" s="252"/>
      <c r="U5" s="178"/>
      <c r="V5" s="252"/>
      <c r="W5" s="252"/>
      <c r="X5" s="252"/>
    </row>
    <row r="6" spans="2:29" ht="3.75" customHeight="1" x14ac:dyDescent="0.3">
      <c r="B6" s="74"/>
      <c r="C6" s="74"/>
      <c r="D6" s="74"/>
      <c r="E6" s="74"/>
      <c r="F6" s="75"/>
      <c r="G6" s="75"/>
      <c r="H6" s="76"/>
      <c r="I6" s="77"/>
      <c r="J6" s="77"/>
      <c r="K6" s="77"/>
      <c r="L6" s="77"/>
      <c r="M6" s="78"/>
      <c r="N6" s="79"/>
      <c r="O6" s="79"/>
      <c r="P6" s="75"/>
      <c r="Q6" s="69"/>
      <c r="R6" s="69"/>
      <c r="S6" s="69"/>
      <c r="T6" s="69"/>
      <c r="U6" s="69"/>
      <c r="V6" s="69"/>
      <c r="W6" s="69"/>
      <c r="X6" s="69"/>
    </row>
    <row r="7" spans="2:29" ht="24.95" customHeight="1" x14ac:dyDescent="0.3">
      <c r="B7" s="236" t="s">
        <v>61</v>
      </c>
      <c r="C7" s="238" t="s">
        <v>62</v>
      </c>
      <c r="D7" s="240" t="s">
        <v>63</v>
      </c>
      <c r="E7" s="242" t="s">
        <v>64</v>
      </c>
      <c r="F7" s="243"/>
      <c r="G7" s="243"/>
      <c r="H7" s="243"/>
      <c r="I7" s="243"/>
      <c r="J7" s="243"/>
      <c r="K7" s="243"/>
      <c r="L7" s="243"/>
      <c r="M7" s="243"/>
      <c r="N7" s="242" t="s">
        <v>65</v>
      </c>
      <c r="O7" s="243"/>
      <c r="P7" s="244" t="s">
        <v>66</v>
      </c>
      <c r="Q7" s="242" t="s">
        <v>67</v>
      </c>
      <c r="R7" s="243"/>
      <c r="S7" s="243"/>
      <c r="T7" s="243"/>
      <c r="U7" s="243"/>
      <c r="V7" s="243"/>
      <c r="W7" s="244" t="s">
        <v>68</v>
      </c>
      <c r="X7" s="246" t="s">
        <v>69</v>
      </c>
      <c r="Z7" s="248" t="s">
        <v>70</v>
      </c>
      <c r="AA7" s="250" t="s">
        <v>71</v>
      </c>
      <c r="AC7" s="234" t="s">
        <v>72</v>
      </c>
    </row>
    <row r="8" spans="2:29" ht="24.95" customHeight="1" x14ac:dyDescent="0.3">
      <c r="B8" s="237"/>
      <c r="C8" s="239"/>
      <c r="D8" s="241"/>
      <c r="E8" s="80" t="s">
        <v>73</v>
      </c>
      <c r="F8" s="81" t="s">
        <v>74</v>
      </c>
      <c r="G8" s="81" t="s">
        <v>75</v>
      </c>
      <c r="H8" s="81" t="s">
        <v>76</v>
      </c>
      <c r="I8" s="81" t="s">
        <v>77</v>
      </c>
      <c r="J8" s="82" t="s">
        <v>78</v>
      </c>
      <c r="K8" s="82" t="s">
        <v>79</v>
      </c>
      <c r="L8" s="82" t="s">
        <v>80</v>
      </c>
      <c r="M8" s="82" t="s">
        <v>81</v>
      </c>
      <c r="N8" s="80" t="s">
        <v>82</v>
      </c>
      <c r="O8" s="83" t="s">
        <v>83</v>
      </c>
      <c r="P8" s="245"/>
      <c r="Q8" s="80" t="s">
        <v>84</v>
      </c>
      <c r="R8" s="84" t="s">
        <v>85</v>
      </c>
      <c r="S8" s="81" t="s">
        <v>86</v>
      </c>
      <c r="T8" s="81" t="s">
        <v>87</v>
      </c>
      <c r="U8" s="82" t="s">
        <v>88</v>
      </c>
      <c r="V8" s="82" t="s">
        <v>89</v>
      </c>
      <c r="W8" s="245"/>
      <c r="X8" s="247"/>
      <c r="Z8" s="249"/>
      <c r="AA8" s="251"/>
      <c r="AC8" s="235"/>
    </row>
    <row r="9" spans="2:29" ht="20.100000000000001" customHeight="1" x14ac:dyDescent="0.3">
      <c r="B9" s="86">
        <v>1</v>
      </c>
      <c r="C9" s="87" t="str">
        <f>[1]직원인적급여카드!B2</f>
        <v>안경이</v>
      </c>
      <c r="D9" s="88" t="str">
        <f>[1]직원인적급여카드!C2</f>
        <v>대표</v>
      </c>
      <c r="E9" s="89">
        <v>2100000</v>
      </c>
      <c r="F9" s="90"/>
      <c r="G9" s="90"/>
      <c r="H9" s="90"/>
      <c r="I9" s="90"/>
      <c r="J9" s="91"/>
      <c r="K9" s="91"/>
      <c r="L9" s="91"/>
      <c r="M9" s="91"/>
      <c r="N9" s="89">
        <v>200000</v>
      </c>
      <c r="O9" s="92">
        <v>200000</v>
      </c>
      <c r="P9" s="93">
        <f t="shared" ref="P9:P14" si="0">SUM(E9:O9)</f>
        <v>2500000</v>
      </c>
      <c r="Q9" s="94">
        <f t="shared" ref="Q9:Q24" si="1">IFERROR(IF(P9-AC9&lt;=10000000,VLOOKUP((P9-AC9)/1000,간이세액표,IF(11&lt;Z9+AA9,13,2+Z9+AA9),TRUE),IF(P9-AC9&gt;14000000,VLOOKUP((P9-AC9)/1000,간이세액표,IF(11&lt;Z9+AA9,13,2+Z9+AA9),TRUE)+1372000+ROUNDDOWN(((P9-AC9-14000000)*98%)*38%,-1),VLOOKUP((P9-AC9)/1000,간이세액표,IF(11&lt;Z9+AA9,13,2+Z9+AA9),TRUE)+ROUNDDOWN(((P9-AC9-10000000)*98%)*35%,-1))),)</f>
        <v>25950</v>
      </c>
      <c r="R9" s="95">
        <f t="shared" ref="R9:R25" si="2">ROUNDDOWN(Q9*10%,-1)</f>
        <v>2590</v>
      </c>
      <c r="S9" s="95"/>
      <c r="T9" s="95">
        <f t="shared" ref="T9:T25" si="3">IFERROR(ROUNDDOWN((P9-AC9)*3.43%,-1),)</f>
        <v>75460</v>
      </c>
      <c r="U9" s="96">
        <f t="shared" ref="U9:U25" si="4">ROUNDDOWN(T9*11.52%,-1)</f>
        <v>8690</v>
      </c>
      <c r="V9" s="96">
        <f t="shared" ref="V9:V13" si="5">IFERROR(IF(D9&lt;&gt;"대표이사",ROUNDDOWN((P9-AC9)*고용보험율,-1),0),)</f>
        <v>17600</v>
      </c>
      <c r="W9" s="93">
        <f t="shared" ref="W9:W13" si="6">SUM(Q9:V9)</f>
        <v>130290</v>
      </c>
      <c r="X9" s="97">
        <f t="shared" ref="X9:X24" si="7">P9-W9</f>
        <v>2369710</v>
      </c>
      <c r="Z9" s="98">
        <v>1</v>
      </c>
      <c r="AA9" s="99"/>
      <c r="AC9" s="100">
        <f>IF(N9&gt;=100000,100000,N9)+IF(O9&gt;=200000,200000,O9)</f>
        <v>300000</v>
      </c>
    </row>
    <row r="10" spans="2:29" ht="20.100000000000001" customHeight="1" x14ac:dyDescent="0.3">
      <c r="B10" s="101">
        <v>2</v>
      </c>
      <c r="C10" s="87" t="str">
        <f>[1]직원인적급여카드!B3</f>
        <v>김성헌</v>
      </c>
      <c r="D10" s="88" t="str">
        <f>[1]직원인적급여카드!C3</f>
        <v>부장</v>
      </c>
      <c r="E10" s="89">
        <f>[1]직원인적급여카드!M3</f>
        <v>2100000</v>
      </c>
      <c r="F10" s="102"/>
      <c r="G10" s="102"/>
      <c r="H10" s="102"/>
      <c r="I10" s="102"/>
      <c r="J10" s="103"/>
      <c r="K10" s="103"/>
      <c r="L10" s="103"/>
      <c r="M10" s="103"/>
      <c r="N10" s="89">
        <v>200000</v>
      </c>
      <c r="O10" s="129">
        <v>200000</v>
      </c>
      <c r="P10" s="124">
        <f t="shared" si="0"/>
        <v>2500000</v>
      </c>
      <c r="Q10" s="125">
        <f t="shared" si="1"/>
        <v>25950</v>
      </c>
      <c r="R10" s="126">
        <f t="shared" si="2"/>
        <v>2590</v>
      </c>
      <c r="S10" s="126"/>
      <c r="T10" s="95">
        <f t="shared" si="3"/>
        <v>75460</v>
      </c>
      <c r="U10" s="96">
        <f t="shared" si="4"/>
        <v>8690</v>
      </c>
      <c r="V10" s="127">
        <f t="shared" si="5"/>
        <v>17600</v>
      </c>
      <c r="W10" s="124">
        <f t="shared" si="6"/>
        <v>130290</v>
      </c>
      <c r="X10" s="128">
        <f t="shared" si="7"/>
        <v>2369710</v>
      </c>
      <c r="Z10" s="98">
        <v>1</v>
      </c>
      <c r="AA10" s="99"/>
      <c r="AC10" s="100">
        <f t="shared" ref="AC10:AC13" si="8">IF(N10&gt;=100000,100000,N10)+IF(O10&gt;=200000,200000,O10)</f>
        <v>300000</v>
      </c>
    </row>
    <row r="11" spans="2:29" ht="20.100000000000001" customHeight="1" x14ac:dyDescent="0.3">
      <c r="B11" s="101">
        <v>3</v>
      </c>
      <c r="C11" s="87" t="s">
        <v>195</v>
      </c>
      <c r="D11" s="88" t="str">
        <f>[1]직원인적급여카드!C4</f>
        <v>부장</v>
      </c>
      <c r="E11" s="89">
        <f>[1]직원인적급여카드!M4</f>
        <v>2100000</v>
      </c>
      <c r="F11" s="102"/>
      <c r="G11" s="102"/>
      <c r="H11" s="102"/>
      <c r="I11" s="102"/>
      <c r="J11" s="103"/>
      <c r="K11" s="103"/>
      <c r="L11" s="103"/>
      <c r="M11" s="103"/>
      <c r="N11" s="89">
        <v>200000</v>
      </c>
      <c r="O11" s="129">
        <v>200000</v>
      </c>
      <c r="P11" s="124">
        <f t="shared" si="0"/>
        <v>2500000</v>
      </c>
      <c r="Q11" s="125">
        <f t="shared" si="1"/>
        <v>25950</v>
      </c>
      <c r="R11" s="126">
        <f t="shared" si="2"/>
        <v>2590</v>
      </c>
      <c r="S11" s="126"/>
      <c r="T11" s="95">
        <f t="shared" si="3"/>
        <v>75460</v>
      </c>
      <c r="U11" s="96">
        <f t="shared" si="4"/>
        <v>8690</v>
      </c>
      <c r="V11" s="127">
        <f t="shared" si="5"/>
        <v>17600</v>
      </c>
      <c r="W11" s="124">
        <f t="shared" si="6"/>
        <v>130290</v>
      </c>
      <c r="X11" s="128">
        <f t="shared" si="7"/>
        <v>2369710</v>
      </c>
      <c r="Z11" s="98">
        <v>1</v>
      </c>
      <c r="AA11" s="99"/>
      <c r="AC11" s="100">
        <f t="shared" si="8"/>
        <v>300000</v>
      </c>
    </row>
    <row r="12" spans="2:29" ht="20.100000000000001" customHeight="1" x14ac:dyDescent="0.3">
      <c r="B12" s="101">
        <v>4</v>
      </c>
      <c r="C12" s="87" t="s">
        <v>201</v>
      </c>
      <c r="D12" s="88" t="s">
        <v>45</v>
      </c>
      <c r="E12" s="89">
        <v>2100000</v>
      </c>
      <c r="F12" s="102"/>
      <c r="G12" s="102"/>
      <c r="H12" s="102"/>
      <c r="I12" s="102"/>
      <c r="J12" s="103"/>
      <c r="K12" s="103"/>
      <c r="L12" s="103"/>
      <c r="M12" s="103"/>
      <c r="N12" s="89">
        <v>200000</v>
      </c>
      <c r="O12" s="129">
        <v>200000</v>
      </c>
      <c r="P12" s="124">
        <v>2500000</v>
      </c>
      <c r="Q12" s="125">
        <f t="shared" si="1"/>
        <v>25950</v>
      </c>
      <c r="R12" s="126">
        <f t="shared" si="2"/>
        <v>2590</v>
      </c>
      <c r="S12" s="126"/>
      <c r="T12" s="95">
        <f t="shared" si="3"/>
        <v>75460</v>
      </c>
      <c r="U12" s="96">
        <f t="shared" si="4"/>
        <v>8690</v>
      </c>
      <c r="V12" s="127">
        <f t="shared" si="5"/>
        <v>17600</v>
      </c>
      <c r="W12" s="124">
        <f t="shared" si="6"/>
        <v>130290</v>
      </c>
      <c r="X12" s="128">
        <f t="shared" si="7"/>
        <v>2369710</v>
      </c>
      <c r="Z12" s="98">
        <v>1</v>
      </c>
      <c r="AA12" s="99"/>
      <c r="AC12" s="100">
        <f t="shared" si="8"/>
        <v>300000</v>
      </c>
    </row>
    <row r="13" spans="2:29" ht="20.100000000000001" customHeight="1" x14ac:dyDescent="0.3">
      <c r="B13" s="101">
        <v>5</v>
      </c>
      <c r="C13" s="87" t="s">
        <v>246</v>
      </c>
      <c r="D13" s="88" t="s">
        <v>45</v>
      </c>
      <c r="E13" s="89">
        <v>2100000</v>
      </c>
      <c r="F13" s="102"/>
      <c r="G13" s="102"/>
      <c r="H13" s="102"/>
      <c r="I13" s="102"/>
      <c r="J13" s="103"/>
      <c r="K13" s="103"/>
      <c r="L13" s="103"/>
      <c r="M13" s="103"/>
      <c r="N13" s="89">
        <v>200000</v>
      </c>
      <c r="O13" s="129">
        <v>200000</v>
      </c>
      <c r="P13" s="124">
        <f t="shared" si="0"/>
        <v>2500000</v>
      </c>
      <c r="Q13" s="125">
        <f t="shared" si="1"/>
        <v>25950</v>
      </c>
      <c r="R13" s="126">
        <f t="shared" si="2"/>
        <v>2590</v>
      </c>
      <c r="S13" s="126"/>
      <c r="T13" s="95">
        <f t="shared" si="3"/>
        <v>75460</v>
      </c>
      <c r="U13" s="96">
        <f t="shared" si="4"/>
        <v>8690</v>
      </c>
      <c r="V13" s="127">
        <f t="shared" si="5"/>
        <v>17600</v>
      </c>
      <c r="W13" s="124">
        <f t="shared" si="6"/>
        <v>130290</v>
      </c>
      <c r="X13" s="128">
        <f t="shared" si="7"/>
        <v>2369710</v>
      </c>
      <c r="Z13" s="98">
        <v>1</v>
      </c>
      <c r="AA13" s="99"/>
      <c r="AC13" s="100">
        <f t="shared" si="8"/>
        <v>300000</v>
      </c>
    </row>
    <row r="14" spans="2:29" ht="20.100000000000001" customHeight="1" x14ac:dyDescent="0.3">
      <c r="B14" s="101">
        <v>6</v>
      </c>
      <c r="C14" s="87" t="s">
        <v>197</v>
      </c>
      <c r="D14" s="88" t="str">
        <f>[1]직원인적급여카드!C7</f>
        <v>부장</v>
      </c>
      <c r="E14" s="89">
        <f>[1]직원인적급여카드!M7</f>
        <v>2100000</v>
      </c>
      <c r="F14" s="102"/>
      <c r="G14" s="102"/>
      <c r="H14" s="102"/>
      <c r="I14" s="102"/>
      <c r="J14" s="103"/>
      <c r="K14" s="103"/>
      <c r="L14" s="103"/>
      <c r="M14" s="103"/>
      <c r="N14" s="89">
        <v>200000</v>
      </c>
      <c r="O14" s="129">
        <v>200000</v>
      </c>
      <c r="P14" s="124">
        <f t="shared" si="0"/>
        <v>2500000</v>
      </c>
      <c r="Q14" s="125">
        <f t="shared" si="1"/>
        <v>25950</v>
      </c>
      <c r="R14" s="126">
        <f t="shared" si="2"/>
        <v>2590</v>
      </c>
      <c r="S14" s="126"/>
      <c r="T14" s="95">
        <f t="shared" si="3"/>
        <v>75460</v>
      </c>
      <c r="U14" s="96">
        <f t="shared" si="4"/>
        <v>8690</v>
      </c>
      <c r="V14" s="127">
        <f>IFERROR(IF(D15&lt;&gt;"대표이사",ROUNDDOWN((P14-AC14)*고용보험율,-1),0),)</f>
        <v>17600</v>
      </c>
      <c r="W14" s="124">
        <f>SUM(Q14:V14)</f>
        <v>130290</v>
      </c>
      <c r="X14" s="128">
        <f t="shared" si="7"/>
        <v>2369710</v>
      </c>
      <c r="Z14" s="98">
        <v>1</v>
      </c>
      <c r="AA14" s="99"/>
      <c r="AC14" s="100">
        <f>IF(N15&gt;=100000,100000,N15)+IF(O14&gt;=200000,200000,O14)</f>
        <v>300000</v>
      </c>
    </row>
    <row r="15" spans="2:29" ht="20.100000000000001" customHeight="1" x14ac:dyDescent="0.3">
      <c r="B15" s="101">
        <v>7</v>
      </c>
      <c r="C15" s="87" t="s">
        <v>232</v>
      </c>
      <c r="D15" s="88" t="s">
        <v>50</v>
      </c>
      <c r="E15" s="89">
        <v>2100000</v>
      </c>
      <c r="F15" s="106"/>
      <c r="G15" s="106"/>
      <c r="H15" s="106"/>
      <c r="I15" s="106"/>
      <c r="J15" s="107"/>
      <c r="K15" s="107"/>
      <c r="L15" s="107"/>
      <c r="M15" s="107"/>
      <c r="N15" s="89">
        <v>200000</v>
      </c>
      <c r="O15" s="130">
        <v>200000</v>
      </c>
      <c r="P15" s="124">
        <f t="shared" ref="P15:P20" si="9">SUM(E15:O15)</f>
        <v>2500000</v>
      </c>
      <c r="Q15" s="125">
        <f t="shared" si="1"/>
        <v>25950</v>
      </c>
      <c r="R15" s="126">
        <f t="shared" si="2"/>
        <v>2590</v>
      </c>
      <c r="S15" s="126">
        <f t="shared" ref="S15" si="10">IFERROR(IF(AND(P15-AC15&gt;=월액최저,P15-AC15&lt;=월액최고),ROUNDDOWN((P15-AC15)*국민연금,-1),IF(P15-AC15&gt;=월액최고,최고연금,IF(AND(P15-AC15&lt;=월액최저,P15-AC15&gt;=1),최저연금,))),)</f>
        <v>99000</v>
      </c>
      <c r="T15" s="95">
        <f t="shared" si="3"/>
        <v>75460</v>
      </c>
      <c r="U15" s="96">
        <f t="shared" si="4"/>
        <v>8690</v>
      </c>
      <c r="V15" s="127">
        <f t="shared" ref="V15:V18" si="11">IFERROR(IF(D15&lt;&gt;"대표이사",ROUNDDOWN((P15-AC15)*고용보험율,-1),0),)</f>
        <v>17600</v>
      </c>
      <c r="W15" s="124">
        <f t="shared" ref="W15:W24" si="12">SUM(Q15:V15)</f>
        <v>229290</v>
      </c>
      <c r="X15" s="128">
        <f t="shared" si="7"/>
        <v>2270710</v>
      </c>
      <c r="Z15" s="98">
        <v>1</v>
      </c>
      <c r="AA15" s="99"/>
      <c r="AC15" s="100">
        <f t="shared" ref="AC15:AC25" si="13">IF(N15&gt;=100000,100000,N15)+IF(O15&gt;=200000,200000,O15)</f>
        <v>300000</v>
      </c>
    </row>
    <row r="16" spans="2:29" ht="20.100000000000001" customHeight="1" x14ac:dyDescent="0.3">
      <c r="B16" s="101">
        <v>8</v>
      </c>
      <c r="C16" s="87" t="s">
        <v>251</v>
      </c>
      <c r="D16" s="88" t="s">
        <v>50</v>
      </c>
      <c r="E16" s="89">
        <v>2100000</v>
      </c>
      <c r="F16" s="106"/>
      <c r="G16" s="106"/>
      <c r="H16" s="106"/>
      <c r="I16" s="106"/>
      <c r="J16" s="107"/>
      <c r="K16" s="107"/>
      <c r="L16" s="107"/>
      <c r="M16" s="107"/>
      <c r="N16" s="89">
        <v>200000</v>
      </c>
      <c r="O16" s="130">
        <v>200000</v>
      </c>
      <c r="P16" s="124">
        <f t="shared" si="9"/>
        <v>2500000</v>
      </c>
      <c r="Q16" s="125">
        <f t="shared" si="1"/>
        <v>25950</v>
      </c>
      <c r="R16" s="126">
        <f t="shared" si="2"/>
        <v>2590</v>
      </c>
      <c r="S16" s="126"/>
      <c r="T16" s="95">
        <f t="shared" si="3"/>
        <v>75460</v>
      </c>
      <c r="U16" s="96">
        <f t="shared" si="4"/>
        <v>8690</v>
      </c>
      <c r="V16" s="127">
        <f t="shared" si="11"/>
        <v>17600</v>
      </c>
      <c r="W16" s="124">
        <f t="shared" si="12"/>
        <v>130290</v>
      </c>
      <c r="X16" s="128">
        <f t="shared" si="7"/>
        <v>2369710</v>
      </c>
      <c r="Z16" s="98">
        <v>1</v>
      </c>
      <c r="AA16" s="99"/>
      <c r="AC16" s="100">
        <f t="shared" si="13"/>
        <v>300000</v>
      </c>
    </row>
    <row r="17" spans="2:29" ht="20.100000000000001" customHeight="1" x14ac:dyDescent="0.3">
      <c r="B17" s="181">
        <v>17</v>
      </c>
      <c r="C17" s="258" t="s">
        <v>330</v>
      </c>
      <c r="D17" s="182" t="s">
        <v>335</v>
      </c>
      <c r="E17" s="183">
        <v>2100000</v>
      </c>
      <c r="F17" s="184"/>
      <c r="G17" s="184"/>
      <c r="H17" s="184"/>
      <c r="I17" s="184"/>
      <c r="J17" s="185"/>
      <c r="K17" s="185"/>
      <c r="L17" s="185"/>
      <c r="M17" s="185"/>
      <c r="N17" s="183">
        <v>200000</v>
      </c>
      <c r="O17" s="186">
        <v>200000</v>
      </c>
      <c r="P17" s="187">
        <f t="shared" ref="P17" si="14">SUM(E17:O17)</f>
        <v>2500000</v>
      </c>
      <c r="Q17" s="125">
        <f t="shared" si="1"/>
        <v>2210</v>
      </c>
      <c r="R17" s="126">
        <f t="shared" ref="R17" si="15">ROUNDDOWN(Q17*10%,-1)</f>
        <v>220</v>
      </c>
      <c r="S17" s="126">
        <f t="shared" ref="S17" si="16">IFERROR(IF(AND(P17-AC17&gt;=월액최저,P17-AC17&lt;=월액최고),ROUNDDOWN((P17-AC17)*국민연금,-1),IF(P17-AC17&gt;=월액최고,최고연금,IF(AND(P17-AC17&lt;=월액최저,P17-AC17&gt;=1),최저연금,))),)</f>
        <v>99000</v>
      </c>
      <c r="T17" s="188">
        <f t="shared" ref="T17" si="17">IFERROR(ROUNDDOWN((P17-AC17)*3.43%,-1),)</f>
        <v>75460</v>
      </c>
      <c r="U17" s="189">
        <f t="shared" ref="U17" si="18">ROUNDDOWN(T17*11.52%,-1)</f>
        <v>8690</v>
      </c>
      <c r="V17" s="127">
        <f t="shared" si="11"/>
        <v>17600</v>
      </c>
      <c r="W17" s="124">
        <f t="shared" si="12"/>
        <v>203180</v>
      </c>
      <c r="X17" s="190"/>
      <c r="Z17" s="191"/>
      <c r="AA17" s="192"/>
      <c r="AC17" s="100">
        <f t="shared" ref="AC17" si="19">IF(N17&gt;=100000,100000,N17)+IF(O17&gt;=200000,200000,O17)</f>
        <v>300000</v>
      </c>
    </row>
    <row r="18" spans="2:29" ht="20.100000000000001" customHeight="1" x14ac:dyDescent="0.3">
      <c r="B18" s="101">
        <v>10</v>
      </c>
      <c r="C18" s="170" t="s">
        <v>289</v>
      </c>
      <c r="D18" s="88" t="s">
        <v>54</v>
      </c>
      <c r="E18" s="89">
        <v>2100000</v>
      </c>
      <c r="F18" s="106"/>
      <c r="G18" s="106"/>
      <c r="H18" s="106"/>
      <c r="I18" s="106"/>
      <c r="J18" s="107"/>
      <c r="K18" s="107"/>
      <c r="L18" s="107"/>
      <c r="M18" s="107"/>
      <c r="N18" s="89">
        <v>200000</v>
      </c>
      <c r="O18" s="130">
        <v>200000</v>
      </c>
      <c r="P18" s="124">
        <f t="shared" si="9"/>
        <v>2500000</v>
      </c>
      <c r="Q18" s="125">
        <f t="shared" si="1"/>
        <v>25950</v>
      </c>
      <c r="R18" s="126">
        <f t="shared" si="2"/>
        <v>2590</v>
      </c>
      <c r="S18" s="126"/>
      <c r="T18" s="95">
        <f t="shared" si="3"/>
        <v>75460</v>
      </c>
      <c r="U18" s="96">
        <f t="shared" si="4"/>
        <v>8690</v>
      </c>
      <c r="V18" s="127">
        <f t="shared" si="11"/>
        <v>17600</v>
      </c>
      <c r="W18" s="124">
        <f t="shared" si="12"/>
        <v>130290</v>
      </c>
      <c r="X18" s="128">
        <f t="shared" si="7"/>
        <v>2369710</v>
      </c>
      <c r="Z18" s="98">
        <v>1</v>
      </c>
      <c r="AA18" s="99"/>
      <c r="AC18" s="100">
        <f t="shared" si="13"/>
        <v>300000</v>
      </c>
    </row>
    <row r="19" spans="2:29" ht="20.100000000000001" customHeight="1" x14ac:dyDescent="0.3">
      <c r="B19" s="101">
        <v>11</v>
      </c>
      <c r="C19" s="170" t="s">
        <v>245</v>
      </c>
      <c r="D19" s="88" t="s">
        <v>45</v>
      </c>
      <c r="E19" s="89">
        <v>2100000</v>
      </c>
      <c r="F19" s="102"/>
      <c r="G19" s="102"/>
      <c r="H19" s="102"/>
      <c r="I19" s="102"/>
      <c r="J19" s="103"/>
      <c r="K19" s="103"/>
      <c r="L19" s="103"/>
      <c r="M19" s="103"/>
      <c r="N19" s="89">
        <v>200000</v>
      </c>
      <c r="O19" s="104">
        <v>200000</v>
      </c>
      <c r="P19" s="124">
        <f t="shared" si="9"/>
        <v>2500000</v>
      </c>
      <c r="Q19" s="125">
        <f t="shared" si="1"/>
        <v>25950</v>
      </c>
      <c r="R19" s="126">
        <f t="shared" si="2"/>
        <v>2590</v>
      </c>
      <c r="S19" s="126"/>
      <c r="T19" s="95">
        <f t="shared" si="3"/>
        <v>75460</v>
      </c>
      <c r="U19" s="96">
        <f t="shared" si="4"/>
        <v>8690</v>
      </c>
      <c r="V19" s="127">
        <f>IFERROR(IF(D20&lt;&gt;"대표이사",ROUNDDOWN((P19-AC19)*고용보험율,-1),0),)</f>
        <v>17600</v>
      </c>
      <c r="W19" s="124">
        <f>SUM(Q19:V19)</f>
        <v>130290</v>
      </c>
      <c r="X19" s="128">
        <f t="shared" si="7"/>
        <v>2369710</v>
      </c>
      <c r="Z19" s="98">
        <v>1</v>
      </c>
      <c r="AA19" s="99"/>
      <c r="AC19" s="100">
        <f t="shared" si="13"/>
        <v>300000</v>
      </c>
    </row>
    <row r="20" spans="2:29" ht="20.100000000000001" customHeight="1" x14ac:dyDescent="0.3">
      <c r="B20" s="101">
        <v>12</v>
      </c>
      <c r="C20" s="170" t="s">
        <v>311</v>
      </c>
      <c r="D20" s="88" t="s">
        <v>45</v>
      </c>
      <c r="E20" s="89">
        <v>2100000</v>
      </c>
      <c r="F20" s="102"/>
      <c r="G20" s="102"/>
      <c r="H20" s="102"/>
      <c r="I20" s="102"/>
      <c r="J20" s="103"/>
      <c r="K20" s="103"/>
      <c r="L20" s="103"/>
      <c r="M20" s="103"/>
      <c r="N20" s="89">
        <v>200000</v>
      </c>
      <c r="O20" s="123">
        <v>200000</v>
      </c>
      <c r="P20" s="124">
        <f t="shared" si="9"/>
        <v>2500000</v>
      </c>
      <c r="Q20" s="125">
        <f t="shared" si="1"/>
        <v>25950</v>
      </c>
      <c r="R20" s="126">
        <f t="shared" si="2"/>
        <v>2590</v>
      </c>
      <c r="S20" s="126">
        <f t="shared" ref="S20:S21" si="20">IFERROR(IF(AND(P20-AC20&gt;=월액최저,P20-AC20&lt;=월액최고),ROUNDDOWN((P20-AC20)*국민연금,-1),IF(P20-AC20&gt;=월액최고,최고연금,IF(AND(P20-AC20&lt;=월액최저,P20-AC20&gt;=1),최저연금,))),)</f>
        <v>99000</v>
      </c>
      <c r="T20" s="95">
        <f t="shared" si="3"/>
        <v>75460</v>
      </c>
      <c r="U20" s="96">
        <f t="shared" si="4"/>
        <v>8690</v>
      </c>
      <c r="V20" s="127">
        <f t="shared" ref="V20:V21" si="21">IFERROR(IF(D20&lt;&gt;"대표이사",ROUNDDOWN((P20-AC20)*고용보험율,-1),0),)</f>
        <v>17600</v>
      </c>
      <c r="W20" s="124">
        <f t="shared" ref="W20:W21" si="22">SUM(Q20:V20)</f>
        <v>229290</v>
      </c>
      <c r="X20" s="128">
        <f t="shared" si="7"/>
        <v>2270710</v>
      </c>
      <c r="Z20" s="98">
        <v>1</v>
      </c>
      <c r="AA20" s="99"/>
      <c r="AC20" s="100">
        <f t="shared" si="13"/>
        <v>300000</v>
      </c>
    </row>
    <row r="21" spans="2:29" ht="20.100000000000001" customHeight="1" x14ac:dyDescent="0.3">
      <c r="B21" s="101">
        <v>16</v>
      </c>
      <c r="C21" s="170" t="s">
        <v>318</v>
      </c>
      <c r="D21" s="88" t="s">
        <v>319</v>
      </c>
      <c r="E21" s="89">
        <v>4500000</v>
      </c>
      <c r="F21" s="106"/>
      <c r="G21" s="106"/>
      <c r="H21" s="106"/>
      <c r="I21" s="106"/>
      <c r="J21" s="107"/>
      <c r="K21" s="107"/>
      <c r="L21" s="107"/>
      <c r="M21" s="107"/>
      <c r="N21" s="89">
        <v>200000</v>
      </c>
      <c r="O21" s="130">
        <v>200000</v>
      </c>
      <c r="P21" s="124">
        <f t="shared" ref="P21" si="23">SUM(E21:O21)</f>
        <v>4900000</v>
      </c>
      <c r="Q21" s="125">
        <f t="shared" ref="Q21" si="24">IFERROR(IF(P21-AC21&lt;=10000000,VLOOKUP((P21-AC21)/1000,간이세액표,IF(11&lt;Z21+AA21,13,2+Z21+AA21),TRUE),IF(P21-AC21&gt;14000000,VLOOKUP((P21-AC21)/1000,간이세액표,IF(11&lt;Z21+AA21,13,2+Z21+AA21),TRUE)+1372000+ROUNDDOWN(((P21-AC21-14000000)*98%)*38%,-1),VLOOKUP((P21-AC21)/1000,간이세액표,IF(11&lt;Z21+AA21,13,2+Z21+AA21),TRUE)+ROUNDDOWN(((P21-AC21-10000000)*98%)*35%,-1))),)</f>
        <v>297810</v>
      </c>
      <c r="R21" s="126">
        <f t="shared" ref="R21" si="25">ROUNDDOWN(Q21*10%,-1)</f>
        <v>29780</v>
      </c>
      <c r="S21" s="126">
        <f t="shared" si="20"/>
        <v>207000</v>
      </c>
      <c r="T21" s="95">
        <f t="shared" ref="T21" si="26">IFERROR(ROUNDDOWN((P21-AC21)*3.43%,-1),)</f>
        <v>157780</v>
      </c>
      <c r="U21" s="96">
        <f t="shared" ref="U21" si="27">ROUNDDOWN(T21*11.52%,-1)</f>
        <v>18170</v>
      </c>
      <c r="V21" s="127">
        <f>IFERROR(IF(D21&lt;&gt;"대표이사",ROUNDDOWN((P21-AC21)*고용보험율,-1),0),)</f>
        <v>36800</v>
      </c>
      <c r="W21" s="124">
        <f t="shared" si="22"/>
        <v>747340</v>
      </c>
      <c r="X21" s="128">
        <f t="shared" ref="X21" si="28">P21-W21</f>
        <v>4152660</v>
      </c>
      <c r="Z21" s="98">
        <v>1</v>
      </c>
      <c r="AA21" s="99"/>
      <c r="AC21" s="100">
        <f t="shared" ref="AC21" si="29">IF(N21&gt;=100000,100000,N21)+IF(O21&gt;=200000,200000,O21)</f>
        <v>300000</v>
      </c>
    </row>
    <row r="22" spans="2:29" ht="20.100000000000001" customHeight="1" x14ac:dyDescent="0.3">
      <c r="B22" s="101">
        <v>14</v>
      </c>
      <c r="C22" s="170" t="s">
        <v>188</v>
      </c>
      <c r="D22" s="88" t="s">
        <v>50</v>
      </c>
      <c r="E22" s="89">
        <v>2100000</v>
      </c>
      <c r="F22" s="106"/>
      <c r="G22" s="106"/>
      <c r="H22" s="106"/>
      <c r="I22" s="106"/>
      <c r="J22" s="107"/>
      <c r="K22" s="107"/>
      <c r="L22" s="107"/>
      <c r="M22" s="107"/>
      <c r="N22" s="89">
        <v>200000</v>
      </c>
      <c r="O22" s="130">
        <v>200000</v>
      </c>
      <c r="P22" s="124">
        <f t="shared" ref="P21:P25" si="30">SUM(E22:O22)</f>
        <v>2500000</v>
      </c>
      <c r="Q22" s="94">
        <v>25950</v>
      </c>
      <c r="R22" s="126">
        <f t="shared" si="2"/>
        <v>2590</v>
      </c>
      <c r="S22" s="126">
        <v>99000</v>
      </c>
      <c r="T22" s="95">
        <v>75460</v>
      </c>
      <c r="U22" s="96">
        <f t="shared" si="4"/>
        <v>8690</v>
      </c>
      <c r="V22" s="127">
        <v>17600</v>
      </c>
      <c r="W22" s="124">
        <f>SUM(Q22:V22)</f>
        <v>229290</v>
      </c>
      <c r="X22" s="97">
        <f t="shared" si="7"/>
        <v>2270710</v>
      </c>
      <c r="Z22" s="98">
        <v>1</v>
      </c>
      <c r="AA22" s="99"/>
      <c r="AC22" s="100"/>
    </row>
    <row r="23" spans="2:29" ht="20.100000000000001" customHeight="1" x14ac:dyDescent="0.3">
      <c r="B23" s="101"/>
      <c r="C23" s="170"/>
      <c r="D23" s="88"/>
      <c r="E23" s="89"/>
      <c r="F23" s="106"/>
      <c r="G23" s="106"/>
      <c r="H23" s="106"/>
      <c r="I23" s="106"/>
      <c r="J23" s="107"/>
      <c r="K23" s="107"/>
      <c r="L23" s="107"/>
      <c r="M23" s="107"/>
      <c r="N23" s="89">
        <v>100000</v>
      </c>
      <c r="O23" s="130">
        <v>100000</v>
      </c>
      <c r="P23" s="124">
        <f t="shared" si="30"/>
        <v>200000</v>
      </c>
      <c r="Q23" s="125">
        <f t="shared" ref="Q23:Q25" si="31">IFERROR(IF(P23-AC23&lt;=10000000,VLOOKUP((P23-AC23)/1000,간이세액표,IF(11&lt;Z23+AA23,13,2+Z23+AA23),TRUE),IF(P23-AC23&gt;14000000,VLOOKUP((P23-AC23)/1000,간이세액표,IF(11&lt;Z23+AA23,13,2+Z23+AA23),TRUE)+1372000+ROUNDDOWN(((P23-AC23-14000000)*98%)*38%,-1),VLOOKUP((P23-AC23)/1000,간이세액표,IF(11&lt;Z23+AA23,13,2+Z23+AA23),TRUE)+ROUNDDOWN(((P23-AC23-10000000)*98%)*35%,-1))),)</f>
        <v>0</v>
      </c>
      <c r="R23" s="126">
        <f t="shared" si="2"/>
        <v>0</v>
      </c>
      <c r="S23" s="126">
        <f t="shared" ref="S23:S25" si="32">IFERROR(IF(AND(P23-AC23&gt;=월액최저,P23-AC23&lt;=월액최고),ROUNDDOWN((P23-AC23)*국민연금,-1),IF(P23-AC23&gt;=월액최고,최고연금,IF(AND(P23-AC23&lt;=월액최저,P23-AC23&gt;=1),최저연금,))),)</f>
        <v>0</v>
      </c>
      <c r="T23" s="95">
        <f t="shared" ref="T23" si="33">IFERROR(ROUNDDOWN((P23-AC23)*3.43%,-1),)</f>
        <v>0</v>
      </c>
      <c r="U23" s="96">
        <f t="shared" si="4"/>
        <v>0</v>
      </c>
      <c r="V23" s="127">
        <f t="shared" ref="V23:V25" si="34">IFERROR(IF(D23&lt;&gt;"대표이사",ROUNDDOWN((P23-AC23)*고용보험율,-1),0),)</f>
        <v>0</v>
      </c>
      <c r="W23" s="124">
        <f t="shared" ref="W23:W25" si="35">SUM(Q23:V23)</f>
        <v>0</v>
      </c>
      <c r="X23" s="128">
        <f t="shared" si="7"/>
        <v>200000</v>
      </c>
      <c r="Z23" s="98">
        <v>1</v>
      </c>
      <c r="AA23" s="99"/>
      <c r="AC23" s="100">
        <f t="shared" ref="AC23" si="36">IF(N23&gt;=100000,100000,N23)+IF(O23&gt;=200000,200000,O23)</f>
        <v>200000</v>
      </c>
    </row>
    <row r="24" spans="2:29" ht="20.100000000000001" customHeight="1" x14ac:dyDescent="0.3">
      <c r="B24" s="101"/>
      <c r="C24" s="170"/>
      <c r="D24" s="88"/>
      <c r="E24" s="89"/>
      <c r="F24" s="106"/>
      <c r="G24" s="106"/>
      <c r="H24" s="106"/>
      <c r="I24" s="106"/>
      <c r="J24" s="107"/>
      <c r="K24" s="107"/>
      <c r="L24" s="107"/>
      <c r="M24" s="107"/>
      <c r="N24" s="89"/>
      <c r="O24" s="130"/>
      <c r="P24" s="124"/>
      <c r="Q24" s="125"/>
      <c r="R24" s="126">
        <f t="shared" si="2"/>
        <v>0</v>
      </c>
      <c r="S24" s="126">
        <f t="shared" si="32"/>
        <v>0</v>
      </c>
      <c r="T24" s="95">
        <f t="shared" si="3"/>
        <v>0</v>
      </c>
      <c r="U24" s="96">
        <f t="shared" si="4"/>
        <v>0</v>
      </c>
      <c r="V24" s="127">
        <f>IFERROR(IF(D24&lt;&gt;"대표이사",ROUNDDOWN((P24-AC24)*고용보험율,-1),0),)</f>
        <v>0</v>
      </c>
      <c r="W24" s="124">
        <f t="shared" si="12"/>
        <v>0</v>
      </c>
      <c r="X24" s="128">
        <f t="shared" si="7"/>
        <v>0</v>
      </c>
      <c r="Z24" s="98">
        <v>1</v>
      </c>
      <c r="AA24" s="99"/>
      <c r="AC24" s="100">
        <f t="shared" si="13"/>
        <v>0</v>
      </c>
    </row>
    <row r="25" spans="2:29" ht="20.100000000000001" customHeight="1" x14ac:dyDescent="0.3">
      <c r="B25" s="181"/>
      <c r="C25" s="258"/>
      <c r="D25" s="182"/>
      <c r="E25" s="183"/>
      <c r="F25" s="184"/>
      <c r="G25" s="184"/>
      <c r="H25" s="184"/>
      <c r="I25" s="184"/>
      <c r="J25" s="185"/>
      <c r="K25" s="185"/>
      <c r="L25" s="185"/>
      <c r="M25" s="185"/>
      <c r="N25" s="183"/>
      <c r="O25" s="186"/>
      <c r="P25" s="187"/>
      <c r="Q25" s="125">
        <f t="shared" si="31"/>
        <v>0</v>
      </c>
      <c r="R25" s="126">
        <f t="shared" si="2"/>
        <v>0</v>
      </c>
      <c r="S25" s="126">
        <f t="shared" si="32"/>
        <v>0</v>
      </c>
      <c r="T25" s="188">
        <f t="shared" si="3"/>
        <v>0</v>
      </c>
      <c r="U25" s="189">
        <f t="shared" si="4"/>
        <v>0</v>
      </c>
      <c r="V25" s="127">
        <f t="shared" si="34"/>
        <v>0</v>
      </c>
      <c r="W25" s="124">
        <f t="shared" si="35"/>
        <v>0</v>
      </c>
      <c r="X25" s="190"/>
      <c r="Z25" s="191"/>
      <c r="AA25" s="192"/>
      <c r="AC25" s="100">
        <f t="shared" si="13"/>
        <v>0</v>
      </c>
    </row>
    <row r="26" spans="2:29" ht="20.100000000000001" customHeight="1" x14ac:dyDescent="0.3">
      <c r="B26" s="216" t="s">
        <v>93</v>
      </c>
      <c r="C26" s="217"/>
      <c r="D26" s="218"/>
      <c r="E26" s="131">
        <f>SUM(E9:E25)</f>
        <v>31800000</v>
      </c>
      <c r="F26" s="132">
        <f t="shared" ref="F26:X26" si="37">SUM(F9:F24)</f>
        <v>0</v>
      </c>
      <c r="G26" s="132">
        <f t="shared" si="37"/>
        <v>0</v>
      </c>
      <c r="H26" s="132">
        <f t="shared" si="37"/>
        <v>0</v>
      </c>
      <c r="I26" s="132">
        <f t="shared" si="37"/>
        <v>0</v>
      </c>
      <c r="J26" s="132">
        <f t="shared" si="37"/>
        <v>0</v>
      </c>
      <c r="K26" s="132">
        <f t="shared" si="37"/>
        <v>0</v>
      </c>
      <c r="L26" s="132">
        <f t="shared" si="37"/>
        <v>0</v>
      </c>
      <c r="M26" s="133">
        <f t="shared" si="37"/>
        <v>0</v>
      </c>
      <c r="N26" s="131">
        <f>SUM(N9:N25)</f>
        <v>2900000</v>
      </c>
      <c r="O26" s="134">
        <f>SUM(O9:O25)</f>
        <v>2900000</v>
      </c>
      <c r="P26" s="135">
        <f>SUM(P9:P25)</f>
        <v>37600000</v>
      </c>
      <c r="Q26" s="131">
        <f t="shared" si="37"/>
        <v>611420</v>
      </c>
      <c r="R26" s="132">
        <f t="shared" si="37"/>
        <v>61080</v>
      </c>
      <c r="S26" s="132">
        <f t="shared" si="37"/>
        <v>603000</v>
      </c>
      <c r="T26" s="132">
        <f>SUM(T9:T25)</f>
        <v>1138760</v>
      </c>
      <c r="U26" s="133">
        <f>SUM(U9:U25)</f>
        <v>131140</v>
      </c>
      <c r="V26" s="133">
        <f t="shared" si="37"/>
        <v>265600</v>
      </c>
      <c r="W26" s="135">
        <f t="shared" si="37"/>
        <v>2811000</v>
      </c>
      <c r="X26" s="136">
        <f t="shared" si="37"/>
        <v>32492180</v>
      </c>
    </row>
    <row r="27" spans="2:29" ht="20.25" customHeight="1" thickBot="1" x14ac:dyDescent="0.35">
      <c r="B27" s="219" t="s">
        <v>94</v>
      </c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</row>
    <row r="28" spans="2:29" ht="15" customHeight="1" x14ac:dyDescent="0.3">
      <c r="B28" s="118"/>
      <c r="C28" s="119" t="s">
        <v>122</v>
      </c>
      <c r="D28" s="220" t="s">
        <v>123</v>
      </c>
      <c r="E28" s="221"/>
      <c r="F28" s="220" t="s">
        <v>124</v>
      </c>
      <c r="G28" s="221"/>
      <c r="H28" s="222" t="s">
        <v>95</v>
      </c>
      <c r="I28" s="223"/>
      <c r="J28" s="223"/>
      <c r="K28" s="223"/>
      <c r="L28" s="223"/>
      <c r="M28" s="223"/>
      <c r="N28" s="223"/>
      <c r="O28" s="223"/>
      <c r="P28" s="224"/>
      <c r="Q28" s="64"/>
      <c r="R28" s="64"/>
      <c r="S28" s="64"/>
      <c r="T28" s="64"/>
      <c r="U28" s="64"/>
      <c r="V28" s="64"/>
    </row>
    <row r="29" spans="2:29" ht="15" customHeight="1" x14ac:dyDescent="0.3">
      <c r="B29" s="225" t="s">
        <v>96</v>
      </c>
      <c r="C29" s="120" t="s">
        <v>333</v>
      </c>
      <c r="D29" s="197" t="s">
        <v>192</v>
      </c>
      <c r="E29" s="198"/>
      <c r="F29" s="204" t="s">
        <v>334</v>
      </c>
      <c r="G29" s="205"/>
      <c r="H29" s="206" t="s">
        <v>336</v>
      </c>
      <c r="I29" s="207"/>
      <c r="J29" s="207"/>
      <c r="K29" s="207"/>
      <c r="L29" s="207"/>
      <c r="M29" s="207"/>
      <c r="N29" s="207"/>
      <c r="O29" s="207"/>
      <c r="P29" s="208"/>
      <c r="Q29" s="64"/>
      <c r="R29" s="64"/>
      <c r="S29" s="64"/>
      <c r="T29" s="64"/>
      <c r="U29" s="64"/>
      <c r="V29" s="64"/>
    </row>
    <row r="30" spans="2:29" ht="15" customHeight="1" x14ac:dyDescent="0.3">
      <c r="B30" s="195"/>
      <c r="C30" s="120"/>
      <c r="D30" s="197"/>
      <c r="E30" s="198"/>
      <c r="F30" s="204"/>
      <c r="G30" s="205"/>
      <c r="H30" s="206"/>
      <c r="I30" s="207"/>
      <c r="J30" s="207"/>
      <c r="K30" s="207"/>
      <c r="L30" s="207"/>
      <c r="M30" s="207"/>
      <c r="N30" s="207"/>
      <c r="O30" s="207"/>
      <c r="P30" s="208"/>
      <c r="Q30" s="64"/>
      <c r="R30" s="64"/>
      <c r="S30" s="64"/>
      <c r="T30" s="64"/>
      <c r="U30" s="64"/>
      <c r="V30" s="64"/>
    </row>
    <row r="31" spans="2:29" ht="15" customHeight="1" x14ac:dyDescent="0.3">
      <c r="B31" s="195"/>
      <c r="C31" s="147"/>
      <c r="D31" s="197"/>
      <c r="E31" s="198"/>
      <c r="F31" s="204"/>
      <c r="G31" s="205"/>
      <c r="H31" s="206"/>
      <c r="I31" s="207"/>
      <c r="J31" s="207"/>
      <c r="K31" s="207"/>
      <c r="L31" s="207"/>
      <c r="M31" s="207"/>
      <c r="N31" s="207"/>
      <c r="O31" s="207"/>
      <c r="P31" s="208"/>
      <c r="Q31" s="64"/>
      <c r="R31" s="64"/>
      <c r="S31" s="64"/>
      <c r="T31" s="64"/>
      <c r="U31" s="64"/>
      <c r="V31" s="64"/>
    </row>
    <row r="32" spans="2:29" ht="15" customHeight="1" thickBot="1" x14ac:dyDescent="0.35">
      <c r="B32" s="226"/>
      <c r="C32" s="121"/>
      <c r="D32" s="227"/>
      <c r="E32" s="228"/>
      <c r="F32" s="229"/>
      <c r="G32" s="230"/>
      <c r="H32" s="231"/>
      <c r="I32" s="232"/>
      <c r="J32" s="232"/>
      <c r="K32" s="232"/>
      <c r="L32" s="232"/>
      <c r="M32" s="232"/>
      <c r="N32" s="232"/>
      <c r="O32" s="232"/>
      <c r="P32" s="233"/>
      <c r="Q32" s="64"/>
      <c r="R32" s="64"/>
      <c r="S32" s="64"/>
      <c r="T32" s="64"/>
      <c r="U32" s="64"/>
      <c r="V32" s="64"/>
    </row>
    <row r="33" spans="2:22" ht="15" customHeight="1" thickTop="1" thickBot="1" x14ac:dyDescent="0.35">
      <c r="B33" s="195" t="s">
        <v>97</v>
      </c>
      <c r="C33" s="121" t="s">
        <v>324</v>
      </c>
      <c r="D33" s="197" t="s">
        <v>314</v>
      </c>
      <c r="E33" s="198"/>
      <c r="F33" s="199" t="s">
        <v>325</v>
      </c>
      <c r="G33" s="200"/>
      <c r="H33" s="201" t="s">
        <v>329</v>
      </c>
      <c r="I33" s="202"/>
      <c r="J33" s="202"/>
      <c r="K33" s="202"/>
      <c r="L33" s="202"/>
      <c r="M33" s="202"/>
      <c r="N33" s="202"/>
      <c r="O33" s="202"/>
      <c r="P33" s="203"/>
      <c r="Q33" s="64"/>
      <c r="R33" s="64"/>
      <c r="S33" s="64"/>
      <c r="T33" s="64"/>
      <c r="U33" s="64"/>
      <c r="V33" s="64"/>
    </row>
    <row r="34" spans="2:22" ht="15" customHeight="1" thickTop="1" x14ac:dyDescent="0.3">
      <c r="B34" s="195"/>
      <c r="C34" s="120" t="s">
        <v>326</v>
      </c>
      <c r="D34" s="197" t="s">
        <v>313</v>
      </c>
      <c r="E34" s="198"/>
      <c r="F34" s="204" t="s">
        <v>327</v>
      </c>
      <c r="G34" s="205"/>
      <c r="H34" s="206" t="s">
        <v>330</v>
      </c>
      <c r="I34" s="207"/>
      <c r="J34" s="207"/>
      <c r="K34" s="207"/>
      <c r="L34" s="207"/>
      <c r="M34" s="207"/>
      <c r="N34" s="207"/>
      <c r="O34" s="207"/>
      <c r="P34" s="208"/>
      <c r="Q34" s="64"/>
      <c r="R34" s="64"/>
      <c r="S34" s="64"/>
      <c r="T34" s="64"/>
      <c r="U34" s="64"/>
      <c r="V34" s="64"/>
    </row>
    <row r="35" spans="2:22" ht="15" customHeight="1" thickBot="1" x14ac:dyDescent="0.35">
      <c r="B35" s="195"/>
      <c r="C35" s="147" t="s">
        <v>331</v>
      </c>
      <c r="D35" s="257" t="s">
        <v>281</v>
      </c>
      <c r="E35" s="198"/>
      <c r="F35" s="204" t="s">
        <v>332</v>
      </c>
      <c r="G35" s="205"/>
      <c r="H35" s="213"/>
      <c r="I35" s="214"/>
      <c r="J35" s="214"/>
      <c r="K35" s="214"/>
      <c r="L35" s="214"/>
      <c r="M35" s="214"/>
      <c r="N35" s="214"/>
      <c r="O35" s="214"/>
      <c r="P35" s="215"/>
      <c r="Q35" s="64"/>
      <c r="R35" s="64"/>
      <c r="S35" s="64"/>
      <c r="T35" s="64"/>
      <c r="U35" s="64"/>
      <c r="V35" s="64"/>
    </row>
    <row r="36" spans="2:22" ht="15" customHeight="1" thickBot="1" x14ac:dyDescent="0.35">
      <c r="B36" s="196"/>
      <c r="C36" s="122"/>
      <c r="D36" s="197"/>
      <c r="E36" s="198"/>
      <c r="F36" s="204"/>
      <c r="G36" s="205"/>
      <c r="H36" s="213"/>
      <c r="I36" s="214"/>
      <c r="J36" s="214"/>
      <c r="K36" s="214"/>
      <c r="L36" s="214"/>
      <c r="M36" s="214"/>
      <c r="N36" s="214"/>
      <c r="O36" s="214"/>
      <c r="P36" s="215"/>
      <c r="Q36" s="64"/>
      <c r="R36" s="64"/>
      <c r="S36" s="64"/>
      <c r="T36" s="64"/>
      <c r="U36" s="64"/>
      <c r="V36" s="64"/>
    </row>
    <row r="37" spans="2:22" ht="20.100000000000001" customHeight="1" x14ac:dyDescent="0.3">
      <c r="Q37" s="64"/>
      <c r="R37" s="64"/>
      <c r="S37" s="64"/>
      <c r="T37" s="64"/>
      <c r="U37" s="64"/>
      <c r="V37" s="64"/>
    </row>
    <row r="38" spans="2:22" s="64" customFormat="1" ht="20.100000000000001" customHeight="1" x14ac:dyDescent="0.3">
      <c r="B38" s="180"/>
      <c r="C38" s="180"/>
      <c r="D38" s="180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2:22" s="64" customFormat="1" ht="20.100000000000001" customHeight="1" x14ac:dyDescent="0.3">
      <c r="B39" s="180"/>
      <c r="C39" s="180"/>
      <c r="D39" s="180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2:22" s="64" customFormat="1" ht="20.100000000000001" customHeight="1" x14ac:dyDescent="0.3">
      <c r="B40" s="180"/>
      <c r="C40" s="180"/>
      <c r="D40" s="180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22" s="64" customFormat="1" ht="20.100000000000001" customHeight="1" x14ac:dyDescent="0.3">
      <c r="B41" s="180"/>
      <c r="C41" s="180"/>
      <c r="D41" s="180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2:22" s="64" customFormat="1" ht="20.100000000000001" customHeight="1" x14ac:dyDescent="0.3">
      <c r="B42" s="180"/>
      <c r="C42" s="180"/>
      <c r="D42" s="180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2:22" s="64" customFormat="1" ht="20.100000000000001" customHeight="1" x14ac:dyDescent="0.3">
      <c r="B43" s="180"/>
      <c r="C43" s="180"/>
      <c r="D43" s="180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2:22" s="64" customFormat="1" ht="20.100000000000001" customHeight="1" x14ac:dyDescent="0.3">
      <c r="B44" s="180"/>
      <c r="C44" s="180"/>
      <c r="D44" s="180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2:22" s="64" customFormat="1" ht="20.100000000000001" customHeight="1" x14ac:dyDescent="0.3">
      <c r="B45" s="180"/>
      <c r="C45" s="180"/>
      <c r="D45" s="180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2:22" s="64" customFormat="1" ht="20.100000000000001" customHeight="1" x14ac:dyDescent="0.3">
      <c r="B46" s="180"/>
      <c r="C46" s="180"/>
      <c r="D46" s="180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2:22" s="64" customFormat="1" ht="20.100000000000001" customHeight="1" x14ac:dyDescent="0.3">
      <c r="B47" s="180"/>
      <c r="C47" s="180"/>
      <c r="D47" s="180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2:22" s="64" customFormat="1" ht="20.100000000000001" customHeight="1" x14ac:dyDescent="0.3">
      <c r="B48" s="180"/>
      <c r="C48" s="180"/>
      <c r="D48" s="180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2:15" s="64" customFormat="1" ht="20.100000000000001" customHeight="1" x14ac:dyDescent="0.3">
      <c r="B49" s="180"/>
      <c r="C49" s="180"/>
      <c r="D49" s="180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2:15" s="64" customFormat="1" ht="20.100000000000001" customHeight="1" x14ac:dyDescent="0.3">
      <c r="B50" s="180"/>
      <c r="C50" s="180"/>
      <c r="D50" s="180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2:15" s="64" customFormat="1" ht="20.100000000000001" customHeight="1" x14ac:dyDescent="0.3">
      <c r="B51" s="180"/>
      <c r="C51" s="180"/>
      <c r="D51" s="180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2:15" s="64" customFormat="1" ht="20.100000000000001" customHeight="1" x14ac:dyDescent="0.3">
      <c r="B52" s="180"/>
      <c r="C52" s="180"/>
      <c r="D52" s="180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2:15" s="64" customFormat="1" ht="20.100000000000001" customHeight="1" x14ac:dyDescent="0.3">
      <c r="B53" s="180"/>
      <c r="C53" s="180"/>
      <c r="D53" s="180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2:15" s="64" customFormat="1" ht="20.100000000000001" customHeight="1" x14ac:dyDescent="0.3">
      <c r="B54" s="180"/>
      <c r="C54" s="180"/>
      <c r="D54" s="180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15" s="64" customFormat="1" ht="20.100000000000001" customHeight="1" x14ac:dyDescent="0.3">
      <c r="B55" s="180"/>
      <c r="C55" s="180"/>
      <c r="D55" s="180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2:15" s="64" customFormat="1" ht="20.100000000000001" customHeight="1" x14ac:dyDescent="0.3">
      <c r="B56" s="180"/>
      <c r="C56" s="180"/>
      <c r="D56" s="18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2:15" s="64" customFormat="1" ht="20.100000000000001" customHeight="1" x14ac:dyDescent="0.3">
      <c r="B57" s="180"/>
      <c r="C57" s="180"/>
      <c r="D57" s="180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2:15" s="64" customFormat="1" ht="20.100000000000001" customHeight="1" x14ac:dyDescent="0.3">
      <c r="B58" s="180"/>
      <c r="C58" s="180"/>
      <c r="D58" s="180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2:15" s="64" customFormat="1" ht="20.100000000000001" customHeight="1" x14ac:dyDescent="0.3">
      <c r="B59" s="180"/>
      <c r="C59" s="180"/>
      <c r="D59" s="180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2:15" s="64" customFormat="1" ht="20.100000000000001" customHeight="1" x14ac:dyDescent="0.3">
      <c r="B60" s="180"/>
      <c r="C60" s="180"/>
      <c r="D60" s="180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 spans="2:15" s="64" customFormat="1" ht="20.100000000000001" customHeight="1" x14ac:dyDescent="0.3">
      <c r="B61" s="180"/>
      <c r="C61" s="180"/>
      <c r="D61" s="180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2:15" s="64" customFormat="1" ht="20.100000000000001" customHeight="1" x14ac:dyDescent="0.3">
      <c r="B62" s="180"/>
      <c r="C62" s="180"/>
      <c r="D62" s="180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 spans="2:15" s="64" customFormat="1" ht="20.100000000000001" customHeight="1" x14ac:dyDescent="0.3">
      <c r="B63" s="180"/>
      <c r="C63" s="180"/>
      <c r="D63" s="180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2:15" s="64" customFormat="1" ht="20.100000000000001" customHeight="1" x14ac:dyDescent="0.3">
      <c r="B64" s="180"/>
      <c r="C64" s="180"/>
      <c r="D64" s="180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 spans="2:15" s="64" customFormat="1" ht="20.100000000000001" customHeight="1" x14ac:dyDescent="0.3">
      <c r="B65" s="180"/>
      <c r="C65" s="180"/>
      <c r="D65" s="180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2:15" s="64" customFormat="1" ht="20.100000000000001" customHeight="1" x14ac:dyDescent="0.3">
      <c r="B66" s="180"/>
      <c r="C66" s="180"/>
      <c r="D66" s="180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 spans="2:15" s="64" customFormat="1" ht="20.100000000000001" customHeight="1" x14ac:dyDescent="0.3">
      <c r="B67" s="180"/>
      <c r="C67" s="180"/>
      <c r="D67" s="180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2:15" s="64" customFormat="1" ht="20.100000000000001" customHeight="1" x14ac:dyDescent="0.3">
      <c r="B68" s="180"/>
      <c r="C68" s="180"/>
      <c r="D68" s="180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 spans="2:15" s="64" customFormat="1" ht="20.100000000000001" customHeight="1" x14ac:dyDescent="0.3">
      <c r="B69" s="180"/>
      <c r="C69" s="180"/>
      <c r="D69" s="180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2:15" s="64" customFormat="1" ht="20.100000000000001" customHeight="1" x14ac:dyDescent="0.3">
      <c r="B70" s="180"/>
      <c r="C70" s="180"/>
      <c r="D70" s="180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 spans="2:15" s="64" customFormat="1" ht="20.100000000000001" customHeight="1" x14ac:dyDescent="0.3">
      <c r="B71" s="180"/>
      <c r="C71" s="180"/>
      <c r="D71" s="180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2:15" s="64" customFormat="1" ht="20.100000000000001" customHeight="1" x14ac:dyDescent="0.3">
      <c r="B72" s="180"/>
      <c r="C72" s="180"/>
      <c r="D72" s="180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 spans="2:15" s="64" customFormat="1" ht="20.100000000000001" customHeight="1" x14ac:dyDescent="0.3">
      <c r="B73" s="180"/>
      <c r="C73" s="180"/>
      <c r="D73" s="180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2:15" s="64" customFormat="1" ht="20.100000000000001" customHeight="1" x14ac:dyDescent="0.3">
      <c r="B74" s="180"/>
      <c r="C74" s="180"/>
      <c r="D74" s="180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 spans="2:15" s="64" customFormat="1" ht="20.100000000000001" customHeight="1" x14ac:dyDescent="0.3">
      <c r="B75" s="180"/>
      <c r="C75" s="180"/>
      <c r="D75" s="180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2:15" s="64" customFormat="1" ht="20.100000000000001" customHeight="1" x14ac:dyDescent="0.3">
      <c r="B76" s="180"/>
      <c r="C76" s="180"/>
      <c r="D76" s="180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 spans="2:15" s="64" customFormat="1" ht="20.100000000000001" customHeight="1" x14ac:dyDescent="0.3">
      <c r="B77" s="180"/>
      <c r="C77" s="180"/>
      <c r="D77" s="180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2:15" s="64" customFormat="1" ht="20.100000000000001" customHeight="1" x14ac:dyDescent="0.3">
      <c r="B78" s="180"/>
      <c r="C78" s="180"/>
      <c r="D78" s="180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 spans="2:15" s="64" customFormat="1" ht="20.100000000000001" customHeight="1" x14ac:dyDescent="0.3">
      <c r="B79" s="180"/>
      <c r="C79" s="180"/>
      <c r="D79" s="180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2:15" s="64" customFormat="1" ht="20.100000000000001" customHeight="1" x14ac:dyDescent="0.3">
      <c r="B80" s="180"/>
      <c r="C80" s="180"/>
      <c r="D80" s="180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 spans="2:15" s="64" customFormat="1" ht="20.100000000000001" customHeight="1" x14ac:dyDescent="0.3">
      <c r="B81" s="180"/>
      <c r="C81" s="180"/>
      <c r="D81" s="180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2:15" s="64" customFormat="1" ht="20.100000000000001" customHeight="1" x14ac:dyDescent="0.3">
      <c r="B82" s="180"/>
      <c r="C82" s="180"/>
      <c r="D82" s="180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 spans="2:15" s="64" customFormat="1" ht="20.100000000000001" customHeight="1" x14ac:dyDescent="0.3">
      <c r="B83" s="180"/>
      <c r="C83" s="180"/>
      <c r="D83" s="180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2:15" s="64" customFormat="1" ht="20.100000000000001" customHeight="1" x14ac:dyDescent="0.3">
      <c r="B84" s="180"/>
      <c r="C84" s="180"/>
      <c r="D84" s="180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2:15" s="64" customFormat="1" ht="20.100000000000001" customHeight="1" x14ac:dyDescent="0.3">
      <c r="B85" s="180"/>
      <c r="C85" s="180"/>
      <c r="D85" s="180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2:15" s="64" customFormat="1" ht="20.100000000000001" customHeight="1" x14ac:dyDescent="0.3">
      <c r="B86" s="180"/>
      <c r="C86" s="180"/>
      <c r="D86" s="180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 spans="2:15" s="64" customFormat="1" ht="20.100000000000001" customHeight="1" x14ac:dyDescent="0.3">
      <c r="B87" s="180"/>
      <c r="C87" s="180"/>
      <c r="D87" s="180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2:15" s="64" customFormat="1" ht="20.100000000000001" customHeight="1" x14ac:dyDescent="0.3">
      <c r="B88" s="180"/>
      <c r="C88" s="180"/>
      <c r="D88" s="180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 spans="2:15" s="64" customFormat="1" ht="20.100000000000001" customHeight="1" x14ac:dyDescent="0.3">
      <c r="B89" s="180"/>
      <c r="C89" s="180"/>
      <c r="D89" s="180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2:15" s="64" customFormat="1" ht="20.100000000000001" customHeight="1" x14ac:dyDescent="0.3">
      <c r="B90" s="180"/>
      <c r="C90" s="180"/>
      <c r="D90" s="180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 spans="2:15" s="64" customFormat="1" ht="20.100000000000001" customHeight="1" x14ac:dyDescent="0.3">
      <c r="B91" s="180"/>
      <c r="C91" s="180"/>
      <c r="D91" s="180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2:15" s="64" customFormat="1" ht="20.100000000000001" customHeight="1" x14ac:dyDescent="0.3">
      <c r="B92" s="180"/>
      <c r="C92" s="180"/>
      <c r="D92" s="180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 spans="2:15" s="64" customFormat="1" ht="20.100000000000001" customHeight="1" x14ac:dyDescent="0.3">
      <c r="B93" s="180"/>
      <c r="C93" s="180"/>
      <c r="D93" s="180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2:15" s="64" customFormat="1" ht="20.100000000000001" customHeight="1" x14ac:dyDescent="0.3">
      <c r="B94" s="180"/>
      <c r="C94" s="180"/>
      <c r="D94" s="180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2:15" s="64" customFormat="1" ht="20.100000000000001" customHeight="1" x14ac:dyDescent="0.3">
      <c r="B95" s="180"/>
      <c r="C95" s="180"/>
      <c r="D95" s="180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2:15" s="64" customFormat="1" ht="20.100000000000001" customHeight="1" x14ac:dyDescent="0.3">
      <c r="B96" s="180"/>
      <c r="C96" s="180"/>
      <c r="D96" s="180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 spans="2:15" s="64" customFormat="1" ht="20.100000000000001" customHeight="1" x14ac:dyDescent="0.3">
      <c r="B97" s="180"/>
      <c r="C97" s="180"/>
      <c r="D97" s="180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2:15" s="64" customFormat="1" ht="20.100000000000001" customHeight="1" x14ac:dyDescent="0.3">
      <c r="B98" s="180"/>
      <c r="C98" s="180"/>
      <c r="D98" s="180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 spans="2:15" s="64" customFormat="1" ht="20.100000000000001" customHeight="1" x14ac:dyDescent="0.3">
      <c r="B99" s="180"/>
      <c r="C99" s="180"/>
      <c r="D99" s="180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2:15" s="64" customFormat="1" ht="20.100000000000001" customHeight="1" x14ac:dyDescent="0.3">
      <c r="B100" s="180"/>
      <c r="C100" s="180"/>
      <c r="D100" s="180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2:15" s="64" customFormat="1" ht="20.100000000000001" customHeight="1" x14ac:dyDescent="0.3">
      <c r="B101" s="180"/>
      <c r="C101" s="180"/>
      <c r="D101" s="180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2:15" s="64" customFormat="1" ht="20.100000000000001" customHeight="1" x14ac:dyDescent="0.3">
      <c r="B102" s="180"/>
      <c r="C102" s="180"/>
      <c r="D102" s="180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2:15" s="64" customFormat="1" ht="20.100000000000001" customHeight="1" x14ac:dyDescent="0.3">
      <c r="B103" s="180"/>
      <c r="C103" s="180"/>
      <c r="D103" s="180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2:15" s="64" customFormat="1" ht="20.100000000000001" customHeight="1" x14ac:dyDescent="0.3">
      <c r="B104" s="180"/>
      <c r="C104" s="180"/>
      <c r="D104" s="180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2:15" s="64" customFormat="1" ht="20.100000000000001" customHeight="1" x14ac:dyDescent="0.3">
      <c r="B105" s="180"/>
      <c r="C105" s="180"/>
      <c r="D105" s="180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2:15" s="64" customFormat="1" ht="20.100000000000001" customHeight="1" x14ac:dyDescent="0.3">
      <c r="B106" s="180"/>
      <c r="C106" s="180"/>
      <c r="D106" s="180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2:15" s="64" customFormat="1" ht="20.100000000000001" customHeight="1" x14ac:dyDescent="0.3">
      <c r="B107" s="180"/>
      <c r="C107" s="180"/>
      <c r="D107" s="180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2:15" s="64" customFormat="1" ht="20.100000000000001" customHeight="1" x14ac:dyDescent="0.3">
      <c r="B108" s="180"/>
      <c r="C108" s="180"/>
      <c r="D108" s="180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2:15" s="64" customFormat="1" ht="20.100000000000001" customHeight="1" x14ac:dyDescent="0.3">
      <c r="B109" s="180"/>
      <c r="C109" s="180"/>
      <c r="D109" s="180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2:15" s="64" customFormat="1" ht="20.100000000000001" customHeight="1" x14ac:dyDescent="0.3">
      <c r="B110" s="180"/>
      <c r="C110" s="180"/>
      <c r="D110" s="180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2:15" s="64" customFormat="1" ht="20.100000000000001" customHeight="1" x14ac:dyDescent="0.3">
      <c r="B111" s="180"/>
      <c r="C111" s="180"/>
      <c r="D111" s="180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2:15" s="64" customFormat="1" ht="20.100000000000001" customHeight="1" x14ac:dyDescent="0.3">
      <c r="B112" s="180"/>
      <c r="C112" s="180"/>
      <c r="D112" s="180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2:15" s="64" customFormat="1" ht="20.100000000000001" customHeight="1" x14ac:dyDescent="0.3">
      <c r="B113" s="180"/>
      <c r="C113" s="180"/>
      <c r="D113" s="180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2:15" s="64" customFormat="1" ht="20.100000000000001" customHeight="1" x14ac:dyDescent="0.3">
      <c r="B114" s="180"/>
      <c r="C114" s="180"/>
      <c r="D114" s="180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2:15" s="64" customFormat="1" ht="20.100000000000001" customHeight="1" x14ac:dyDescent="0.3">
      <c r="B115" s="180"/>
      <c r="C115" s="180"/>
      <c r="D115" s="180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2:15" s="64" customFormat="1" ht="20.100000000000001" customHeight="1" x14ac:dyDescent="0.3">
      <c r="B116" s="180"/>
      <c r="C116" s="180"/>
      <c r="D116" s="180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2:15" s="64" customFormat="1" ht="20.100000000000001" customHeight="1" x14ac:dyDescent="0.3">
      <c r="B117" s="180"/>
      <c r="C117" s="180"/>
      <c r="D117" s="180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2:15" s="64" customFormat="1" ht="20.100000000000001" customHeight="1" x14ac:dyDescent="0.3">
      <c r="B118" s="180"/>
      <c r="C118" s="180"/>
      <c r="D118" s="180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2:15" s="64" customFormat="1" ht="20.100000000000001" customHeight="1" x14ac:dyDescent="0.3">
      <c r="B119" s="180"/>
      <c r="C119" s="180"/>
      <c r="D119" s="180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2:15" s="64" customFormat="1" ht="20.100000000000001" customHeight="1" x14ac:dyDescent="0.3">
      <c r="B120" s="180"/>
      <c r="C120" s="180"/>
      <c r="D120" s="180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2:15" s="64" customFormat="1" ht="20.100000000000001" customHeight="1" x14ac:dyDescent="0.3">
      <c r="B121" s="180"/>
      <c r="C121" s="180"/>
      <c r="D121" s="180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2:15" s="64" customFormat="1" ht="20.100000000000001" customHeight="1" x14ac:dyDescent="0.3">
      <c r="B122" s="180"/>
      <c r="C122" s="180"/>
      <c r="D122" s="180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2:15" s="64" customFormat="1" ht="20.100000000000001" customHeight="1" x14ac:dyDescent="0.3">
      <c r="B123" s="180"/>
      <c r="C123" s="180"/>
      <c r="D123" s="180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2:15" s="64" customFormat="1" ht="20.100000000000001" customHeight="1" x14ac:dyDescent="0.3">
      <c r="B124" s="180"/>
      <c r="C124" s="180"/>
      <c r="D124" s="180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2:15" s="64" customFormat="1" ht="20.100000000000001" customHeight="1" x14ac:dyDescent="0.3">
      <c r="B125" s="180"/>
      <c r="C125" s="180"/>
      <c r="D125" s="180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2:15" s="64" customFormat="1" ht="20.100000000000001" customHeight="1" x14ac:dyDescent="0.3">
      <c r="B126" s="180"/>
      <c r="C126" s="180"/>
      <c r="D126" s="180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2:15" s="64" customFormat="1" ht="20.100000000000001" customHeight="1" x14ac:dyDescent="0.3">
      <c r="B127" s="180"/>
      <c r="C127" s="180"/>
      <c r="D127" s="180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2:15" s="64" customFormat="1" ht="20.100000000000001" customHeight="1" x14ac:dyDescent="0.3">
      <c r="B128" s="180"/>
      <c r="C128" s="180"/>
      <c r="D128" s="180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2:15" s="64" customFormat="1" ht="20.100000000000001" customHeight="1" x14ac:dyDescent="0.3">
      <c r="B129" s="180"/>
      <c r="C129" s="180"/>
      <c r="D129" s="180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2:15" s="64" customFormat="1" ht="20.100000000000001" customHeight="1" x14ac:dyDescent="0.3">
      <c r="B130" s="180"/>
      <c r="C130" s="180"/>
      <c r="D130" s="180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2:15" s="64" customFormat="1" ht="20.100000000000001" customHeight="1" x14ac:dyDescent="0.3">
      <c r="B131" s="180"/>
      <c r="C131" s="180"/>
      <c r="D131" s="180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2:15" s="64" customFormat="1" ht="20.100000000000001" customHeight="1" x14ac:dyDescent="0.3">
      <c r="B132" s="180"/>
      <c r="C132" s="180"/>
      <c r="D132" s="180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2:15" s="64" customFormat="1" ht="20.100000000000001" customHeight="1" x14ac:dyDescent="0.3">
      <c r="B133" s="180"/>
      <c r="C133" s="180"/>
      <c r="D133" s="180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2:15" s="64" customFormat="1" ht="20.100000000000001" customHeight="1" x14ac:dyDescent="0.3">
      <c r="B134" s="180"/>
      <c r="C134" s="180"/>
      <c r="D134" s="180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2:15" s="64" customFormat="1" ht="20.100000000000001" customHeight="1" x14ac:dyDescent="0.3">
      <c r="B135" s="180"/>
      <c r="C135" s="180"/>
      <c r="D135" s="180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2:15" s="64" customFormat="1" ht="20.100000000000001" customHeight="1" x14ac:dyDescent="0.3">
      <c r="B136" s="180"/>
      <c r="C136" s="180"/>
      <c r="D136" s="180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2:15" s="64" customFormat="1" ht="20.100000000000001" customHeight="1" x14ac:dyDescent="0.3">
      <c r="B137" s="180"/>
      <c r="C137" s="180"/>
      <c r="D137" s="180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2:15" s="64" customFormat="1" ht="20.100000000000001" customHeight="1" x14ac:dyDescent="0.3">
      <c r="B138" s="180"/>
      <c r="C138" s="180"/>
      <c r="D138" s="180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2:15" s="64" customFormat="1" ht="20.100000000000001" customHeight="1" x14ac:dyDescent="0.3">
      <c r="B139" s="180"/>
      <c r="C139" s="180"/>
      <c r="D139" s="180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2:15" s="64" customFormat="1" ht="20.100000000000001" customHeight="1" x14ac:dyDescent="0.3">
      <c r="B140" s="180"/>
      <c r="C140" s="180"/>
      <c r="D140" s="180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2:15" s="64" customFormat="1" ht="20.100000000000001" customHeight="1" x14ac:dyDescent="0.3">
      <c r="B141" s="180"/>
      <c r="C141" s="180"/>
      <c r="D141" s="180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2:15" s="64" customFormat="1" ht="20.100000000000001" customHeight="1" x14ac:dyDescent="0.3">
      <c r="B142" s="180"/>
      <c r="C142" s="180"/>
      <c r="D142" s="180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2:15" s="64" customFormat="1" ht="20.100000000000001" customHeight="1" x14ac:dyDescent="0.3">
      <c r="B143" s="180"/>
      <c r="C143" s="180"/>
      <c r="D143" s="180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2:15" s="64" customFormat="1" ht="20.100000000000001" customHeight="1" x14ac:dyDescent="0.3">
      <c r="B144" s="180"/>
      <c r="C144" s="180"/>
      <c r="D144" s="180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2:15" s="64" customFormat="1" ht="20.100000000000001" customHeight="1" x14ac:dyDescent="0.3">
      <c r="B145" s="180"/>
      <c r="C145" s="180"/>
      <c r="D145" s="180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2:15" s="64" customFormat="1" ht="20.100000000000001" customHeight="1" x14ac:dyDescent="0.3">
      <c r="B146" s="180"/>
      <c r="C146" s="180"/>
      <c r="D146" s="180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2:15" s="64" customFormat="1" ht="20.100000000000001" customHeight="1" x14ac:dyDescent="0.3">
      <c r="B147" s="180"/>
      <c r="C147" s="180"/>
      <c r="D147" s="180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2:15" s="64" customFormat="1" ht="20.100000000000001" customHeight="1" x14ac:dyDescent="0.3">
      <c r="B148" s="180"/>
      <c r="C148" s="180"/>
      <c r="D148" s="180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2:15" s="64" customFormat="1" ht="20.100000000000001" customHeight="1" x14ac:dyDescent="0.3">
      <c r="B149" s="180"/>
      <c r="C149" s="180"/>
      <c r="D149" s="180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2:15" s="64" customFormat="1" ht="20.100000000000001" customHeight="1" x14ac:dyDescent="0.3">
      <c r="B150" s="180"/>
      <c r="C150" s="180"/>
      <c r="D150" s="180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2:15" s="64" customFormat="1" ht="20.100000000000001" customHeight="1" x14ac:dyDescent="0.3">
      <c r="B151" s="180"/>
      <c r="C151" s="180"/>
      <c r="D151" s="180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2:15" s="64" customFormat="1" ht="20.100000000000001" customHeight="1" x14ac:dyDescent="0.3">
      <c r="B152" s="180"/>
      <c r="C152" s="180"/>
      <c r="D152" s="180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2:15" s="64" customFormat="1" ht="20.100000000000001" customHeight="1" x14ac:dyDescent="0.3">
      <c r="B153" s="180"/>
      <c r="C153" s="180"/>
      <c r="D153" s="180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2:15" s="64" customFormat="1" ht="20.100000000000001" customHeight="1" x14ac:dyDescent="0.3">
      <c r="B154" s="180"/>
      <c r="C154" s="180"/>
      <c r="D154" s="180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2:15" s="64" customFormat="1" ht="20.100000000000001" customHeight="1" x14ac:dyDescent="0.3">
      <c r="B155" s="180"/>
      <c r="C155" s="180"/>
      <c r="D155" s="180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2:15" s="64" customFormat="1" ht="20.100000000000001" customHeight="1" x14ac:dyDescent="0.3">
      <c r="B156" s="180"/>
      <c r="C156" s="180"/>
      <c r="D156" s="180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2:15" s="64" customFormat="1" ht="20.100000000000001" customHeight="1" x14ac:dyDescent="0.3">
      <c r="B157" s="180"/>
      <c r="C157" s="180"/>
      <c r="D157" s="180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2:15" s="64" customFormat="1" ht="20.100000000000001" customHeight="1" x14ac:dyDescent="0.3">
      <c r="B158" s="180"/>
      <c r="C158" s="180"/>
      <c r="D158" s="180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2:15" s="64" customFormat="1" ht="20.100000000000001" customHeight="1" x14ac:dyDescent="0.3">
      <c r="B159" s="180"/>
      <c r="C159" s="180"/>
      <c r="D159" s="180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2:15" s="64" customFormat="1" ht="20.100000000000001" customHeight="1" x14ac:dyDescent="0.3">
      <c r="B160" s="180"/>
      <c r="C160" s="180"/>
      <c r="D160" s="180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2:15" s="64" customFormat="1" ht="20.100000000000001" customHeight="1" x14ac:dyDescent="0.3">
      <c r="B161" s="180"/>
      <c r="C161" s="180"/>
      <c r="D161" s="180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2:15" s="64" customFormat="1" ht="20.100000000000001" customHeight="1" x14ac:dyDescent="0.3">
      <c r="B162" s="180"/>
      <c r="C162" s="180"/>
      <c r="D162" s="180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2:15" s="64" customFormat="1" ht="20.100000000000001" customHeight="1" x14ac:dyDescent="0.3">
      <c r="B163" s="180"/>
      <c r="C163" s="180"/>
      <c r="D163" s="180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2:15" s="64" customFormat="1" ht="20.100000000000001" customHeight="1" x14ac:dyDescent="0.3">
      <c r="B164" s="180"/>
      <c r="C164" s="180"/>
      <c r="D164" s="180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2:15" s="64" customFormat="1" ht="20.100000000000001" customHeight="1" x14ac:dyDescent="0.3">
      <c r="B165" s="180"/>
      <c r="C165" s="180"/>
      <c r="D165" s="180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2:15" s="64" customFormat="1" ht="20.100000000000001" customHeight="1" x14ac:dyDescent="0.3">
      <c r="B166" s="180"/>
      <c r="C166" s="180"/>
      <c r="D166" s="180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2:15" s="64" customFormat="1" ht="20.100000000000001" customHeight="1" x14ac:dyDescent="0.3">
      <c r="B167" s="180"/>
      <c r="C167" s="180"/>
      <c r="D167" s="180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2:15" s="64" customFormat="1" ht="20.100000000000001" customHeight="1" x14ac:dyDescent="0.3">
      <c r="B168" s="180"/>
      <c r="C168" s="180"/>
      <c r="D168" s="180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2:15" s="64" customFormat="1" ht="20.100000000000001" customHeight="1" x14ac:dyDescent="0.3">
      <c r="B169" s="180"/>
      <c r="C169" s="180"/>
      <c r="D169" s="180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2:15" s="64" customFormat="1" ht="20.100000000000001" customHeight="1" x14ac:dyDescent="0.3">
      <c r="B170" s="180"/>
      <c r="C170" s="180"/>
      <c r="D170" s="180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2:15" s="64" customFormat="1" ht="20.100000000000001" customHeight="1" x14ac:dyDescent="0.3">
      <c r="B171" s="180"/>
      <c r="C171" s="180"/>
      <c r="D171" s="180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2:15" s="64" customFormat="1" ht="20.100000000000001" customHeight="1" x14ac:dyDescent="0.3">
      <c r="B172" s="180"/>
      <c r="C172" s="180"/>
      <c r="D172" s="180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2:15" s="64" customFormat="1" ht="20.100000000000001" customHeight="1" x14ac:dyDescent="0.3">
      <c r="B173" s="180"/>
      <c r="C173" s="180"/>
      <c r="D173" s="180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2:15" s="64" customFormat="1" ht="20.100000000000001" customHeight="1" x14ac:dyDescent="0.3">
      <c r="B174" s="180"/>
      <c r="C174" s="180"/>
      <c r="D174" s="180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2:15" s="64" customFormat="1" ht="20.100000000000001" customHeight="1" x14ac:dyDescent="0.3">
      <c r="B175" s="180"/>
      <c r="C175" s="180"/>
      <c r="D175" s="180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2:15" s="64" customFormat="1" ht="20.100000000000001" customHeight="1" x14ac:dyDescent="0.3">
      <c r="B176" s="180"/>
      <c r="C176" s="180"/>
      <c r="D176" s="180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2:15" s="64" customFormat="1" ht="20.100000000000001" customHeight="1" x14ac:dyDescent="0.3">
      <c r="B177" s="180"/>
      <c r="C177" s="180"/>
      <c r="D177" s="180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2:15" s="64" customFormat="1" ht="20.100000000000001" customHeight="1" x14ac:dyDescent="0.3">
      <c r="B178" s="180"/>
      <c r="C178" s="180"/>
      <c r="D178" s="180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2:15" s="64" customFormat="1" ht="20.100000000000001" customHeight="1" x14ac:dyDescent="0.3">
      <c r="B179" s="180"/>
      <c r="C179" s="180"/>
      <c r="D179" s="180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2:15" s="64" customFormat="1" ht="20.100000000000001" customHeight="1" x14ac:dyDescent="0.3">
      <c r="B180" s="180"/>
      <c r="C180" s="180"/>
      <c r="D180" s="180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2:15" s="64" customFormat="1" ht="20.100000000000001" customHeight="1" x14ac:dyDescent="0.3">
      <c r="B181" s="180"/>
      <c r="C181" s="180"/>
      <c r="D181" s="180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2:15" s="64" customFormat="1" ht="20.100000000000001" customHeight="1" x14ac:dyDescent="0.3">
      <c r="B182" s="180"/>
      <c r="C182" s="180"/>
      <c r="D182" s="180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2:15" s="64" customFormat="1" ht="20.100000000000001" customHeight="1" x14ac:dyDescent="0.3">
      <c r="B183" s="180"/>
      <c r="C183" s="180"/>
      <c r="D183" s="180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2:15" s="64" customFormat="1" ht="20.100000000000001" customHeight="1" x14ac:dyDescent="0.3">
      <c r="B184" s="180"/>
      <c r="C184" s="180"/>
      <c r="D184" s="180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2:15" s="64" customFormat="1" ht="20.100000000000001" customHeight="1" x14ac:dyDescent="0.3">
      <c r="B185" s="180"/>
      <c r="C185" s="180"/>
      <c r="D185" s="180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2:15" s="64" customFormat="1" ht="20.100000000000001" customHeight="1" x14ac:dyDescent="0.3">
      <c r="B186" s="180"/>
      <c r="C186" s="180"/>
      <c r="D186" s="180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2:15" s="64" customFormat="1" ht="20.100000000000001" customHeight="1" x14ac:dyDescent="0.3">
      <c r="B187" s="180"/>
      <c r="C187" s="180"/>
      <c r="D187" s="180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2:15" s="64" customFormat="1" ht="20.100000000000001" customHeight="1" x14ac:dyDescent="0.3">
      <c r="B188" s="180"/>
      <c r="C188" s="180"/>
      <c r="D188" s="180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2:15" s="64" customFormat="1" ht="20.100000000000001" customHeight="1" x14ac:dyDescent="0.3">
      <c r="B189" s="180"/>
      <c r="C189" s="180"/>
      <c r="D189" s="180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2:15" s="64" customFormat="1" ht="20.100000000000001" customHeight="1" x14ac:dyDescent="0.3">
      <c r="B190" s="180"/>
      <c r="C190" s="180"/>
      <c r="D190" s="180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2:15" s="64" customFormat="1" ht="20.100000000000001" customHeight="1" x14ac:dyDescent="0.3">
      <c r="B191" s="180"/>
      <c r="C191" s="180"/>
      <c r="D191" s="180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2:15" s="64" customFormat="1" ht="20.100000000000001" customHeight="1" x14ac:dyDescent="0.3">
      <c r="B192" s="180"/>
      <c r="C192" s="180"/>
      <c r="D192" s="180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2:15" s="64" customFormat="1" ht="20.100000000000001" customHeight="1" x14ac:dyDescent="0.3">
      <c r="B193" s="180"/>
      <c r="C193" s="180"/>
      <c r="D193" s="180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2:15" s="64" customFormat="1" ht="20.100000000000001" customHeight="1" x14ac:dyDescent="0.3">
      <c r="B194" s="180"/>
      <c r="C194" s="180"/>
      <c r="D194" s="180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2:15" s="64" customFormat="1" ht="20.100000000000001" customHeight="1" x14ac:dyDescent="0.3">
      <c r="B195" s="180"/>
      <c r="C195" s="180"/>
      <c r="D195" s="180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2:15" s="64" customFormat="1" ht="20.100000000000001" customHeight="1" x14ac:dyDescent="0.3">
      <c r="B196" s="180"/>
      <c r="C196" s="180"/>
      <c r="D196" s="180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2:15" s="64" customFormat="1" ht="20.100000000000001" customHeight="1" x14ac:dyDescent="0.3">
      <c r="B197" s="180"/>
      <c r="C197" s="180"/>
      <c r="D197" s="180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2:15" s="64" customFormat="1" ht="20.100000000000001" customHeight="1" x14ac:dyDescent="0.3">
      <c r="B198" s="180"/>
      <c r="C198" s="180"/>
      <c r="D198" s="180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2:15" s="64" customFormat="1" ht="20.100000000000001" customHeight="1" x14ac:dyDescent="0.3">
      <c r="B199" s="180"/>
      <c r="C199" s="180"/>
      <c r="D199" s="180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2:15" s="64" customFormat="1" ht="20.100000000000001" customHeight="1" x14ac:dyDescent="0.3">
      <c r="B200" s="180"/>
      <c r="C200" s="180"/>
      <c r="D200" s="180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2:15" s="64" customFormat="1" ht="20.100000000000001" customHeight="1" x14ac:dyDescent="0.3">
      <c r="B201" s="180"/>
      <c r="C201" s="180"/>
      <c r="D201" s="180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2:15" s="64" customFormat="1" ht="20.100000000000001" customHeight="1" x14ac:dyDescent="0.3">
      <c r="B202" s="180"/>
      <c r="C202" s="180"/>
      <c r="D202" s="180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2:15" s="64" customFormat="1" ht="20.100000000000001" customHeight="1" x14ac:dyDescent="0.3">
      <c r="B203" s="180"/>
      <c r="C203" s="180"/>
      <c r="D203" s="180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2:15" s="64" customFormat="1" ht="20.100000000000001" customHeight="1" x14ac:dyDescent="0.3">
      <c r="B204" s="180"/>
      <c r="C204" s="180"/>
      <c r="D204" s="180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2:15" s="64" customFormat="1" ht="20.100000000000001" customHeight="1" x14ac:dyDescent="0.3">
      <c r="B205" s="180"/>
      <c r="C205" s="180"/>
      <c r="D205" s="180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2:15" s="64" customFormat="1" ht="20.100000000000001" customHeight="1" x14ac:dyDescent="0.3">
      <c r="B206" s="180"/>
      <c r="C206" s="180"/>
      <c r="D206" s="180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2:15" s="64" customFormat="1" ht="20.100000000000001" customHeight="1" x14ac:dyDescent="0.3">
      <c r="B207" s="180"/>
      <c r="C207" s="180"/>
      <c r="D207" s="180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2:15" s="64" customFormat="1" ht="20.100000000000001" customHeight="1" x14ac:dyDescent="0.3">
      <c r="B208" s="180"/>
      <c r="C208" s="180"/>
      <c r="D208" s="180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2:15" s="64" customFormat="1" ht="20.100000000000001" customHeight="1" x14ac:dyDescent="0.3">
      <c r="B209" s="180"/>
      <c r="C209" s="180"/>
      <c r="D209" s="180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2:15" s="64" customFormat="1" ht="20.100000000000001" customHeight="1" x14ac:dyDescent="0.3">
      <c r="B210" s="180"/>
      <c r="C210" s="180"/>
      <c r="D210" s="180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2:15" s="64" customFormat="1" ht="20.100000000000001" customHeight="1" x14ac:dyDescent="0.3">
      <c r="B211" s="180"/>
      <c r="C211" s="180"/>
      <c r="D211" s="180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2:15" s="64" customFormat="1" ht="20.100000000000001" customHeight="1" x14ac:dyDescent="0.3">
      <c r="B212" s="180"/>
      <c r="C212" s="180"/>
      <c r="D212" s="180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2:15" s="64" customFormat="1" ht="20.100000000000001" customHeight="1" x14ac:dyDescent="0.3">
      <c r="B213" s="180"/>
      <c r="C213" s="180"/>
      <c r="D213" s="180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2:15" s="64" customFormat="1" ht="20.100000000000001" customHeight="1" x14ac:dyDescent="0.3">
      <c r="B214" s="180"/>
      <c r="C214" s="180"/>
      <c r="D214" s="180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2:15" s="64" customFormat="1" ht="20.100000000000001" customHeight="1" x14ac:dyDescent="0.3">
      <c r="B215" s="180"/>
      <c r="C215" s="180"/>
      <c r="D215" s="180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2:15" s="64" customFormat="1" ht="20.100000000000001" customHeight="1" x14ac:dyDescent="0.3">
      <c r="B216" s="180"/>
      <c r="C216" s="180"/>
      <c r="D216" s="180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2:15" s="64" customFormat="1" ht="20.100000000000001" customHeight="1" x14ac:dyDescent="0.3">
      <c r="B217" s="180"/>
      <c r="C217" s="180"/>
      <c r="D217" s="180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2:15" s="64" customFormat="1" ht="20.100000000000001" customHeight="1" x14ac:dyDescent="0.3">
      <c r="B218" s="180"/>
      <c r="C218" s="180"/>
      <c r="D218" s="180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2:15" s="64" customFormat="1" ht="20.100000000000001" customHeight="1" x14ac:dyDescent="0.3">
      <c r="B219" s="180"/>
      <c r="C219" s="180"/>
      <c r="D219" s="180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2:15" s="64" customFormat="1" ht="20.100000000000001" customHeight="1" x14ac:dyDescent="0.3">
      <c r="B220" s="180"/>
      <c r="C220" s="180"/>
      <c r="D220" s="180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2:15" s="64" customFormat="1" ht="20.100000000000001" customHeight="1" x14ac:dyDescent="0.3">
      <c r="B221" s="180"/>
      <c r="C221" s="180"/>
      <c r="D221" s="180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2:15" s="64" customFormat="1" ht="20.100000000000001" customHeight="1" x14ac:dyDescent="0.3">
      <c r="B222" s="180"/>
      <c r="C222" s="180"/>
      <c r="D222" s="180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2:15" s="64" customFormat="1" ht="20.100000000000001" customHeight="1" x14ac:dyDescent="0.3">
      <c r="B223" s="180"/>
      <c r="C223" s="180"/>
      <c r="D223" s="180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2:15" s="64" customFormat="1" ht="20.100000000000001" customHeight="1" x14ac:dyDescent="0.3">
      <c r="B224" s="180"/>
      <c r="C224" s="180"/>
      <c r="D224" s="180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2:15" s="64" customFormat="1" ht="20.100000000000001" customHeight="1" x14ac:dyDescent="0.3">
      <c r="B225" s="180"/>
      <c r="C225" s="180"/>
      <c r="D225" s="180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2:15" s="64" customFormat="1" ht="20.100000000000001" customHeight="1" x14ac:dyDescent="0.3">
      <c r="B226" s="180"/>
      <c r="C226" s="180"/>
      <c r="D226" s="180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2:15" s="64" customFormat="1" ht="20.100000000000001" customHeight="1" x14ac:dyDescent="0.3">
      <c r="B227" s="180"/>
      <c r="C227" s="180"/>
      <c r="D227" s="180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2:15" s="64" customFormat="1" ht="20.100000000000001" customHeight="1" x14ac:dyDescent="0.3">
      <c r="B228" s="180"/>
      <c r="C228" s="180"/>
      <c r="D228" s="180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2:15" s="64" customFormat="1" ht="20.100000000000001" customHeight="1" x14ac:dyDescent="0.3">
      <c r="B229" s="180"/>
      <c r="C229" s="180"/>
      <c r="D229" s="180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2:15" s="64" customFormat="1" ht="20.100000000000001" customHeight="1" x14ac:dyDescent="0.3">
      <c r="B230" s="180"/>
      <c r="C230" s="180"/>
      <c r="D230" s="180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2:15" s="64" customFormat="1" ht="20.100000000000001" customHeight="1" x14ac:dyDescent="0.3">
      <c r="B231" s="180"/>
      <c r="C231" s="180"/>
      <c r="D231" s="180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2:15" s="64" customFormat="1" ht="20.100000000000001" customHeight="1" x14ac:dyDescent="0.3">
      <c r="B232" s="180"/>
      <c r="C232" s="180"/>
      <c r="D232" s="180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2:15" s="64" customFormat="1" ht="20.100000000000001" customHeight="1" x14ac:dyDescent="0.3">
      <c r="B233" s="180"/>
      <c r="C233" s="180"/>
      <c r="D233" s="180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2:15" s="64" customFormat="1" ht="20.100000000000001" customHeight="1" x14ac:dyDescent="0.3">
      <c r="B234" s="180"/>
      <c r="C234" s="180"/>
      <c r="D234" s="180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2:15" s="64" customFormat="1" ht="20.100000000000001" customHeight="1" x14ac:dyDescent="0.3">
      <c r="B235" s="180"/>
      <c r="C235" s="180"/>
      <c r="D235" s="180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2:15" s="64" customFormat="1" ht="20.100000000000001" customHeight="1" x14ac:dyDescent="0.3">
      <c r="B236" s="180"/>
      <c r="C236" s="180"/>
      <c r="D236" s="180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2:15" s="64" customFormat="1" ht="20.100000000000001" customHeight="1" x14ac:dyDescent="0.3">
      <c r="B237" s="180"/>
      <c r="C237" s="180"/>
      <c r="D237" s="180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2:15" s="64" customFormat="1" ht="20.100000000000001" customHeight="1" x14ac:dyDescent="0.3">
      <c r="B238" s="180"/>
      <c r="C238" s="180"/>
      <c r="D238" s="180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2:15" s="64" customFormat="1" ht="20.100000000000001" customHeight="1" x14ac:dyDescent="0.3">
      <c r="B239" s="180"/>
      <c r="C239" s="180"/>
      <c r="D239" s="180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2:15" s="64" customFormat="1" ht="20.100000000000001" customHeight="1" x14ac:dyDescent="0.3">
      <c r="B240" s="180"/>
      <c r="C240" s="180"/>
      <c r="D240" s="180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2:15" s="64" customFormat="1" ht="20.100000000000001" customHeight="1" x14ac:dyDescent="0.3">
      <c r="B241" s="180"/>
      <c r="C241" s="180"/>
      <c r="D241" s="180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2:15" s="64" customFormat="1" ht="20.100000000000001" customHeight="1" x14ac:dyDescent="0.3">
      <c r="B242" s="180"/>
      <c r="C242" s="180"/>
      <c r="D242" s="180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2:15" s="64" customFormat="1" ht="20.100000000000001" customHeight="1" x14ac:dyDescent="0.3">
      <c r="B243" s="180"/>
      <c r="C243" s="180"/>
      <c r="D243" s="180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2:15" s="64" customFormat="1" ht="20.100000000000001" customHeight="1" x14ac:dyDescent="0.3">
      <c r="B244" s="180"/>
      <c r="C244" s="180"/>
      <c r="D244" s="180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2:15" s="64" customFormat="1" ht="20.100000000000001" customHeight="1" x14ac:dyDescent="0.3">
      <c r="B245" s="180"/>
      <c r="C245" s="180"/>
      <c r="D245" s="180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2:15" s="64" customFormat="1" ht="20.100000000000001" customHeight="1" x14ac:dyDescent="0.3">
      <c r="B246" s="180"/>
      <c r="C246" s="180"/>
      <c r="D246" s="180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2:15" s="64" customFormat="1" ht="20.100000000000001" customHeight="1" x14ac:dyDescent="0.3">
      <c r="B247" s="180"/>
      <c r="C247" s="180"/>
      <c r="D247" s="180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2:15" s="64" customFormat="1" ht="20.100000000000001" customHeight="1" x14ac:dyDescent="0.3">
      <c r="B248" s="180"/>
      <c r="C248" s="180"/>
      <c r="D248" s="180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2:15" s="64" customFormat="1" ht="20.100000000000001" customHeight="1" x14ac:dyDescent="0.3">
      <c r="B249" s="180"/>
      <c r="C249" s="180"/>
      <c r="D249" s="180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2:15" s="64" customFormat="1" ht="20.100000000000001" customHeight="1" x14ac:dyDescent="0.3">
      <c r="B250" s="180"/>
      <c r="C250" s="180"/>
      <c r="D250" s="180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2:15" s="64" customFormat="1" ht="20.100000000000001" customHeight="1" x14ac:dyDescent="0.3">
      <c r="B251" s="180"/>
      <c r="C251" s="180"/>
      <c r="D251" s="180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2:15" s="64" customFormat="1" ht="20.100000000000001" customHeight="1" x14ac:dyDescent="0.3">
      <c r="B252" s="180"/>
      <c r="C252" s="180"/>
      <c r="D252" s="180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2:15" s="64" customFormat="1" ht="20.100000000000001" customHeight="1" x14ac:dyDescent="0.3">
      <c r="B253" s="180"/>
      <c r="C253" s="180"/>
      <c r="D253" s="180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2:15" s="64" customFormat="1" ht="20.100000000000001" customHeight="1" x14ac:dyDescent="0.3">
      <c r="B254" s="180"/>
      <c r="C254" s="180"/>
      <c r="D254" s="180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2:15" s="64" customFormat="1" ht="20.100000000000001" customHeight="1" x14ac:dyDescent="0.3">
      <c r="B255" s="180"/>
      <c r="C255" s="180"/>
      <c r="D255" s="180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2:15" s="64" customFormat="1" ht="20.100000000000001" customHeight="1" x14ac:dyDescent="0.3">
      <c r="B256" s="180"/>
      <c r="C256" s="180"/>
      <c r="D256" s="180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2:15" s="64" customFormat="1" ht="20.100000000000001" customHeight="1" x14ac:dyDescent="0.3">
      <c r="B257" s="180"/>
      <c r="C257" s="180"/>
      <c r="D257" s="180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2:15" s="64" customFormat="1" ht="20.100000000000001" customHeight="1" x14ac:dyDescent="0.3">
      <c r="B258" s="180"/>
      <c r="C258" s="180"/>
      <c r="D258" s="180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2:15" s="64" customFormat="1" ht="20.100000000000001" customHeight="1" x14ac:dyDescent="0.3">
      <c r="B259" s="180"/>
      <c r="C259" s="180"/>
      <c r="D259" s="180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2:15" s="64" customFormat="1" ht="20.100000000000001" customHeight="1" x14ac:dyDescent="0.3">
      <c r="B260" s="180"/>
      <c r="C260" s="180"/>
      <c r="D260" s="180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2:15" s="64" customFormat="1" ht="20.100000000000001" customHeight="1" x14ac:dyDescent="0.3">
      <c r="B261" s="180"/>
      <c r="C261" s="180"/>
      <c r="D261" s="180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2:15" s="64" customFormat="1" ht="20.100000000000001" customHeight="1" x14ac:dyDescent="0.3">
      <c r="B262" s="180"/>
      <c r="C262" s="180"/>
      <c r="D262" s="180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2:15" s="64" customFormat="1" ht="20.100000000000001" customHeight="1" x14ac:dyDescent="0.3">
      <c r="B263" s="180"/>
      <c r="C263" s="180"/>
      <c r="D263" s="180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2:15" s="64" customFormat="1" ht="20.100000000000001" customHeight="1" x14ac:dyDescent="0.3">
      <c r="B264" s="180"/>
      <c r="C264" s="180"/>
      <c r="D264" s="180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2:15" s="64" customFormat="1" ht="20.100000000000001" customHeight="1" x14ac:dyDescent="0.3">
      <c r="B265" s="180"/>
      <c r="C265" s="180"/>
      <c r="D265" s="180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2:15" s="64" customFormat="1" ht="20.100000000000001" customHeight="1" x14ac:dyDescent="0.3">
      <c r="B266" s="180"/>
      <c r="C266" s="180"/>
      <c r="D266" s="180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2:15" s="64" customFormat="1" ht="20.100000000000001" customHeight="1" x14ac:dyDescent="0.3">
      <c r="B267" s="180"/>
      <c r="C267" s="180"/>
      <c r="D267" s="180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2:15" s="64" customFormat="1" ht="20.100000000000001" customHeight="1" x14ac:dyDescent="0.3">
      <c r="B268" s="180"/>
      <c r="C268" s="180"/>
      <c r="D268" s="180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2:15" s="64" customFormat="1" ht="20.100000000000001" customHeight="1" x14ac:dyDescent="0.3">
      <c r="B269" s="180"/>
      <c r="C269" s="180"/>
      <c r="D269" s="180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2:15" s="64" customFormat="1" ht="20.100000000000001" customHeight="1" x14ac:dyDescent="0.3">
      <c r="B270" s="180"/>
      <c r="C270" s="180"/>
      <c r="D270" s="180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2:15" s="64" customFormat="1" ht="20.100000000000001" customHeight="1" x14ac:dyDescent="0.3">
      <c r="B271" s="180"/>
      <c r="C271" s="180"/>
      <c r="D271" s="180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2:15" s="64" customFormat="1" ht="20.100000000000001" customHeight="1" x14ac:dyDescent="0.3">
      <c r="B272" s="180"/>
      <c r="C272" s="180"/>
      <c r="D272" s="180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2:15" s="64" customFormat="1" ht="20.100000000000001" customHeight="1" x14ac:dyDescent="0.3">
      <c r="B273" s="180"/>
      <c r="C273" s="180"/>
      <c r="D273" s="180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2:15" s="64" customFormat="1" ht="20.100000000000001" customHeight="1" x14ac:dyDescent="0.3">
      <c r="B274" s="180"/>
      <c r="C274" s="180"/>
      <c r="D274" s="180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2:15" s="64" customFormat="1" ht="20.100000000000001" customHeight="1" x14ac:dyDescent="0.3">
      <c r="B275" s="180"/>
      <c r="C275" s="180"/>
      <c r="D275" s="180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2:15" s="64" customFormat="1" ht="20.100000000000001" customHeight="1" x14ac:dyDescent="0.3">
      <c r="B276" s="180"/>
      <c r="C276" s="180"/>
      <c r="D276" s="180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2:15" s="64" customFormat="1" ht="20.100000000000001" customHeight="1" x14ac:dyDescent="0.3">
      <c r="B277" s="180"/>
      <c r="C277" s="180"/>
      <c r="D277" s="180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2:15" s="64" customFormat="1" ht="20.100000000000001" customHeight="1" x14ac:dyDescent="0.3">
      <c r="B278" s="180"/>
      <c r="C278" s="180"/>
      <c r="D278" s="180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2:15" s="64" customFormat="1" ht="20.100000000000001" customHeight="1" x14ac:dyDescent="0.3">
      <c r="B279" s="180"/>
      <c r="C279" s="180"/>
      <c r="D279" s="180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2:15" s="64" customFormat="1" ht="20.100000000000001" customHeight="1" x14ac:dyDescent="0.3">
      <c r="B280" s="180"/>
      <c r="C280" s="180"/>
      <c r="D280" s="180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2:15" s="64" customFormat="1" ht="20.100000000000001" customHeight="1" x14ac:dyDescent="0.3">
      <c r="B281" s="180"/>
      <c r="C281" s="180"/>
      <c r="D281" s="180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2:15" s="64" customFormat="1" ht="20.100000000000001" customHeight="1" x14ac:dyDescent="0.3">
      <c r="B282" s="180"/>
      <c r="C282" s="180"/>
      <c r="D282" s="180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2:15" s="64" customFormat="1" ht="20.100000000000001" customHeight="1" x14ac:dyDescent="0.3">
      <c r="B283" s="180"/>
      <c r="C283" s="180"/>
      <c r="D283" s="180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  <row r="284" spans="2:15" s="64" customFormat="1" ht="20.100000000000001" customHeight="1" x14ac:dyDescent="0.3">
      <c r="B284" s="180"/>
      <c r="C284" s="180"/>
      <c r="D284" s="180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</row>
  </sheetData>
  <mergeCells count="51">
    <mergeCell ref="D36:E36"/>
    <mergeCell ref="F36:G36"/>
    <mergeCell ref="H36:P36"/>
    <mergeCell ref="B33:B36"/>
    <mergeCell ref="D33:E33"/>
    <mergeCell ref="F33:G33"/>
    <mergeCell ref="H33:P33"/>
    <mergeCell ref="D34:E34"/>
    <mergeCell ref="F34:G34"/>
    <mergeCell ref="H34:P34"/>
    <mergeCell ref="D35:E35"/>
    <mergeCell ref="F35:G35"/>
    <mergeCell ref="H35:P35"/>
    <mergeCell ref="F30:G30"/>
    <mergeCell ref="H30:P30"/>
    <mergeCell ref="D31:E31"/>
    <mergeCell ref="F31:G31"/>
    <mergeCell ref="H31:P31"/>
    <mergeCell ref="D32:E32"/>
    <mergeCell ref="F32:G32"/>
    <mergeCell ref="H32:P32"/>
    <mergeCell ref="B26:D26"/>
    <mergeCell ref="B27:X27"/>
    <mergeCell ref="D28:E28"/>
    <mergeCell ref="F28:G28"/>
    <mergeCell ref="H28:P28"/>
    <mergeCell ref="B29:B32"/>
    <mergeCell ref="D29:E29"/>
    <mergeCell ref="F29:G29"/>
    <mergeCell ref="H29:P29"/>
    <mergeCell ref="D30:E30"/>
    <mergeCell ref="Q7:V7"/>
    <mergeCell ref="W7:W8"/>
    <mergeCell ref="X7:X8"/>
    <mergeCell ref="Z7:Z8"/>
    <mergeCell ref="AA7:AA8"/>
    <mergeCell ref="AC7:AC8"/>
    <mergeCell ref="B7:B8"/>
    <mergeCell ref="C7:C8"/>
    <mergeCell ref="D7:D8"/>
    <mergeCell ref="E7:M7"/>
    <mergeCell ref="N7:O7"/>
    <mergeCell ref="P7:P8"/>
    <mergeCell ref="B3:E4"/>
    <mergeCell ref="L3:P3"/>
    <mergeCell ref="T4:T5"/>
    <mergeCell ref="V4:V5"/>
    <mergeCell ref="W4:W5"/>
    <mergeCell ref="X4:X5"/>
    <mergeCell ref="B5:E5"/>
    <mergeCell ref="F5:G5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직원명부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25.01</vt:lpstr>
      <vt:lpstr>25.02</vt:lpstr>
      <vt:lpstr>25.03</vt:lpstr>
      <vt:lpstr>25.04</vt:lpstr>
      <vt:lpstr>25.05</vt:lpstr>
      <vt:lpstr>25.06</vt:lpstr>
      <vt:lpstr>25.07</vt:lpstr>
      <vt:lpstr>25.08</vt:lpstr>
      <vt:lpstr>25.09</vt:lpstr>
      <vt:lpstr>25.10</vt:lpstr>
      <vt:lpstr>25.11</vt:lpstr>
      <vt:lpstr>25.12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2024-03-28T09:02:29Z</dcterms:created>
  <dcterms:modified xsi:type="dcterms:W3CDTF">2026-01-06T06:27:57Z</dcterms:modified>
</cp:coreProperties>
</file>